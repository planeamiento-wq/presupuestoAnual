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28215" windowHeight="13995"/>
  </bookViews>
  <sheets>
    <sheet name="Presupuesto 2026 | MAR - DIC" sheetId="2" r:id="rId1"/>
    <sheet name="Funcionamiento 2026" sheetId="3" state="hidden" r:id="rId2"/>
    <sheet name="Personal 2026" sheetId="4" state="hidden" r:id="rId3"/>
    <sheet name="Hoja1" sheetId="5" state="hidden" r:id="rId4"/>
  </sheets>
  <definedNames>
    <definedName name="_xlnm._FilterDatabase" localSheetId="1" hidden="1">'Funcionamiento 2026'!$A$3:$AL$640</definedName>
    <definedName name="_xlnm._FilterDatabase" localSheetId="2" hidden="1">'Personal 2026'!$A$3:$AL$189</definedName>
    <definedName name="_xlnm._FilterDatabase" localSheetId="0" hidden="1">'Presupuesto 2026 | MAR - DIC'!$A$1:$R$1347</definedName>
  </definedNames>
  <calcPr calcId="145621"/>
</workbook>
</file>

<file path=xl/calcChain.xml><?xml version="1.0" encoding="utf-8"?>
<calcChain xmlns="http://schemas.openxmlformats.org/spreadsheetml/2006/main">
  <c r="P168" i="5" l="1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AK206" i="4"/>
  <c r="AH206" i="4"/>
  <c r="AE206" i="4"/>
  <c r="AB206" i="4"/>
  <c r="Y206" i="4"/>
  <c r="V206" i="4"/>
  <c r="S206" i="4"/>
  <c r="P206" i="4"/>
  <c r="M206" i="4"/>
  <c r="J206" i="4"/>
  <c r="AI196" i="4"/>
  <c r="AF196" i="4"/>
  <c r="AC196" i="4"/>
  <c r="Z196" i="4"/>
  <c r="W196" i="4"/>
  <c r="T196" i="4"/>
  <c r="Q196" i="4"/>
  <c r="N196" i="4"/>
  <c r="K196" i="4"/>
  <c r="H196" i="4"/>
  <c r="AI195" i="4"/>
  <c r="AF195" i="4"/>
  <c r="AC195" i="4"/>
  <c r="Z195" i="4"/>
  <c r="W195" i="4"/>
  <c r="T195" i="4"/>
  <c r="Q195" i="4"/>
  <c r="N195" i="4"/>
  <c r="K195" i="4"/>
  <c r="H195" i="4"/>
  <c r="AI194" i="4"/>
  <c r="AF194" i="4"/>
  <c r="AC194" i="4"/>
  <c r="Z194" i="4"/>
  <c r="W194" i="4"/>
  <c r="T194" i="4"/>
  <c r="Q194" i="4"/>
  <c r="N194" i="4"/>
  <c r="K194" i="4"/>
  <c r="L188" i="4" s="1"/>
  <c r="M188" i="4" s="1"/>
  <c r="H194" i="4"/>
  <c r="H193" i="4"/>
  <c r="H198" i="4" s="1"/>
  <c r="H191" i="4"/>
  <c r="I189" i="4"/>
  <c r="J189" i="4" s="1"/>
  <c r="AJ188" i="4"/>
  <c r="AK188" i="4" s="1"/>
  <c r="AG188" i="4"/>
  <c r="AH188" i="4" s="1"/>
  <c r="AA188" i="4"/>
  <c r="AB188" i="4" s="1"/>
  <c r="X188" i="4"/>
  <c r="Y188" i="4" s="1"/>
  <c r="U188" i="4"/>
  <c r="V188" i="4" s="1"/>
  <c r="O188" i="4"/>
  <c r="P188" i="4" s="1"/>
  <c r="I188" i="4"/>
  <c r="J188" i="4" s="1"/>
  <c r="AG187" i="4"/>
  <c r="AH187" i="4" s="1"/>
  <c r="AD187" i="4"/>
  <c r="AE187" i="4" s="1"/>
  <c r="AA187" i="4"/>
  <c r="AB187" i="4" s="1"/>
  <c r="U187" i="4"/>
  <c r="V187" i="4" s="1"/>
  <c r="R187" i="4"/>
  <c r="S187" i="4" s="1"/>
  <c r="O187" i="4"/>
  <c r="P187" i="4" s="1"/>
  <c r="I187" i="4"/>
  <c r="J187" i="4" s="1"/>
  <c r="I186" i="4"/>
  <c r="J186" i="4" s="1"/>
  <c r="I185" i="4"/>
  <c r="J185" i="4" s="1"/>
  <c r="I184" i="4"/>
  <c r="J184" i="4" s="1"/>
  <c r="I183" i="4"/>
  <c r="J183" i="4" s="1"/>
  <c r="I182" i="4"/>
  <c r="J182" i="4" s="1"/>
  <c r="I181" i="4"/>
  <c r="J181" i="4" s="1"/>
  <c r="J180" i="4"/>
  <c r="I180" i="4"/>
  <c r="I179" i="4"/>
  <c r="J179" i="4" s="1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AK166" i="4"/>
  <c r="AJ166" i="4"/>
  <c r="AH166" i="4"/>
  <c r="AG166" i="4"/>
  <c r="AB166" i="4"/>
  <c r="AA166" i="4"/>
  <c r="Y166" i="4"/>
  <c r="X166" i="4"/>
  <c r="V166" i="4"/>
  <c r="U166" i="4"/>
  <c r="P166" i="4"/>
  <c r="O166" i="4"/>
  <c r="M166" i="4"/>
  <c r="L166" i="4"/>
  <c r="J166" i="4"/>
  <c r="I166" i="4"/>
  <c r="J165" i="4"/>
  <c r="I165" i="4"/>
  <c r="AH164" i="4"/>
  <c r="AG164" i="4"/>
  <c r="AD164" i="4"/>
  <c r="AE164" i="4" s="1"/>
  <c r="AB164" i="4"/>
  <c r="AA164" i="4"/>
  <c r="V164" i="4"/>
  <c r="U164" i="4"/>
  <c r="R164" i="4"/>
  <c r="S164" i="4" s="1"/>
  <c r="P164" i="4"/>
  <c r="O164" i="4"/>
  <c r="J164" i="4"/>
  <c r="I164" i="4"/>
  <c r="J163" i="4"/>
  <c r="I163" i="4"/>
  <c r="J162" i="4"/>
  <c r="I162" i="4"/>
  <c r="AH161" i="4"/>
  <c r="AG161" i="4"/>
  <c r="AD161" i="4"/>
  <c r="AE161" i="4" s="1"/>
  <c r="AB161" i="4"/>
  <c r="AA161" i="4"/>
  <c r="V161" i="4"/>
  <c r="U161" i="4"/>
  <c r="R161" i="4"/>
  <c r="S161" i="4" s="1"/>
  <c r="P161" i="4"/>
  <c r="O161" i="4"/>
  <c r="J161" i="4"/>
  <c r="I161" i="4"/>
  <c r="AJ160" i="4"/>
  <c r="AK160" i="4" s="1"/>
  <c r="AH160" i="4"/>
  <c r="AG160" i="4"/>
  <c r="AB160" i="4"/>
  <c r="AA160" i="4"/>
  <c r="X160" i="4"/>
  <c r="Y160" i="4" s="1"/>
  <c r="V160" i="4"/>
  <c r="U160" i="4"/>
  <c r="P160" i="4"/>
  <c r="O160" i="4"/>
  <c r="L160" i="4"/>
  <c r="M160" i="4" s="1"/>
  <c r="J160" i="4"/>
  <c r="I160" i="4"/>
  <c r="AH159" i="4"/>
  <c r="AG159" i="4"/>
  <c r="AD159" i="4"/>
  <c r="AE159" i="4" s="1"/>
  <c r="AB159" i="4"/>
  <c r="AA159" i="4"/>
  <c r="V159" i="4"/>
  <c r="U159" i="4"/>
  <c r="R159" i="4"/>
  <c r="S159" i="4" s="1"/>
  <c r="P159" i="4"/>
  <c r="O159" i="4"/>
  <c r="J159" i="4"/>
  <c r="I159" i="4"/>
  <c r="AJ158" i="4"/>
  <c r="AK158" i="4" s="1"/>
  <c r="AH158" i="4"/>
  <c r="AG158" i="4"/>
  <c r="AB158" i="4"/>
  <c r="AA158" i="4"/>
  <c r="X158" i="4"/>
  <c r="Y158" i="4" s="1"/>
  <c r="V158" i="4"/>
  <c r="U158" i="4"/>
  <c r="P158" i="4"/>
  <c r="O158" i="4"/>
  <c r="L158" i="4"/>
  <c r="M158" i="4" s="1"/>
  <c r="J158" i="4"/>
  <c r="I158" i="4"/>
  <c r="AH157" i="4"/>
  <c r="AG157" i="4"/>
  <c r="AD157" i="4"/>
  <c r="AE157" i="4" s="1"/>
  <c r="AB157" i="4"/>
  <c r="AA157" i="4"/>
  <c r="V157" i="4"/>
  <c r="U157" i="4"/>
  <c r="R157" i="4"/>
  <c r="S157" i="4" s="1"/>
  <c r="P157" i="4"/>
  <c r="O157" i="4"/>
  <c r="J157" i="4"/>
  <c r="I157" i="4"/>
  <c r="J156" i="4"/>
  <c r="I156" i="4"/>
  <c r="AH155" i="4"/>
  <c r="AG155" i="4"/>
  <c r="AD155" i="4"/>
  <c r="AE155" i="4" s="1"/>
  <c r="AB155" i="4"/>
  <c r="AA155" i="4"/>
  <c r="V155" i="4"/>
  <c r="U155" i="4"/>
  <c r="R155" i="4"/>
  <c r="S155" i="4" s="1"/>
  <c r="P155" i="4"/>
  <c r="O155" i="4"/>
  <c r="J155" i="4"/>
  <c r="I155" i="4"/>
  <c r="AH154" i="4"/>
  <c r="AG154" i="4"/>
  <c r="AD154" i="4"/>
  <c r="AE154" i="4" s="1"/>
  <c r="AB154" i="4"/>
  <c r="AA154" i="4"/>
  <c r="V154" i="4"/>
  <c r="U154" i="4"/>
  <c r="R154" i="4"/>
  <c r="S154" i="4" s="1"/>
  <c r="P154" i="4"/>
  <c r="O154" i="4"/>
  <c r="J154" i="4"/>
  <c r="I154" i="4"/>
  <c r="AH153" i="4"/>
  <c r="AG153" i="4"/>
  <c r="AD153" i="4"/>
  <c r="AE153" i="4" s="1"/>
  <c r="AB153" i="4"/>
  <c r="AA153" i="4"/>
  <c r="V153" i="4"/>
  <c r="U153" i="4"/>
  <c r="R153" i="4"/>
  <c r="S153" i="4" s="1"/>
  <c r="P153" i="4"/>
  <c r="O153" i="4"/>
  <c r="I153" i="4"/>
  <c r="J153" i="4" s="1"/>
  <c r="AG152" i="4"/>
  <c r="AH152" i="4" s="1"/>
  <c r="AD152" i="4"/>
  <c r="AE152" i="4" s="1"/>
  <c r="AB152" i="4"/>
  <c r="AA152" i="4"/>
  <c r="U152" i="4"/>
  <c r="V152" i="4" s="1"/>
  <c r="R152" i="4"/>
  <c r="S152" i="4" s="1"/>
  <c r="O152" i="4"/>
  <c r="P152" i="4" s="1"/>
  <c r="I152" i="4"/>
  <c r="J152" i="4" s="1"/>
  <c r="AH151" i="4"/>
  <c r="AG151" i="4"/>
  <c r="AD151" i="4"/>
  <c r="AE151" i="4" s="1"/>
  <c r="AB151" i="4"/>
  <c r="AA151" i="4"/>
  <c r="U151" i="4"/>
  <c r="V151" i="4" s="1"/>
  <c r="R151" i="4"/>
  <c r="S151" i="4" s="1"/>
  <c r="O151" i="4"/>
  <c r="P151" i="4" s="1"/>
  <c r="J151" i="4"/>
  <c r="I151" i="4"/>
  <c r="I150" i="4"/>
  <c r="J150" i="4" s="1"/>
  <c r="AJ149" i="4"/>
  <c r="AK149" i="4" s="1"/>
  <c r="AG149" i="4"/>
  <c r="AH149" i="4" s="1"/>
  <c r="AA149" i="4"/>
  <c r="AB149" i="4" s="1"/>
  <c r="X149" i="4"/>
  <c r="Y149" i="4" s="1"/>
  <c r="V149" i="4"/>
  <c r="U149" i="4"/>
  <c r="O149" i="4"/>
  <c r="P149" i="4" s="1"/>
  <c r="L149" i="4"/>
  <c r="M149" i="4" s="1"/>
  <c r="I149" i="4"/>
  <c r="J149" i="4" s="1"/>
  <c r="AG148" i="4"/>
  <c r="AH148" i="4" s="1"/>
  <c r="AD148" i="4"/>
  <c r="AE148" i="4" s="1"/>
  <c r="AB148" i="4"/>
  <c r="AA148" i="4"/>
  <c r="V148" i="4"/>
  <c r="U148" i="4"/>
  <c r="R148" i="4"/>
  <c r="S148" i="4" s="1"/>
  <c r="O148" i="4"/>
  <c r="P148" i="4" s="1"/>
  <c r="I148" i="4"/>
  <c r="J148" i="4" s="1"/>
  <c r="I147" i="4"/>
  <c r="J147" i="4" s="1"/>
  <c r="I146" i="4"/>
  <c r="J146" i="4" s="1"/>
  <c r="AK145" i="4"/>
  <c r="AJ145" i="4"/>
  <c r="AG145" i="4"/>
  <c r="AH145" i="4" s="1"/>
  <c r="AA145" i="4"/>
  <c r="AB145" i="4" s="1"/>
  <c r="Y145" i="4"/>
  <c r="X145" i="4"/>
  <c r="U145" i="4"/>
  <c r="V145" i="4" s="1"/>
  <c r="O145" i="4"/>
  <c r="P145" i="4" s="1"/>
  <c r="M145" i="4"/>
  <c r="L145" i="4"/>
  <c r="I145" i="4"/>
  <c r="J145" i="4" s="1"/>
  <c r="AG144" i="4"/>
  <c r="AH144" i="4" s="1"/>
  <c r="AE144" i="4"/>
  <c r="AD144" i="4"/>
  <c r="AA144" i="4"/>
  <c r="AB144" i="4" s="1"/>
  <c r="U144" i="4"/>
  <c r="V144" i="4" s="1"/>
  <c r="S144" i="4"/>
  <c r="R144" i="4"/>
  <c r="O144" i="4"/>
  <c r="P144" i="4" s="1"/>
  <c r="I144" i="4"/>
  <c r="J144" i="4" s="1"/>
  <c r="AG143" i="4"/>
  <c r="AH143" i="4" s="1"/>
  <c r="AE143" i="4"/>
  <c r="AD143" i="4"/>
  <c r="AA143" i="4"/>
  <c r="AB143" i="4" s="1"/>
  <c r="U143" i="4"/>
  <c r="V143" i="4" s="1"/>
  <c r="S143" i="4"/>
  <c r="R143" i="4"/>
  <c r="O143" i="4"/>
  <c r="P143" i="4" s="1"/>
  <c r="I143" i="4"/>
  <c r="J143" i="4" s="1"/>
  <c r="AK142" i="4"/>
  <c r="AJ142" i="4"/>
  <c r="AG142" i="4"/>
  <c r="AH142" i="4" s="1"/>
  <c r="AA142" i="4"/>
  <c r="AB142" i="4" s="1"/>
  <c r="Y142" i="4"/>
  <c r="X142" i="4"/>
  <c r="U142" i="4"/>
  <c r="V142" i="4" s="1"/>
  <c r="O142" i="4"/>
  <c r="P142" i="4" s="1"/>
  <c r="M142" i="4"/>
  <c r="L142" i="4"/>
  <c r="I142" i="4"/>
  <c r="J142" i="4" s="1"/>
  <c r="AG141" i="4"/>
  <c r="AH141" i="4" s="1"/>
  <c r="AE141" i="4"/>
  <c r="AD141" i="4"/>
  <c r="AA141" i="4"/>
  <c r="AB141" i="4" s="1"/>
  <c r="U141" i="4"/>
  <c r="V141" i="4" s="1"/>
  <c r="S141" i="4"/>
  <c r="R141" i="4"/>
  <c r="O141" i="4"/>
  <c r="P141" i="4" s="1"/>
  <c r="I141" i="4"/>
  <c r="J141" i="4" s="1"/>
  <c r="I140" i="4"/>
  <c r="J140" i="4" s="1"/>
  <c r="AK139" i="4"/>
  <c r="AJ139" i="4"/>
  <c r="AG139" i="4"/>
  <c r="AH139" i="4" s="1"/>
  <c r="AA139" i="4"/>
  <c r="AB139" i="4" s="1"/>
  <c r="Y139" i="4"/>
  <c r="X139" i="4"/>
  <c r="U139" i="4"/>
  <c r="V139" i="4" s="1"/>
  <c r="O139" i="4"/>
  <c r="P139" i="4" s="1"/>
  <c r="M139" i="4"/>
  <c r="L139" i="4"/>
  <c r="I139" i="4"/>
  <c r="J139" i="4" s="1"/>
  <c r="AG138" i="4"/>
  <c r="AH138" i="4" s="1"/>
  <c r="AE138" i="4"/>
  <c r="AD138" i="4"/>
  <c r="AA138" i="4"/>
  <c r="AB138" i="4" s="1"/>
  <c r="U138" i="4"/>
  <c r="V138" i="4" s="1"/>
  <c r="S138" i="4"/>
  <c r="R138" i="4"/>
  <c r="O138" i="4"/>
  <c r="P138" i="4" s="1"/>
  <c r="I138" i="4"/>
  <c r="J138" i="4" s="1"/>
  <c r="AK137" i="4"/>
  <c r="AJ137" i="4"/>
  <c r="AG137" i="4"/>
  <c r="AH137" i="4" s="1"/>
  <c r="AA137" i="4"/>
  <c r="AB137" i="4" s="1"/>
  <c r="Y137" i="4"/>
  <c r="X137" i="4"/>
  <c r="U137" i="4"/>
  <c r="V137" i="4" s="1"/>
  <c r="O137" i="4"/>
  <c r="P137" i="4" s="1"/>
  <c r="M137" i="4"/>
  <c r="L137" i="4"/>
  <c r="I137" i="4"/>
  <c r="J137" i="4" s="1"/>
  <c r="AG136" i="4"/>
  <c r="AH136" i="4" s="1"/>
  <c r="AE136" i="4"/>
  <c r="AD136" i="4"/>
  <c r="AA136" i="4"/>
  <c r="AB136" i="4" s="1"/>
  <c r="U136" i="4"/>
  <c r="V136" i="4" s="1"/>
  <c r="S136" i="4"/>
  <c r="R136" i="4"/>
  <c r="O136" i="4"/>
  <c r="P136" i="4" s="1"/>
  <c r="I136" i="4"/>
  <c r="J136" i="4" s="1"/>
  <c r="AK135" i="4"/>
  <c r="AJ135" i="4"/>
  <c r="AG135" i="4"/>
  <c r="AH135" i="4" s="1"/>
  <c r="AA135" i="4"/>
  <c r="AB135" i="4" s="1"/>
  <c r="Y135" i="4"/>
  <c r="X135" i="4"/>
  <c r="U135" i="4"/>
  <c r="V135" i="4" s="1"/>
  <c r="O135" i="4"/>
  <c r="P135" i="4" s="1"/>
  <c r="M135" i="4"/>
  <c r="L135" i="4"/>
  <c r="I135" i="4"/>
  <c r="J135" i="4" s="1"/>
  <c r="AG134" i="4"/>
  <c r="AH134" i="4" s="1"/>
  <c r="AE134" i="4"/>
  <c r="AD134" i="4"/>
  <c r="AA134" i="4"/>
  <c r="AB134" i="4" s="1"/>
  <c r="U134" i="4"/>
  <c r="V134" i="4" s="1"/>
  <c r="S134" i="4"/>
  <c r="R134" i="4"/>
  <c r="O134" i="4"/>
  <c r="P134" i="4" s="1"/>
  <c r="I134" i="4"/>
  <c r="J134" i="4" s="1"/>
  <c r="AK133" i="4"/>
  <c r="AJ133" i="4"/>
  <c r="AG133" i="4"/>
  <c r="AH133" i="4" s="1"/>
  <c r="AA133" i="4"/>
  <c r="AB133" i="4" s="1"/>
  <c r="Y133" i="4"/>
  <c r="X133" i="4"/>
  <c r="U133" i="4"/>
  <c r="V133" i="4" s="1"/>
  <c r="O133" i="4"/>
  <c r="P133" i="4" s="1"/>
  <c r="M133" i="4"/>
  <c r="L133" i="4"/>
  <c r="I133" i="4"/>
  <c r="J133" i="4" s="1"/>
  <c r="AG132" i="4"/>
  <c r="AH132" i="4" s="1"/>
  <c r="AE132" i="4"/>
  <c r="AD132" i="4"/>
  <c r="AA132" i="4"/>
  <c r="AB132" i="4" s="1"/>
  <c r="U132" i="4"/>
  <c r="V132" i="4" s="1"/>
  <c r="S132" i="4"/>
  <c r="R132" i="4"/>
  <c r="O132" i="4"/>
  <c r="P132" i="4" s="1"/>
  <c r="I132" i="4"/>
  <c r="J132" i="4" s="1"/>
  <c r="I131" i="4"/>
  <c r="J131" i="4" s="1"/>
  <c r="AK130" i="4"/>
  <c r="AJ130" i="4"/>
  <c r="AG130" i="4"/>
  <c r="AH130" i="4" s="1"/>
  <c r="AA130" i="4"/>
  <c r="AB130" i="4" s="1"/>
  <c r="Y130" i="4"/>
  <c r="X130" i="4"/>
  <c r="U130" i="4"/>
  <c r="V130" i="4" s="1"/>
  <c r="O130" i="4"/>
  <c r="P130" i="4" s="1"/>
  <c r="M130" i="4"/>
  <c r="L130" i="4"/>
  <c r="I130" i="4"/>
  <c r="J130" i="4" s="1"/>
  <c r="AG129" i="4"/>
  <c r="AH129" i="4" s="1"/>
  <c r="AE129" i="4"/>
  <c r="AD129" i="4"/>
  <c r="AA129" i="4"/>
  <c r="AB129" i="4" s="1"/>
  <c r="U129" i="4"/>
  <c r="V129" i="4" s="1"/>
  <c r="R129" i="4"/>
  <c r="S129" i="4" s="1"/>
  <c r="O129" i="4"/>
  <c r="P129" i="4" s="1"/>
  <c r="I129" i="4"/>
  <c r="J129" i="4" s="1"/>
  <c r="I128" i="4"/>
  <c r="J128" i="4" s="1"/>
  <c r="I127" i="4"/>
  <c r="J127" i="4" s="1"/>
  <c r="AJ126" i="4"/>
  <c r="AK126" i="4" s="1"/>
  <c r="AG126" i="4"/>
  <c r="AH126" i="4" s="1"/>
  <c r="AA126" i="4"/>
  <c r="AB126" i="4" s="1"/>
  <c r="X126" i="4"/>
  <c r="Y126" i="4" s="1"/>
  <c r="U126" i="4"/>
  <c r="V126" i="4" s="1"/>
  <c r="O126" i="4"/>
  <c r="P126" i="4" s="1"/>
  <c r="L126" i="4"/>
  <c r="M126" i="4" s="1"/>
  <c r="I126" i="4"/>
  <c r="J126" i="4" s="1"/>
  <c r="AG125" i="4"/>
  <c r="AH125" i="4" s="1"/>
  <c r="AE125" i="4"/>
  <c r="AD125" i="4"/>
  <c r="AA125" i="4"/>
  <c r="AB125" i="4" s="1"/>
  <c r="U125" i="4"/>
  <c r="V125" i="4" s="1"/>
  <c r="R125" i="4"/>
  <c r="S125" i="4" s="1"/>
  <c r="O125" i="4"/>
  <c r="P125" i="4" s="1"/>
  <c r="I125" i="4"/>
  <c r="J125" i="4" s="1"/>
  <c r="AG124" i="4"/>
  <c r="AH124" i="4" s="1"/>
  <c r="AE124" i="4"/>
  <c r="AD124" i="4"/>
  <c r="AA124" i="4"/>
  <c r="AB124" i="4" s="1"/>
  <c r="U124" i="4"/>
  <c r="V124" i="4" s="1"/>
  <c r="S124" i="4"/>
  <c r="R124" i="4"/>
  <c r="O124" i="4"/>
  <c r="P124" i="4" s="1"/>
  <c r="I124" i="4"/>
  <c r="J124" i="4" s="1"/>
  <c r="AK123" i="4"/>
  <c r="AJ123" i="4"/>
  <c r="AG123" i="4"/>
  <c r="AH123" i="4" s="1"/>
  <c r="AA123" i="4"/>
  <c r="AB123" i="4" s="1"/>
  <c r="Y123" i="4"/>
  <c r="X123" i="4"/>
  <c r="U123" i="4"/>
  <c r="V123" i="4" s="1"/>
  <c r="O123" i="4"/>
  <c r="P123" i="4" s="1"/>
  <c r="L123" i="4"/>
  <c r="M123" i="4" s="1"/>
  <c r="I123" i="4"/>
  <c r="J123" i="4" s="1"/>
  <c r="AG122" i="4"/>
  <c r="AH122" i="4" s="1"/>
  <c r="AD122" i="4"/>
  <c r="AE122" i="4" s="1"/>
  <c r="AA122" i="4"/>
  <c r="AB122" i="4" s="1"/>
  <c r="V122" i="4"/>
  <c r="U122" i="4"/>
  <c r="R122" i="4"/>
  <c r="S122" i="4" s="1"/>
  <c r="P122" i="4"/>
  <c r="O122" i="4"/>
  <c r="I122" i="4"/>
  <c r="J122" i="4" s="1"/>
  <c r="AJ121" i="4"/>
  <c r="AK121" i="4" s="1"/>
  <c r="AG121" i="4"/>
  <c r="AH121" i="4" s="1"/>
  <c r="AB121" i="4"/>
  <c r="AA121" i="4"/>
  <c r="X121" i="4"/>
  <c r="Y121" i="4" s="1"/>
  <c r="V121" i="4"/>
  <c r="U121" i="4"/>
  <c r="O121" i="4"/>
  <c r="P121" i="4" s="1"/>
  <c r="L121" i="4"/>
  <c r="M121" i="4" s="1"/>
  <c r="I121" i="4"/>
  <c r="J121" i="4" s="1"/>
  <c r="AJ120" i="4"/>
  <c r="AK120" i="4" s="1"/>
  <c r="AH120" i="4"/>
  <c r="AG120" i="4"/>
  <c r="AB120" i="4"/>
  <c r="AA120" i="4"/>
  <c r="X120" i="4"/>
  <c r="Y120" i="4" s="1"/>
  <c r="U120" i="4"/>
  <c r="V120" i="4" s="1"/>
  <c r="O120" i="4"/>
  <c r="P120" i="4" s="1"/>
  <c r="L120" i="4"/>
  <c r="M120" i="4" s="1"/>
  <c r="J120" i="4"/>
  <c r="I120" i="4"/>
  <c r="AH119" i="4"/>
  <c r="AG119" i="4"/>
  <c r="AD119" i="4"/>
  <c r="AE119" i="4" s="1"/>
  <c r="AA119" i="4"/>
  <c r="AB119" i="4" s="1"/>
  <c r="U119" i="4"/>
  <c r="V119" i="4" s="1"/>
  <c r="R119" i="4"/>
  <c r="S119" i="4" s="1"/>
  <c r="P119" i="4"/>
  <c r="O119" i="4"/>
  <c r="J119" i="4"/>
  <c r="I119" i="4"/>
  <c r="AJ118" i="4"/>
  <c r="AK118" i="4" s="1"/>
  <c r="AG118" i="4"/>
  <c r="AH118" i="4" s="1"/>
  <c r="AA118" i="4"/>
  <c r="AB118" i="4" s="1"/>
  <c r="X118" i="4"/>
  <c r="Y118" i="4" s="1"/>
  <c r="V118" i="4"/>
  <c r="U118" i="4"/>
  <c r="P118" i="4"/>
  <c r="O118" i="4"/>
  <c r="L118" i="4"/>
  <c r="M118" i="4" s="1"/>
  <c r="I118" i="4"/>
  <c r="J118" i="4" s="1"/>
  <c r="AG117" i="4"/>
  <c r="AH117" i="4" s="1"/>
  <c r="AD117" i="4"/>
  <c r="AE117" i="4" s="1"/>
  <c r="AB117" i="4"/>
  <c r="AA117" i="4"/>
  <c r="V117" i="4"/>
  <c r="U117" i="4"/>
  <c r="R117" i="4"/>
  <c r="S117" i="4" s="1"/>
  <c r="O117" i="4"/>
  <c r="P117" i="4" s="1"/>
  <c r="I117" i="4"/>
  <c r="J117" i="4" s="1"/>
  <c r="AJ116" i="4"/>
  <c r="AK116" i="4" s="1"/>
  <c r="AH116" i="4"/>
  <c r="AG116" i="4"/>
  <c r="AB116" i="4"/>
  <c r="AA116" i="4"/>
  <c r="X116" i="4"/>
  <c r="Y116" i="4" s="1"/>
  <c r="U116" i="4"/>
  <c r="V116" i="4" s="1"/>
  <c r="O116" i="4"/>
  <c r="P116" i="4" s="1"/>
  <c r="L116" i="4"/>
  <c r="M116" i="4" s="1"/>
  <c r="J116" i="4"/>
  <c r="I116" i="4"/>
  <c r="AH115" i="4"/>
  <c r="AG115" i="4"/>
  <c r="AD115" i="4"/>
  <c r="AE115" i="4" s="1"/>
  <c r="AA115" i="4"/>
  <c r="AB115" i="4" s="1"/>
  <c r="U115" i="4"/>
  <c r="V115" i="4" s="1"/>
  <c r="R115" i="4"/>
  <c r="S115" i="4" s="1"/>
  <c r="P115" i="4"/>
  <c r="O115" i="4"/>
  <c r="J115" i="4"/>
  <c r="I115" i="4"/>
  <c r="AJ114" i="4"/>
  <c r="AK114" i="4" s="1"/>
  <c r="AG114" i="4"/>
  <c r="AH114" i="4" s="1"/>
  <c r="AA114" i="4"/>
  <c r="AB114" i="4" s="1"/>
  <c r="X114" i="4"/>
  <c r="Y114" i="4" s="1"/>
  <c r="V114" i="4"/>
  <c r="U114" i="4"/>
  <c r="P114" i="4"/>
  <c r="O114" i="4"/>
  <c r="L114" i="4"/>
  <c r="M114" i="4" s="1"/>
  <c r="I114" i="4"/>
  <c r="J114" i="4" s="1"/>
  <c r="AG113" i="4"/>
  <c r="AH113" i="4" s="1"/>
  <c r="AD113" i="4"/>
  <c r="AE113" i="4" s="1"/>
  <c r="AB113" i="4"/>
  <c r="AA113" i="4"/>
  <c r="V113" i="4"/>
  <c r="U113" i="4"/>
  <c r="R113" i="4"/>
  <c r="S113" i="4" s="1"/>
  <c r="O113" i="4"/>
  <c r="P113" i="4" s="1"/>
  <c r="I113" i="4"/>
  <c r="J113" i="4" s="1"/>
  <c r="AJ112" i="4"/>
  <c r="AK112" i="4" s="1"/>
  <c r="AH112" i="4"/>
  <c r="AG112" i="4"/>
  <c r="AB112" i="4"/>
  <c r="AA112" i="4"/>
  <c r="X112" i="4"/>
  <c r="Y112" i="4" s="1"/>
  <c r="U112" i="4"/>
  <c r="V112" i="4" s="1"/>
  <c r="O112" i="4"/>
  <c r="P112" i="4" s="1"/>
  <c r="L112" i="4"/>
  <c r="M112" i="4" s="1"/>
  <c r="J112" i="4"/>
  <c r="I112" i="4"/>
  <c r="AJ111" i="4"/>
  <c r="AK111" i="4" s="1"/>
  <c r="AH111" i="4"/>
  <c r="AG111" i="4"/>
  <c r="AA111" i="4"/>
  <c r="AB111" i="4" s="1"/>
  <c r="X111" i="4"/>
  <c r="Y111" i="4" s="1"/>
  <c r="U111" i="4"/>
  <c r="V111" i="4" s="1"/>
  <c r="P111" i="4"/>
  <c r="O111" i="4"/>
  <c r="L111" i="4"/>
  <c r="M111" i="4" s="1"/>
  <c r="J111" i="4"/>
  <c r="I111" i="4"/>
  <c r="AG110" i="4"/>
  <c r="AH110" i="4" s="1"/>
  <c r="AD110" i="4"/>
  <c r="AE110" i="4" s="1"/>
  <c r="AA110" i="4"/>
  <c r="AB110" i="4" s="1"/>
  <c r="V110" i="4"/>
  <c r="U110" i="4"/>
  <c r="R110" i="4"/>
  <c r="S110" i="4" s="1"/>
  <c r="P110" i="4"/>
  <c r="O110" i="4"/>
  <c r="I110" i="4"/>
  <c r="J110" i="4" s="1"/>
  <c r="AG109" i="4"/>
  <c r="AH109" i="4" s="1"/>
  <c r="AD109" i="4"/>
  <c r="AE109" i="4" s="1"/>
  <c r="AB109" i="4"/>
  <c r="AA109" i="4"/>
  <c r="V109" i="4"/>
  <c r="U109" i="4"/>
  <c r="R109" i="4"/>
  <c r="S109" i="4" s="1"/>
  <c r="O109" i="4"/>
  <c r="P109" i="4" s="1"/>
  <c r="I109" i="4"/>
  <c r="J109" i="4" s="1"/>
  <c r="J108" i="4"/>
  <c r="I108" i="4"/>
  <c r="AH107" i="4"/>
  <c r="AG107" i="4"/>
  <c r="AD107" i="4"/>
  <c r="AE107" i="4" s="1"/>
  <c r="AA107" i="4"/>
  <c r="AB107" i="4" s="1"/>
  <c r="U107" i="4"/>
  <c r="V107" i="4" s="1"/>
  <c r="R107" i="4"/>
  <c r="S107" i="4" s="1"/>
  <c r="P107" i="4"/>
  <c r="O107" i="4"/>
  <c r="J107" i="4"/>
  <c r="I107" i="4"/>
  <c r="I106" i="4"/>
  <c r="J106" i="4" s="1"/>
  <c r="AJ105" i="4"/>
  <c r="AK105" i="4" s="1"/>
  <c r="AG105" i="4"/>
  <c r="AH105" i="4" s="1"/>
  <c r="AB105" i="4"/>
  <c r="AA105" i="4"/>
  <c r="X105" i="4"/>
  <c r="Y105" i="4" s="1"/>
  <c r="V105" i="4"/>
  <c r="U105" i="4"/>
  <c r="O105" i="4"/>
  <c r="P105" i="4" s="1"/>
  <c r="L105" i="4"/>
  <c r="M105" i="4" s="1"/>
  <c r="I105" i="4"/>
  <c r="J105" i="4" s="1"/>
  <c r="AH104" i="4"/>
  <c r="AG104" i="4"/>
  <c r="AD104" i="4"/>
  <c r="AE104" i="4" s="1"/>
  <c r="AB104" i="4"/>
  <c r="AA104" i="4"/>
  <c r="U104" i="4"/>
  <c r="V104" i="4" s="1"/>
  <c r="R104" i="4"/>
  <c r="S104" i="4" s="1"/>
  <c r="O104" i="4"/>
  <c r="P104" i="4" s="1"/>
  <c r="J104" i="4"/>
  <c r="I104" i="4"/>
  <c r="J103" i="4"/>
  <c r="I103" i="4"/>
  <c r="AG102" i="4"/>
  <c r="AH102" i="4" s="1"/>
  <c r="AD102" i="4"/>
  <c r="AE102" i="4" s="1"/>
  <c r="AA102" i="4"/>
  <c r="AB102" i="4" s="1"/>
  <c r="V102" i="4"/>
  <c r="U102" i="4"/>
  <c r="R102" i="4"/>
  <c r="S102" i="4" s="1"/>
  <c r="P102" i="4"/>
  <c r="O102" i="4"/>
  <c r="I102" i="4"/>
  <c r="J102" i="4" s="1"/>
  <c r="AJ101" i="4"/>
  <c r="AK101" i="4" s="1"/>
  <c r="AG101" i="4"/>
  <c r="AH101" i="4" s="1"/>
  <c r="AB101" i="4"/>
  <c r="AA101" i="4"/>
  <c r="X101" i="4"/>
  <c r="Y101" i="4" s="1"/>
  <c r="V101" i="4"/>
  <c r="U101" i="4"/>
  <c r="O101" i="4"/>
  <c r="P101" i="4" s="1"/>
  <c r="L101" i="4"/>
  <c r="M101" i="4" s="1"/>
  <c r="I101" i="4"/>
  <c r="J101" i="4" s="1"/>
  <c r="AJ100" i="4"/>
  <c r="AK100" i="4" s="1"/>
  <c r="AH100" i="4"/>
  <c r="AG100" i="4"/>
  <c r="AB100" i="4"/>
  <c r="AA100" i="4"/>
  <c r="X100" i="4"/>
  <c r="Y100" i="4" s="1"/>
  <c r="U100" i="4"/>
  <c r="V100" i="4" s="1"/>
  <c r="O100" i="4"/>
  <c r="P100" i="4" s="1"/>
  <c r="L100" i="4"/>
  <c r="M100" i="4" s="1"/>
  <c r="J100" i="4"/>
  <c r="I100" i="4"/>
  <c r="AH99" i="4"/>
  <c r="AG99" i="4"/>
  <c r="AD99" i="4"/>
  <c r="AE99" i="4" s="1"/>
  <c r="AA99" i="4"/>
  <c r="AB99" i="4" s="1"/>
  <c r="U99" i="4"/>
  <c r="V99" i="4" s="1"/>
  <c r="S99" i="4"/>
  <c r="R99" i="4"/>
  <c r="O99" i="4"/>
  <c r="P99" i="4" s="1"/>
  <c r="I99" i="4"/>
  <c r="J99" i="4" s="1"/>
  <c r="AK98" i="4"/>
  <c r="AJ98" i="4"/>
  <c r="AG98" i="4"/>
  <c r="AH98" i="4" s="1"/>
  <c r="AA98" i="4"/>
  <c r="AB98" i="4" s="1"/>
  <c r="Y98" i="4"/>
  <c r="X98" i="4"/>
  <c r="U98" i="4"/>
  <c r="V98" i="4" s="1"/>
  <c r="O98" i="4"/>
  <c r="P98" i="4" s="1"/>
  <c r="M98" i="4"/>
  <c r="L98" i="4"/>
  <c r="I98" i="4"/>
  <c r="J98" i="4" s="1"/>
  <c r="AG97" i="4"/>
  <c r="AH97" i="4" s="1"/>
  <c r="AE97" i="4"/>
  <c r="AD97" i="4"/>
  <c r="AA97" i="4"/>
  <c r="AB97" i="4" s="1"/>
  <c r="U97" i="4"/>
  <c r="V97" i="4" s="1"/>
  <c r="S97" i="4"/>
  <c r="R97" i="4"/>
  <c r="O97" i="4"/>
  <c r="P97" i="4" s="1"/>
  <c r="I97" i="4"/>
  <c r="J97" i="4" s="1"/>
  <c r="AG96" i="4"/>
  <c r="AH96" i="4" s="1"/>
  <c r="AE96" i="4"/>
  <c r="AD96" i="4"/>
  <c r="AA96" i="4"/>
  <c r="AB96" i="4" s="1"/>
  <c r="U96" i="4"/>
  <c r="V96" i="4" s="1"/>
  <c r="S96" i="4"/>
  <c r="R96" i="4"/>
  <c r="O96" i="4"/>
  <c r="P96" i="4" s="1"/>
  <c r="I96" i="4"/>
  <c r="J96" i="4" s="1"/>
  <c r="AK95" i="4"/>
  <c r="AJ95" i="4"/>
  <c r="AG95" i="4"/>
  <c r="AH95" i="4" s="1"/>
  <c r="AA95" i="4"/>
  <c r="AB95" i="4" s="1"/>
  <c r="Y95" i="4"/>
  <c r="X95" i="4"/>
  <c r="U95" i="4"/>
  <c r="V95" i="4" s="1"/>
  <c r="O95" i="4"/>
  <c r="P95" i="4" s="1"/>
  <c r="M95" i="4"/>
  <c r="L95" i="4"/>
  <c r="I95" i="4"/>
  <c r="J95" i="4" s="1"/>
  <c r="AG94" i="4"/>
  <c r="AH94" i="4" s="1"/>
  <c r="AE94" i="4"/>
  <c r="AD94" i="4"/>
  <c r="AA94" i="4"/>
  <c r="AB94" i="4" s="1"/>
  <c r="U94" i="4"/>
  <c r="V94" i="4" s="1"/>
  <c r="S94" i="4"/>
  <c r="R94" i="4"/>
  <c r="O94" i="4"/>
  <c r="P94" i="4" s="1"/>
  <c r="I94" i="4"/>
  <c r="J94" i="4" s="1"/>
  <c r="AK93" i="4"/>
  <c r="AJ93" i="4"/>
  <c r="AG93" i="4"/>
  <c r="AH93" i="4" s="1"/>
  <c r="AA93" i="4"/>
  <c r="AB93" i="4" s="1"/>
  <c r="Y93" i="4"/>
  <c r="X93" i="4"/>
  <c r="U93" i="4"/>
  <c r="V93" i="4" s="1"/>
  <c r="O93" i="4"/>
  <c r="P93" i="4" s="1"/>
  <c r="M93" i="4"/>
  <c r="L93" i="4"/>
  <c r="I93" i="4"/>
  <c r="J93" i="4" s="1"/>
  <c r="AG92" i="4"/>
  <c r="AH92" i="4" s="1"/>
  <c r="AE92" i="4"/>
  <c r="AD92" i="4"/>
  <c r="AA92" i="4"/>
  <c r="AB92" i="4" s="1"/>
  <c r="U92" i="4"/>
  <c r="V92" i="4" s="1"/>
  <c r="S92" i="4"/>
  <c r="R92" i="4"/>
  <c r="O92" i="4"/>
  <c r="P92" i="4" s="1"/>
  <c r="I92" i="4"/>
  <c r="J92" i="4" s="1"/>
  <c r="I91" i="4"/>
  <c r="J91" i="4" s="1"/>
  <c r="AK90" i="4"/>
  <c r="AJ90" i="4"/>
  <c r="AG90" i="4"/>
  <c r="AH90" i="4" s="1"/>
  <c r="AA90" i="4"/>
  <c r="AB90" i="4" s="1"/>
  <c r="Y90" i="4"/>
  <c r="X90" i="4"/>
  <c r="U90" i="4"/>
  <c r="V90" i="4" s="1"/>
  <c r="O90" i="4"/>
  <c r="P90" i="4" s="1"/>
  <c r="M90" i="4"/>
  <c r="L90" i="4"/>
  <c r="I90" i="4"/>
  <c r="J90" i="4" s="1"/>
  <c r="AG89" i="4"/>
  <c r="AH89" i="4" s="1"/>
  <c r="AE89" i="4"/>
  <c r="AD89" i="4"/>
  <c r="AA89" i="4"/>
  <c r="AB89" i="4" s="1"/>
  <c r="U89" i="4"/>
  <c r="V89" i="4" s="1"/>
  <c r="S89" i="4"/>
  <c r="R89" i="4"/>
  <c r="O89" i="4"/>
  <c r="P89" i="4" s="1"/>
  <c r="I89" i="4"/>
  <c r="J89" i="4" s="1"/>
  <c r="AK88" i="4"/>
  <c r="AJ88" i="4"/>
  <c r="AG88" i="4"/>
  <c r="AH88" i="4" s="1"/>
  <c r="AA88" i="4"/>
  <c r="AB88" i="4" s="1"/>
  <c r="Y88" i="4"/>
  <c r="X88" i="4"/>
  <c r="U88" i="4"/>
  <c r="V88" i="4" s="1"/>
  <c r="O88" i="4"/>
  <c r="P88" i="4" s="1"/>
  <c r="M88" i="4"/>
  <c r="L88" i="4"/>
  <c r="I88" i="4"/>
  <c r="J88" i="4" s="1"/>
  <c r="AG87" i="4"/>
  <c r="AH87" i="4" s="1"/>
  <c r="AE87" i="4"/>
  <c r="AD87" i="4"/>
  <c r="AA87" i="4"/>
  <c r="AB87" i="4" s="1"/>
  <c r="U87" i="4"/>
  <c r="V87" i="4" s="1"/>
  <c r="S87" i="4"/>
  <c r="R87" i="4"/>
  <c r="O87" i="4"/>
  <c r="P87" i="4" s="1"/>
  <c r="I87" i="4"/>
  <c r="J87" i="4" s="1"/>
  <c r="AG86" i="4"/>
  <c r="AH86" i="4" s="1"/>
  <c r="AE86" i="4"/>
  <c r="AD86" i="4"/>
  <c r="AA86" i="4"/>
  <c r="AB86" i="4" s="1"/>
  <c r="U86" i="4"/>
  <c r="V86" i="4" s="1"/>
  <c r="S86" i="4"/>
  <c r="R86" i="4"/>
  <c r="O86" i="4"/>
  <c r="P86" i="4" s="1"/>
  <c r="I86" i="4"/>
  <c r="J86" i="4" s="1"/>
  <c r="AK85" i="4"/>
  <c r="AJ85" i="4"/>
  <c r="AG85" i="4"/>
  <c r="AH85" i="4" s="1"/>
  <c r="AA85" i="4"/>
  <c r="AB85" i="4" s="1"/>
  <c r="Y85" i="4"/>
  <c r="X85" i="4"/>
  <c r="U85" i="4"/>
  <c r="V85" i="4" s="1"/>
  <c r="O85" i="4"/>
  <c r="P85" i="4" s="1"/>
  <c r="M85" i="4"/>
  <c r="L85" i="4"/>
  <c r="I85" i="4"/>
  <c r="J85" i="4" s="1"/>
  <c r="AK84" i="4"/>
  <c r="AJ84" i="4"/>
  <c r="AG84" i="4"/>
  <c r="AH84" i="4" s="1"/>
  <c r="AA84" i="4"/>
  <c r="AB84" i="4" s="1"/>
  <c r="Y84" i="4"/>
  <c r="X84" i="4"/>
  <c r="U84" i="4"/>
  <c r="V84" i="4" s="1"/>
  <c r="O84" i="4"/>
  <c r="P84" i="4" s="1"/>
  <c r="M84" i="4"/>
  <c r="L84" i="4"/>
  <c r="I84" i="4"/>
  <c r="J84" i="4" s="1"/>
  <c r="AG83" i="4"/>
  <c r="AH83" i="4" s="1"/>
  <c r="AE83" i="4"/>
  <c r="AD83" i="4"/>
  <c r="AA83" i="4"/>
  <c r="AB83" i="4" s="1"/>
  <c r="U83" i="4"/>
  <c r="V83" i="4" s="1"/>
  <c r="S83" i="4"/>
  <c r="R83" i="4"/>
  <c r="O83" i="4"/>
  <c r="P83" i="4" s="1"/>
  <c r="I83" i="4"/>
  <c r="J83" i="4" s="1"/>
  <c r="I82" i="4"/>
  <c r="J82" i="4" s="1"/>
  <c r="I81" i="4"/>
  <c r="J81" i="4" s="1"/>
  <c r="I80" i="4"/>
  <c r="J80" i="4" s="1"/>
  <c r="I79" i="4"/>
  <c r="J79" i="4" s="1"/>
  <c r="I78" i="4"/>
  <c r="J78" i="4" s="1"/>
  <c r="I77" i="4"/>
  <c r="J77" i="4" s="1"/>
  <c r="I76" i="4"/>
  <c r="J76" i="4" s="1"/>
  <c r="I75" i="4"/>
  <c r="J75" i="4" s="1"/>
  <c r="I74" i="4"/>
  <c r="J74" i="4" s="1"/>
  <c r="I73" i="4"/>
  <c r="J73" i="4" s="1"/>
  <c r="I72" i="4"/>
  <c r="J72" i="4" s="1"/>
  <c r="I71" i="4"/>
  <c r="J71" i="4" s="1"/>
  <c r="I70" i="4"/>
  <c r="J70" i="4" s="1"/>
  <c r="I69" i="4"/>
  <c r="J69" i="4" s="1"/>
  <c r="I68" i="4"/>
  <c r="J68" i="4" s="1"/>
  <c r="AK67" i="4"/>
  <c r="AJ67" i="4"/>
  <c r="AG67" i="4"/>
  <c r="AH67" i="4" s="1"/>
  <c r="AA67" i="4"/>
  <c r="AB67" i="4" s="1"/>
  <c r="Y67" i="4"/>
  <c r="X67" i="4"/>
  <c r="U67" i="4"/>
  <c r="V67" i="4" s="1"/>
  <c r="O67" i="4"/>
  <c r="P67" i="4" s="1"/>
  <c r="M67" i="4"/>
  <c r="L67" i="4"/>
  <c r="I67" i="4"/>
  <c r="J67" i="4" s="1"/>
  <c r="AG66" i="4"/>
  <c r="AH66" i="4" s="1"/>
  <c r="AE66" i="4"/>
  <c r="AD66" i="4"/>
  <c r="AA66" i="4"/>
  <c r="AB66" i="4" s="1"/>
  <c r="U66" i="4"/>
  <c r="V66" i="4" s="1"/>
  <c r="S66" i="4"/>
  <c r="R66" i="4"/>
  <c r="O66" i="4"/>
  <c r="P66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J61" i="4" s="1"/>
  <c r="I60" i="4"/>
  <c r="J60" i="4" s="1"/>
  <c r="I59" i="4"/>
  <c r="J59" i="4" s="1"/>
  <c r="I58" i="4"/>
  <c r="J58" i="4" s="1"/>
  <c r="I57" i="4"/>
  <c r="J57" i="4" s="1"/>
  <c r="I56" i="4"/>
  <c r="J56" i="4" s="1"/>
  <c r="I55" i="4"/>
  <c r="J55" i="4" s="1"/>
  <c r="I54" i="4"/>
  <c r="J54" i="4" s="1"/>
  <c r="I53" i="4"/>
  <c r="J53" i="4" s="1"/>
  <c r="AG52" i="4"/>
  <c r="AH52" i="4" s="1"/>
  <c r="AD52" i="4"/>
  <c r="AE52" i="4" s="1"/>
  <c r="AA52" i="4"/>
  <c r="AB52" i="4" s="1"/>
  <c r="U52" i="4"/>
  <c r="V52" i="4" s="1"/>
  <c r="S52" i="4"/>
  <c r="R52" i="4"/>
  <c r="O52" i="4"/>
  <c r="P52" i="4" s="1"/>
  <c r="I52" i="4"/>
  <c r="J52" i="4" s="1"/>
  <c r="I51" i="4"/>
  <c r="J51" i="4" s="1"/>
  <c r="AJ50" i="4"/>
  <c r="AK50" i="4" s="1"/>
  <c r="AG50" i="4"/>
  <c r="AH50" i="4" s="1"/>
  <c r="AA50" i="4"/>
  <c r="AB50" i="4" s="1"/>
  <c r="X50" i="4"/>
  <c r="Y50" i="4" s="1"/>
  <c r="U50" i="4"/>
  <c r="V50" i="4" s="1"/>
  <c r="O50" i="4"/>
  <c r="P50" i="4" s="1"/>
  <c r="L50" i="4"/>
  <c r="M50" i="4" s="1"/>
  <c r="I50" i="4"/>
  <c r="J50" i="4" s="1"/>
  <c r="AG49" i="4"/>
  <c r="AH49" i="4" s="1"/>
  <c r="AD49" i="4"/>
  <c r="AE49" i="4" s="1"/>
  <c r="AA49" i="4"/>
  <c r="AB49" i="4" s="1"/>
  <c r="U49" i="4"/>
  <c r="V49" i="4" s="1"/>
  <c r="R49" i="4"/>
  <c r="S49" i="4" s="1"/>
  <c r="O49" i="4"/>
  <c r="P49" i="4" s="1"/>
  <c r="I49" i="4"/>
  <c r="J49" i="4" s="1"/>
  <c r="I48" i="4"/>
  <c r="J48" i="4" s="1"/>
  <c r="I47" i="4"/>
  <c r="J47" i="4" s="1"/>
  <c r="I46" i="4"/>
  <c r="J46" i="4" s="1"/>
  <c r="I45" i="4"/>
  <c r="J45" i="4" s="1"/>
  <c r="I44" i="4"/>
  <c r="J44" i="4" s="1"/>
  <c r="I43" i="4"/>
  <c r="J43" i="4" s="1"/>
  <c r="AJ42" i="4"/>
  <c r="AK42" i="4" s="1"/>
  <c r="AG42" i="4"/>
  <c r="AH42" i="4" s="1"/>
  <c r="AA42" i="4"/>
  <c r="AB42" i="4" s="1"/>
  <c r="X42" i="4"/>
  <c r="Y42" i="4" s="1"/>
  <c r="U42" i="4"/>
  <c r="V42" i="4" s="1"/>
  <c r="O42" i="4"/>
  <c r="P42" i="4" s="1"/>
  <c r="L42" i="4"/>
  <c r="M42" i="4" s="1"/>
  <c r="I42" i="4"/>
  <c r="J42" i="4" s="1"/>
  <c r="AG41" i="4"/>
  <c r="AH41" i="4" s="1"/>
  <c r="AD41" i="4"/>
  <c r="AE41" i="4" s="1"/>
  <c r="AA41" i="4"/>
  <c r="AB41" i="4" s="1"/>
  <c r="U41" i="4"/>
  <c r="V41" i="4" s="1"/>
  <c r="R41" i="4"/>
  <c r="S41" i="4" s="1"/>
  <c r="O41" i="4"/>
  <c r="P41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AJ27" i="4"/>
  <c r="AK27" i="4" s="1"/>
  <c r="AG27" i="4"/>
  <c r="AH27" i="4" s="1"/>
  <c r="AB27" i="4"/>
  <c r="AA27" i="4"/>
  <c r="X27" i="4"/>
  <c r="Y27" i="4" s="1"/>
  <c r="U27" i="4"/>
  <c r="V27" i="4" s="1"/>
  <c r="O27" i="4"/>
  <c r="P27" i="4" s="1"/>
  <c r="L27" i="4"/>
  <c r="M27" i="4" s="1"/>
  <c r="J27" i="4"/>
  <c r="I27" i="4"/>
  <c r="AG26" i="4"/>
  <c r="AH26" i="4" s="1"/>
  <c r="AD26" i="4"/>
  <c r="AE26" i="4" s="1"/>
  <c r="AA26" i="4"/>
  <c r="AB26" i="4" s="1"/>
  <c r="U26" i="4"/>
  <c r="V26" i="4" s="1"/>
  <c r="R26" i="4"/>
  <c r="S26" i="4" s="1"/>
  <c r="O26" i="4"/>
  <c r="P26" i="4" s="1"/>
  <c r="J26" i="4"/>
  <c r="I26" i="4"/>
  <c r="I25" i="4"/>
  <c r="J25" i="4" s="1"/>
  <c r="J24" i="4"/>
  <c r="I24" i="4"/>
  <c r="I23" i="4"/>
  <c r="J23" i="4" s="1"/>
  <c r="I22" i="4"/>
  <c r="J22" i="4" s="1"/>
  <c r="I21" i="4"/>
  <c r="J21" i="4" s="1"/>
  <c r="J20" i="4"/>
  <c r="I20" i="4"/>
  <c r="I19" i="4"/>
  <c r="J19" i="4" s="1"/>
  <c r="I18" i="4"/>
  <c r="J18" i="4" s="1"/>
  <c r="AJ17" i="4"/>
  <c r="AK17" i="4" s="1"/>
  <c r="AG17" i="4"/>
  <c r="AH17" i="4" s="1"/>
  <c r="AB17" i="4"/>
  <c r="AA17" i="4"/>
  <c r="X17" i="4"/>
  <c r="Y17" i="4" s="1"/>
  <c r="U17" i="4"/>
  <c r="V17" i="4" s="1"/>
  <c r="O17" i="4"/>
  <c r="P17" i="4" s="1"/>
  <c r="L17" i="4"/>
  <c r="M17" i="4" s="1"/>
  <c r="I17" i="4"/>
  <c r="J17" i="4" s="1"/>
  <c r="AH16" i="4"/>
  <c r="AG16" i="4"/>
  <c r="AD16" i="4"/>
  <c r="AE16" i="4" s="1"/>
  <c r="AA16" i="4"/>
  <c r="AB16" i="4" s="1"/>
  <c r="U16" i="4"/>
  <c r="V16" i="4" s="1"/>
  <c r="R16" i="4"/>
  <c r="S16" i="4" s="1"/>
  <c r="O16" i="4"/>
  <c r="P16" i="4" s="1"/>
  <c r="J16" i="4"/>
  <c r="I16" i="4"/>
  <c r="I15" i="4"/>
  <c r="J15" i="4" s="1"/>
  <c r="I14" i="4"/>
  <c r="J14" i="4" s="1"/>
  <c r="AJ13" i="4"/>
  <c r="AK13" i="4" s="1"/>
  <c r="AG13" i="4"/>
  <c r="AH13" i="4" s="1"/>
  <c r="AB13" i="4"/>
  <c r="AA13" i="4"/>
  <c r="X13" i="4"/>
  <c r="Y13" i="4" s="1"/>
  <c r="U13" i="4"/>
  <c r="V13" i="4" s="1"/>
  <c r="O13" i="4"/>
  <c r="P13" i="4" s="1"/>
  <c r="L13" i="4"/>
  <c r="M13" i="4" s="1"/>
  <c r="I13" i="4"/>
  <c r="J13" i="4" s="1"/>
  <c r="AH12" i="4"/>
  <c r="AG12" i="4"/>
  <c r="AD12" i="4"/>
  <c r="AE12" i="4" s="1"/>
  <c r="AA12" i="4"/>
  <c r="AB12" i="4" s="1"/>
  <c r="U12" i="4"/>
  <c r="V12" i="4" s="1"/>
  <c r="R12" i="4"/>
  <c r="S12" i="4" s="1"/>
  <c r="O12" i="4"/>
  <c r="P12" i="4" s="1"/>
  <c r="J12" i="4"/>
  <c r="I12" i="4"/>
  <c r="AJ11" i="4"/>
  <c r="AK11" i="4" s="1"/>
  <c r="AK196" i="4" s="1"/>
  <c r="AG11" i="4"/>
  <c r="AH11" i="4" s="1"/>
  <c r="AH196" i="4" s="1"/>
  <c r="AB11" i="4"/>
  <c r="AB196" i="4" s="1"/>
  <c r="AA11" i="4"/>
  <c r="X11" i="4"/>
  <c r="Y11" i="4" s="1"/>
  <c r="Y196" i="4" s="1"/>
  <c r="U11" i="4"/>
  <c r="V11" i="4" s="1"/>
  <c r="V196" i="4" s="1"/>
  <c r="P11" i="4"/>
  <c r="P196" i="4" s="1"/>
  <c r="O11" i="4"/>
  <c r="L11" i="4"/>
  <c r="M11" i="4" s="1"/>
  <c r="M196" i="4" s="1"/>
  <c r="I11" i="4"/>
  <c r="J11" i="4" s="1"/>
  <c r="J196" i="4" s="1"/>
  <c r="AJ10" i="4"/>
  <c r="AK10" i="4" s="1"/>
  <c r="AH10" i="4"/>
  <c r="AG10" i="4"/>
  <c r="AA10" i="4"/>
  <c r="AB10" i="4" s="1"/>
  <c r="X10" i="4"/>
  <c r="Y10" i="4" s="1"/>
  <c r="V10" i="4"/>
  <c r="U10" i="4"/>
  <c r="O10" i="4"/>
  <c r="P10" i="4" s="1"/>
  <c r="L10" i="4"/>
  <c r="M10" i="4" s="1"/>
  <c r="J10" i="4"/>
  <c r="I10" i="4"/>
  <c r="AG9" i="4"/>
  <c r="AH9" i="4" s="1"/>
  <c r="AD9" i="4"/>
  <c r="AE9" i="4" s="1"/>
  <c r="AB9" i="4"/>
  <c r="AA9" i="4"/>
  <c r="U9" i="4"/>
  <c r="V9" i="4" s="1"/>
  <c r="R9" i="4"/>
  <c r="S9" i="4" s="1"/>
  <c r="P9" i="4"/>
  <c r="O9" i="4"/>
  <c r="I9" i="4"/>
  <c r="J9" i="4" s="1"/>
  <c r="AJ8" i="4"/>
  <c r="AK8" i="4" s="1"/>
  <c r="AH8" i="4"/>
  <c r="AG8" i="4"/>
  <c r="AA8" i="4"/>
  <c r="AB8" i="4" s="1"/>
  <c r="X8" i="4"/>
  <c r="Y8" i="4" s="1"/>
  <c r="V8" i="4"/>
  <c r="U8" i="4"/>
  <c r="O8" i="4"/>
  <c r="P8" i="4" s="1"/>
  <c r="L8" i="4"/>
  <c r="M8" i="4" s="1"/>
  <c r="J8" i="4"/>
  <c r="I8" i="4"/>
  <c r="AJ7" i="4"/>
  <c r="AK7" i="4" s="1"/>
  <c r="AG7" i="4"/>
  <c r="AH7" i="4" s="1"/>
  <c r="AB7" i="4"/>
  <c r="AA7" i="4"/>
  <c r="X7" i="4"/>
  <c r="Y7" i="4" s="1"/>
  <c r="U7" i="4"/>
  <c r="V7" i="4" s="1"/>
  <c r="P7" i="4"/>
  <c r="O7" i="4"/>
  <c r="L7" i="4"/>
  <c r="M7" i="4" s="1"/>
  <c r="I7" i="4"/>
  <c r="J7" i="4" s="1"/>
  <c r="AJ6" i="4"/>
  <c r="AK6" i="4" s="1"/>
  <c r="AH6" i="4"/>
  <c r="AG6" i="4"/>
  <c r="AA6" i="4"/>
  <c r="AB6" i="4" s="1"/>
  <c r="AB194" i="4" s="1"/>
  <c r="X6" i="4"/>
  <c r="Y6" i="4" s="1"/>
  <c r="V6" i="4"/>
  <c r="U6" i="4"/>
  <c r="O6" i="4"/>
  <c r="P6" i="4" s="1"/>
  <c r="P194" i="4" s="1"/>
  <c r="L6" i="4"/>
  <c r="M6" i="4" s="1"/>
  <c r="J6" i="4"/>
  <c r="I6" i="4"/>
  <c r="AG5" i="4"/>
  <c r="AH5" i="4" s="1"/>
  <c r="AD5" i="4"/>
  <c r="AE5" i="4" s="1"/>
  <c r="AB5" i="4"/>
  <c r="AA5" i="4"/>
  <c r="U5" i="4"/>
  <c r="V5" i="4" s="1"/>
  <c r="R5" i="4"/>
  <c r="S5" i="4" s="1"/>
  <c r="P5" i="4"/>
  <c r="O5" i="4"/>
  <c r="I5" i="4"/>
  <c r="J5" i="4" s="1"/>
  <c r="AH4" i="4"/>
  <c r="AG4" i="4"/>
  <c r="AD4" i="4"/>
  <c r="AE4" i="4" s="1"/>
  <c r="AA4" i="4"/>
  <c r="AB4" i="4" s="1"/>
  <c r="V4" i="4"/>
  <c r="U4" i="4"/>
  <c r="R4" i="4"/>
  <c r="S4" i="4" s="1"/>
  <c r="O4" i="4"/>
  <c r="P4" i="4" s="1"/>
  <c r="J4" i="4"/>
  <c r="I4" i="4"/>
  <c r="AK701" i="3"/>
  <c r="AH701" i="3"/>
  <c r="AE701" i="3"/>
  <c r="AB701" i="3"/>
  <c r="Y701" i="3"/>
  <c r="V701" i="3"/>
  <c r="S701" i="3"/>
  <c r="P701" i="3"/>
  <c r="M701" i="3"/>
  <c r="J701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49" i="3"/>
  <c r="H648" i="3"/>
  <c r="I632" i="3" s="1"/>
  <c r="J632" i="3" s="1"/>
  <c r="H647" i="3"/>
  <c r="H646" i="3"/>
  <c r="H645" i="3"/>
  <c r="AI644" i="3"/>
  <c r="AF644" i="3"/>
  <c r="AC644" i="3"/>
  <c r="Z644" i="3"/>
  <c r="W644" i="3"/>
  <c r="T644" i="3"/>
  <c r="U576" i="3" s="1"/>
  <c r="V576" i="3" s="1"/>
  <c r="Q644" i="3"/>
  <c r="N644" i="3"/>
  <c r="K644" i="3"/>
  <c r="H644" i="3"/>
  <c r="AI642" i="3"/>
  <c r="AF642" i="3"/>
  <c r="AC642" i="3"/>
  <c r="Z642" i="3"/>
  <c r="W642" i="3"/>
  <c r="T642" i="3"/>
  <c r="Q642" i="3"/>
  <c r="I640" i="3"/>
  <c r="J640" i="3" s="1"/>
  <c r="I639" i="3"/>
  <c r="J639" i="3" s="1"/>
  <c r="I638" i="3"/>
  <c r="J638" i="3" s="1"/>
  <c r="I637" i="3"/>
  <c r="J637" i="3" s="1"/>
  <c r="I636" i="3"/>
  <c r="J636" i="3" s="1"/>
  <c r="I635" i="3"/>
  <c r="J635" i="3" s="1"/>
  <c r="I634" i="3"/>
  <c r="J634" i="3" s="1"/>
  <c r="I633" i="3"/>
  <c r="J633" i="3" s="1"/>
  <c r="I631" i="3"/>
  <c r="J631" i="3" s="1"/>
  <c r="I630" i="3"/>
  <c r="J630" i="3" s="1"/>
  <c r="I629" i="3"/>
  <c r="J629" i="3" s="1"/>
  <c r="I626" i="3"/>
  <c r="J626" i="3" s="1"/>
  <c r="I625" i="3"/>
  <c r="J625" i="3" s="1"/>
  <c r="I623" i="3"/>
  <c r="J623" i="3" s="1"/>
  <c r="I620" i="3"/>
  <c r="J620" i="3" s="1"/>
  <c r="I619" i="3"/>
  <c r="J619" i="3" s="1"/>
  <c r="I617" i="3"/>
  <c r="J617" i="3" s="1"/>
  <c r="I616" i="3"/>
  <c r="J616" i="3" s="1"/>
  <c r="I615" i="3"/>
  <c r="J615" i="3" s="1"/>
  <c r="I614" i="3"/>
  <c r="J614" i="3" s="1"/>
  <c r="I613" i="3"/>
  <c r="J613" i="3" s="1"/>
  <c r="I610" i="3"/>
  <c r="J610" i="3" s="1"/>
  <c r="I609" i="3"/>
  <c r="J609" i="3" s="1"/>
  <c r="I608" i="3"/>
  <c r="J608" i="3" s="1"/>
  <c r="I607" i="3"/>
  <c r="J607" i="3" s="1"/>
  <c r="I606" i="3"/>
  <c r="J606" i="3" s="1"/>
  <c r="I604" i="3"/>
  <c r="J604" i="3" s="1"/>
  <c r="I603" i="3"/>
  <c r="J603" i="3" s="1"/>
  <c r="I602" i="3"/>
  <c r="J602" i="3" s="1"/>
  <c r="I601" i="3"/>
  <c r="J601" i="3" s="1"/>
  <c r="I600" i="3"/>
  <c r="J600" i="3" s="1"/>
  <c r="I599" i="3"/>
  <c r="J599" i="3" s="1"/>
  <c r="I597" i="3"/>
  <c r="J597" i="3" s="1"/>
  <c r="I596" i="3"/>
  <c r="J596" i="3" s="1"/>
  <c r="I594" i="3"/>
  <c r="J594" i="3" s="1"/>
  <c r="I593" i="3"/>
  <c r="J593" i="3" s="1"/>
  <c r="I592" i="3"/>
  <c r="J592" i="3" s="1"/>
  <c r="I591" i="3"/>
  <c r="J591" i="3" s="1"/>
  <c r="I590" i="3"/>
  <c r="J590" i="3" s="1"/>
  <c r="I589" i="3"/>
  <c r="J589" i="3" s="1"/>
  <c r="I588" i="3"/>
  <c r="J588" i="3" s="1"/>
  <c r="I587" i="3"/>
  <c r="J587" i="3" s="1"/>
  <c r="I586" i="3"/>
  <c r="J586" i="3" s="1"/>
  <c r="I585" i="3"/>
  <c r="J585" i="3" s="1"/>
  <c r="I584" i="3"/>
  <c r="J584" i="3" s="1"/>
  <c r="I583" i="3"/>
  <c r="J583" i="3" s="1"/>
  <c r="I582" i="3"/>
  <c r="J582" i="3" s="1"/>
  <c r="I581" i="3"/>
  <c r="J581" i="3" s="1"/>
  <c r="I579" i="3"/>
  <c r="J579" i="3" s="1"/>
  <c r="I578" i="3"/>
  <c r="J578" i="3" s="1"/>
  <c r="I577" i="3"/>
  <c r="J577" i="3" s="1"/>
  <c r="AK576" i="3"/>
  <c r="AJ576" i="3"/>
  <c r="AD576" i="3"/>
  <c r="AE576" i="3" s="1"/>
  <c r="AA576" i="3"/>
  <c r="AB576" i="3" s="1"/>
  <c r="X576" i="3"/>
  <c r="Y576" i="3" s="1"/>
  <c r="O576" i="3"/>
  <c r="P576" i="3" s="1"/>
  <c r="M576" i="3"/>
  <c r="L576" i="3"/>
  <c r="I575" i="3"/>
  <c r="J575" i="3" s="1"/>
  <c r="I574" i="3"/>
  <c r="J574" i="3" s="1"/>
  <c r="I573" i="3"/>
  <c r="J573" i="3" s="1"/>
  <c r="I572" i="3"/>
  <c r="J572" i="3" s="1"/>
  <c r="I571" i="3"/>
  <c r="J571" i="3" s="1"/>
  <c r="I570" i="3"/>
  <c r="J570" i="3" s="1"/>
  <c r="I569" i="3"/>
  <c r="J569" i="3" s="1"/>
  <c r="I567" i="3"/>
  <c r="J567" i="3" s="1"/>
  <c r="I566" i="3"/>
  <c r="J566" i="3" s="1"/>
  <c r="AK565" i="3"/>
  <c r="AJ565" i="3"/>
  <c r="AG565" i="3"/>
  <c r="AH565" i="3" s="1"/>
  <c r="AA565" i="3"/>
  <c r="AB565" i="3" s="1"/>
  <c r="X565" i="3"/>
  <c r="Y565" i="3" s="1"/>
  <c r="U565" i="3"/>
  <c r="V565" i="3" s="1"/>
  <c r="O565" i="3"/>
  <c r="P565" i="3" s="1"/>
  <c r="M565" i="3"/>
  <c r="L565" i="3"/>
  <c r="I564" i="3"/>
  <c r="J564" i="3" s="1"/>
  <c r="I563" i="3"/>
  <c r="J563" i="3" s="1"/>
  <c r="I562" i="3"/>
  <c r="J562" i="3" s="1"/>
  <c r="I561" i="3"/>
  <c r="J561" i="3" s="1"/>
  <c r="I560" i="3"/>
  <c r="J560" i="3" s="1"/>
  <c r="I559" i="3"/>
  <c r="J559" i="3" s="1"/>
  <c r="I558" i="3"/>
  <c r="J558" i="3" s="1"/>
  <c r="I557" i="3"/>
  <c r="J557" i="3" s="1"/>
  <c r="I556" i="3"/>
  <c r="J556" i="3" s="1"/>
  <c r="I555" i="3"/>
  <c r="J555" i="3" s="1"/>
  <c r="I554" i="3"/>
  <c r="J554" i="3" s="1"/>
  <c r="I553" i="3"/>
  <c r="J553" i="3" s="1"/>
  <c r="I552" i="3"/>
  <c r="J552" i="3" s="1"/>
  <c r="I550" i="3"/>
  <c r="J550" i="3" s="1"/>
  <c r="I549" i="3"/>
  <c r="J549" i="3" s="1"/>
  <c r="I548" i="3"/>
  <c r="J548" i="3" s="1"/>
  <c r="I547" i="3"/>
  <c r="J547" i="3" s="1"/>
  <c r="I546" i="3"/>
  <c r="J546" i="3" s="1"/>
  <c r="I545" i="3"/>
  <c r="J545" i="3" s="1"/>
  <c r="I543" i="3"/>
  <c r="J543" i="3" s="1"/>
  <c r="I542" i="3"/>
  <c r="J542" i="3" s="1"/>
  <c r="I541" i="3"/>
  <c r="J541" i="3" s="1"/>
  <c r="I540" i="3"/>
  <c r="J540" i="3" s="1"/>
  <c r="I539" i="3"/>
  <c r="J539" i="3" s="1"/>
  <c r="I538" i="3"/>
  <c r="J538" i="3" s="1"/>
  <c r="I537" i="3"/>
  <c r="J537" i="3" s="1"/>
  <c r="I536" i="3"/>
  <c r="J536" i="3" s="1"/>
  <c r="I535" i="3"/>
  <c r="J535" i="3" s="1"/>
  <c r="I534" i="3"/>
  <c r="J534" i="3" s="1"/>
  <c r="I533" i="3"/>
  <c r="J533" i="3" s="1"/>
  <c r="I532" i="3"/>
  <c r="J532" i="3" s="1"/>
  <c r="I531" i="3"/>
  <c r="J531" i="3" s="1"/>
  <c r="I530" i="3"/>
  <c r="J530" i="3" s="1"/>
  <c r="I529" i="3"/>
  <c r="J529" i="3" s="1"/>
  <c r="I528" i="3"/>
  <c r="J528" i="3" s="1"/>
  <c r="I527" i="3"/>
  <c r="J527" i="3" s="1"/>
  <c r="I526" i="3"/>
  <c r="J526" i="3" s="1"/>
  <c r="I524" i="3"/>
  <c r="J524" i="3" s="1"/>
  <c r="I523" i="3"/>
  <c r="J523" i="3" s="1"/>
  <c r="I522" i="3"/>
  <c r="J522" i="3" s="1"/>
  <c r="I521" i="3"/>
  <c r="J521" i="3" s="1"/>
  <c r="I520" i="3"/>
  <c r="J520" i="3" s="1"/>
  <c r="I519" i="3"/>
  <c r="J519" i="3" s="1"/>
  <c r="I518" i="3"/>
  <c r="J518" i="3" s="1"/>
  <c r="I517" i="3"/>
  <c r="J517" i="3" s="1"/>
  <c r="I516" i="3"/>
  <c r="J516" i="3" s="1"/>
  <c r="AK515" i="3"/>
  <c r="AJ515" i="3"/>
  <c r="AG515" i="3"/>
  <c r="AH515" i="3" s="1"/>
  <c r="AD515" i="3"/>
  <c r="AE515" i="3" s="1"/>
  <c r="AA515" i="3"/>
  <c r="AB515" i="3" s="1"/>
  <c r="Y515" i="3"/>
  <c r="X515" i="3"/>
  <c r="U515" i="3"/>
  <c r="V515" i="3" s="1"/>
  <c r="O515" i="3"/>
  <c r="P515" i="3" s="1"/>
  <c r="L515" i="3"/>
  <c r="M515" i="3" s="1"/>
  <c r="I515" i="3"/>
  <c r="J515" i="3" s="1"/>
  <c r="I514" i="3"/>
  <c r="J514" i="3" s="1"/>
  <c r="I513" i="3"/>
  <c r="J513" i="3" s="1"/>
  <c r="I512" i="3"/>
  <c r="J512" i="3" s="1"/>
  <c r="I511" i="3"/>
  <c r="J511" i="3" s="1"/>
  <c r="I510" i="3"/>
  <c r="J510" i="3" s="1"/>
  <c r="I509" i="3"/>
  <c r="J509" i="3" s="1"/>
  <c r="I508" i="3"/>
  <c r="J508" i="3" s="1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J502" i="3" s="1"/>
  <c r="I501" i="3"/>
  <c r="J501" i="3" s="1"/>
  <c r="I500" i="3"/>
  <c r="J500" i="3" s="1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J494" i="3" s="1"/>
  <c r="I493" i="3"/>
  <c r="J493" i="3" s="1"/>
  <c r="I492" i="3"/>
  <c r="J492" i="3" s="1"/>
  <c r="I491" i="3"/>
  <c r="J491" i="3" s="1"/>
  <c r="I489" i="3"/>
  <c r="J489" i="3" s="1"/>
  <c r="I488" i="3"/>
  <c r="J488" i="3" s="1"/>
  <c r="I487" i="3"/>
  <c r="J487" i="3" s="1"/>
  <c r="I486" i="3"/>
  <c r="J486" i="3" s="1"/>
  <c r="I485" i="3"/>
  <c r="J485" i="3" s="1"/>
  <c r="I484" i="3"/>
  <c r="J484" i="3" s="1"/>
  <c r="I483" i="3"/>
  <c r="J483" i="3" s="1"/>
  <c r="I482" i="3"/>
  <c r="J482" i="3" s="1"/>
  <c r="I481" i="3"/>
  <c r="J481" i="3" s="1"/>
  <c r="I480" i="3"/>
  <c r="J480" i="3" s="1"/>
  <c r="I479" i="3"/>
  <c r="J479" i="3" s="1"/>
  <c r="I478" i="3"/>
  <c r="J478" i="3" s="1"/>
  <c r="I477" i="3"/>
  <c r="J477" i="3" s="1"/>
  <c r="I476" i="3"/>
  <c r="J476" i="3" s="1"/>
  <c r="I475" i="3"/>
  <c r="J475" i="3" s="1"/>
  <c r="I474" i="3"/>
  <c r="J474" i="3" s="1"/>
  <c r="I472" i="3"/>
  <c r="J472" i="3" s="1"/>
  <c r="I471" i="3"/>
  <c r="J471" i="3" s="1"/>
  <c r="I470" i="3"/>
  <c r="J470" i="3" s="1"/>
  <c r="I469" i="3"/>
  <c r="J469" i="3" s="1"/>
  <c r="I468" i="3"/>
  <c r="J468" i="3" s="1"/>
  <c r="I467" i="3"/>
  <c r="J467" i="3" s="1"/>
  <c r="I466" i="3"/>
  <c r="J466" i="3" s="1"/>
  <c r="I465" i="3"/>
  <c r="J465" i="3" s="1"/>
  <c r="I464" i="3"/>
  <c r="J464" i="3" s="1"/>
  <c r="I463" i="3"/>
  <c r="J463" i="3" s="1"/>
  <c r="I462" i="3"/>
  <c r="J462" i="3" s="1"/>
  <c r="I459" i="3"/>
  <c r="J459" i="3" s="1"/>
  <c r="I458" i="3"/>
  <c r="J458" i="3" s="1"/>
  <c r="I457" i="3"/>
  <c r="J457" i="3" s="1"/>
  <c r="I456" i="3"/>
  <c r="J456" i="3" s="1"/>
  <c r="I455" i="3"/>
  <c r="J455" i="3" s="1"/>
  <c r="I454" i="3"/>
  <c r="J454" i="3" s="1"/>
  <c r="I453" i="3"/>
  <c r="J453" i="3" s="1"/>
  <c r="I452" i="3"/>
  <c r="J452" i="3" s="1"/>
  <c r="I451" i="3"/>
  <c r="J451" i="3" s="1"/>
  <c r="I450" i="3"/>
  <c r="J450" i="3" s="1"/>
  <c r="I449" i="3"/>
  <c r="J449" i="3" s="1"/>
  <c r="I448" i="3"/>
  <c r="J448" i="3" s="1"/>
  <c r="I447" i="3"/>
  <c r="J447" i="3" s="1"/>
  <c r="I446" i="3"/>
  <c r="J446" i="3" s="1"/>
  <c r="AJ445" i="3"/>
  <c r="AK445" i="3" s="1"/>
  <c r="AG445" i="3"/>
  <c r="AH445" i="3" s="1"/>
  <c r="AA445" i="3"/>
  <c r="AB445" i="3" s="1"/>
  <c r="X445" i="3"/>
  <c r="Y445" i="3" s="1"/>
  <c r="U445" i="3"/>
  <c r="V445" i="3" s="1"/>
  <c r="R445" i="3"/>
  <c r="S445" i="3" s="1"/>
  <c r="O445" i="3"/>
  <c r="P445" i="3" s="1"/>
  <c r="L445" i="3"/>
  <c r="M445" i="3" s="1"/>
  <c r="I445" i="3"/>
  <c r="J445" i="3" s="1"/>
  <c r="I444" i="3"/>
  <c r="J444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1" i="3"/>
  <c r="J431" i="3" s="1"/>
  <c r="I430" i="3"/>
  <c r="J430" i="3" s="1"/>
  <c r="I429" i="3"/>
  <c r="J429" i="3" s="1"/>
  <c r="I428" i="3"/>
  <c r="J428" i="3" s="1"/>
  <c r="I427" i="3"/>
  <c r="J427" i="3" s="1"/>
  <c r="I426" i="3"/>
  <c r="J426" i="3" s="1"/>
  <c r="I425" i="3"/>
  <c r="J425" i="3" s="1"/>
  <c r="Q424" i="3"/>
  <c r="N424" i="3"/>
  <c r="N642" i="3" s="1"/>
  <c r="K424" i="3"/>
  <c r="H424" i="3"/>
  <c r="I423" i="3"/>
  <c r="J423" i="3" s="1"/>
  <c r="I422" i="3"/>
  <c r="J422" i="3" s="1"/>
  <c r="I421" i="3"/>
  <c r="J421" i="3" s="1"/>
  <c r="I420" i="3"/>
  <c r="J420" i="3" s="1"/>
  <c r="I418" i="3"/>
  <c r="J418" i="3" s="1"/>
  <c r="AJ417" i="3"/>
  <c r="AK417" i="3" s="1"/>
  <c r="AG417" i="3"/>
  <c r="AH417" i="3" s="1"/>
  <c r="AA417" i="3"/>
  <c r="AB417" i="3" s="1"/>
  <c r="X417" i="3"/>
  <c r="Y417" i="3" s="1"/>
  <c r="U417" i="3"/>
  <c r="V417" i="3" s="1"/>
  <c r="R417" i="3"/>
  <c r="S417" i="3" s="1"/>
  <c r="O417" i="3"/>
  <c r="P417" i="3" s="1"/>
  <c r="L417" i="3"/>
  <c r="M417" i="3" s="1"/>
  <c r="I417" i="3"/>
  <c r="J417" i="3" s="1"/>
  <c r="I416" i="3"/>
  <c r="J416" i="3" s="1"/>
  <c r="I415" i="3"/>
  <c r="J415" i="3" s="1"/>
  <c r="I414" i="3"/>
  <c r="J414" i="3" s="1"/>
  <c r="I413" i="3"/>
  <c r="J413" i="3" s="1"/>
  <c r="I412" i="3"/>
  <c r="J412" i="3" s="1"/>
  <c r="I411" i="3"/>
  <c r="J411" i="3" s="1"/>
  <c r="I410" i="3"/>
  <c r="J410" i="3" s="1"/>
  <c r="I408" i="3"/>
  <c r="J408" i="3" s="1"/>
  <c r="I407" i="3"/>
  <c r="J407" i="3" s="1"/>
  <c r="I406" i="3"/>
  <c r="J406" i="3" s="1"/>
  <c r="I405" i="3"/>
  <c r="J405" i="3" s="1"/>
  <c r="I404" i="3"/>
  <c r="J404" i="3" s="1"/>
  <c r="I402" i="3"/>
  <c r="J402" i="3" s="1"/>
  <c r="I401" i="3"/>
  <c r="J401" i="3" s="1"/>
  <c r="I400" i="3"/>
  <c r="J400" i="3" s="1"/>
  <c r="I399" i="3"/>
  <c r="J399" i="3" s="1"/>
  <c r="I398" i="3"/>
  <c r="J398" i="3" s="1"/>
  <c r="I397" i="3"/>
  <c r="J397" i="3" s="1"/>
  <c r="I396" i="3"/>
  <c r="J396" i="3" s="1"/>
  <c r="I395" i="3"/>
  <c r="J395" i="3" s="1"/>
  <c r="I394" i="3"/>
  <c r="J394" i="3" s="1"/>
  <c r="I393" i="3"/>
  <c r="J393" i="3" s="1"/>
  <c r="I392" i="3"/>
  <c r="J392" i="3" s="1"/>
  <c r="I391" i="3"/>
  <c r="J391" i="3" s="1"/>
  <c r="I390" i="3"/>
  <c r="J390" i="3" s="1"/>
  <c r="I389" i="3"/>
  <c r="J389" i="3" s="1"/>
  <c r="I388" i="3"/>
  <c r="J388" i="3" s="1"/>
  <c r="I387" i="3"/>
  <c r="J387" i="3" s="1"/>
  <c r="I386" i="3"/>
  <c r="J386" i="3" s="1"/>
  <c r="I385" i="3"/>
  <c r="J385" i="3" s="1"/>
  <c r="I384" i="3"/>
  <c r="J384" i="3" s="1"/>
  <c r="I383" i="3"/>
  <c r="J383" i="3" s="1"/>
  <c r="I381" i="3"/>
  <c r="J381" i="3" s="1"/>
  <c r="I380" i="3"/>
  <c r="J380" i="3" s="1"/>
  <c r="I379" i="3"/>
  <c r="J379" i="3" s="1"/>
  <c r="I378" i="3"/>
  <c r="J378" i="3" s="1"/>
  <c r="I377" i="3"/>
  <c r="J377" i="3" s="1"/>
  <c r="I375" i="3"/>
  <c r="J375" i="3" s="1"/>
  <c r="I374" i="3"/>
  <c r="J374" i="3" s="1"/>
  <c r="I373" i="3"/>
  <c r="J373" i="3" s="1"/>
  <c r="I372" i="3"/>
  <c r="J372" i="3" s="1"/>
  <c r="I371" i="3"/>
  <c r="J371" i="3" s="1"/>
  <c r="I370" i="3"/>
  <c r="J370" i="3" s="1"/>
  <c r="I369" i="3"/>
  <c r="J369" i="3" s="1"/>
  <c r="I367" i="3"/>
  <c r="J367" i="3" s="1"/>
  <c r="I366" i="3"/>
  <c r="J366" i="3" s="1"/>
  <c r="I365" i="3"/>
  <c r="J365" i="3" s="1"/>
  <c r="I364" i="3"/>
  <c r="J364" i="3" s="1"/>
  <c r="I363" i="3"/>
  <c r="J363" i="3" s="1"/>
  <c r="I362" i="3"/>
  <c r="J362" i="3" s="1"/>
  <c r="I361" i="3"/>
  <c r="J361" i="3" s="1"/>
  <c r="I360" i="3"/>
  <c r="J360" i="3" s="1"/>
  <c r="I359" i="3"/>
  <c r="J359" i="3" s="1"/>
  <c r="I358" i="3"/>
  <c r="J358" i="3" s="1"/>
  <c r="I357" i="3"/>
  <c r="J357" i="3" s="1"/>
  <c r="I356" i="3"/>
  <c r="J356" i="3" s="1"/>
  <c r="I355" i="3"/>
  <c r="J355" i="3" s="1"/>
  <c r="I354" i="3"/>
  <c r="J354" i="3" s="1"/>
  <c r="I353" i="3"/>
  <c r="J353" i="3" s="1"/>
  <c r="I352" i="3"/>
  <c r="J352" i="3" s="1"/>
  <c r="I351" i="3"/>
  <c r="J351" i="3" s="1"/>
  <c r="I350" i="3"/>
  <c r="J350" i="3" s="1"/>
  <c r="I349" i="3"/>
  <c r="J349" i="3" s="1"/>
  <c r="I348" i="3"/>
  <c r="J348" i="3" s="1"/>
  <c r="I347" i="3"/>
  <c r="J347" i="3" s="1"/>
  <c r="I346" i="3"/>
  <c r="J346" i="3" s="1"/>
  <c r="I345" i="3"/>
  <c r="J345" i="3" s="1"/>
  <c r="I344" i="3"/>
  <c r="J344" i="3" s="1"/>
  <c r="I343" i="3"/>
  <c r="J343" i="3" s="1"/>
  <c r="I342" i="3"/>
  <c r="J342" i="3" s="1"/>
  <c r="I341" i="3"/>
  <c r="J341" i="3" s="1"/>
  <c r="I340" i="3"/>
  <c r="J340" i="3" s="1"/>
  <c r="I339" i="3"/>
  <c r="J339" i="3" s="1"/>
  <c r="I338" i="3"/>
  <c r="J338" i="3" s="1"/>
  <c r="I337" i="3"/>
  <c r="J337" i="3" s="1"/>
  <c r="I336" i="3"/>
  <c r="J336" i="3" s="1"/>
  <c r="I335" i="3"/>
  <c r="J335" i="3" s="1"/>
  <c r="I334" i="3"/>
  <c r="J334" i="3" s="1"/>
  <c r="I333" i="3"/>
  <c r="J333" i="3" s="1"/>
  <c r="I332" i="3"/>
  <c r="J332" i="3" s="1"/>
  <c r="I331" i="3"/>
  <c r="J331" i="3" s="1"/>
  <c r="I330" i="3"/>
  <c r="J330" i="3" s="1"/>
  <c r="I329" i="3"/>
  <c r="J329" i="3" s="1"/>
  <c r="I328" i="3"/>
  <c r="J328" i="3" s="1"/>
  <c r="I327" i="3"/>
  <c r="J327" i="3" s="1"/>
  <c r="I325" i="3"/>
  <c r="J325" i="3" s="1"/>
  <c r="I324" i="3"/>
  <c r="J324" i="3" s="1"/>
  <c r="I323" i="3"/>
  <c r="J323" i="3" s="1"/>
  <c r="I322" i="3"/>
  <c r="J322" i="3" s="1"/>
  <c r="I321" i="3"/>
  <c r="J321" i="3" s="1"/>
  <c r="AK320" i="3"/>
  <c r="AJ320" i="3"/>
  <c r="AG320" i="3"/>
  <c r="AH320" i="3" s="1"/>
  <c r="AD320" i="3"/>
  <c r="AE320" i="3" s="1"/>
  <c r="AA320" i="3"/>
  <c r="AB320" i="3" s="1"/>
  <c r="Y320" i="3"/>
  <c r="X320" i="3"/>
  <c r="U320" i="3"/>
  <c r="V320" i="3" s="1"/>
  <c r="R320" i="3"/>
  <c r="S320" i="3" s="1"/>
  <c r="O320" i="3"/>
  <c r="P320" i="3" s="1"/>
  <c r="M320" i="3"/>
  <c r="L320" i="3"/>
  <c r="I320" i="3"/>
  <c r="J320" i="3" s="1"/>
  <c r="I319" i="3"/>
  <c r="J319" i="3" s="1"/>
  <c r="I318" i="3"/>
  <c r="J318" i="3" s="1"/>
  <c r="AJ317" i="3"/>
  <c r="AK317" i="3" s="1"/>
  <c r="AG317" i="3"/>
  <c r="AH317" i="3" s="1"/>
  <c r="AA317" i="3"/>
  <c r="AB317" i="3" s="1"/>
  <c r="Y317" i="3"/>
  <c r="X317" i="3"/>
  <c r="U317" i="3"/>
  <c r="V317" i="3" s="1"/>
  <c r="R317" i="3"/>
  <c r="S317" i="3" s="1"/>
  <c r="O317" i="3"/>
  <c r="P317" i="3" s="1"/>
  <c r="L317" i="3"/>
  <c r="M317" i="3" s="1"/>
  <c r="I317" i="3"/>
  <c r="J317" i="3" s="1"/>
  <c r="I316" i="3"/>
  <c r="J316" i="3" s="1"/>
  <c r="I315" i="3"/>
  <c r="J315" i="3" s="1"/>
  <c r="I314" i="3"/>
  <c r="J314" i="3" s="1"/>
  <c r="I313" i="3"/>
  <c r="J313" i="3" s="1"/>
  <c r="I312" i="3"/>
  <c r="J312" i="3" s="1"/>
  <c r="I311" i="3"/>
  <c r="J311" i="3" s="1"/>
  <c r="I310" i="3"/>
  <c r="J310" i="3" s="1"/>
  <c r="I309" i="3"/>
  <c r="J309" i="3" s="1"/>
  <c r="I308" i="3"/>
  <c r="J308" i="3" s="1"/>
  <c r="I307" i="3"/>
  <c r="J307" i="3" s="1"/>
  <c r="I306" i="3"/>
  <c r="J306" i="3" s="1"/>
  <c r="I305" i="3"/>
  <c r="J305" i="3" s="1"/>
  <c r="I304" i="3"/>
  <c r="J304" i="3" s="1"/>
  <c r="I303" i="3"/>
  <c r="J303" i="3" s="1"/>
  <c r="I302" i="3"/>
  <c r="J302" i="3" s="1"/>
  <c r="I301" i="3"/>
  <c r="J301" i="3" s="1"/>
  <c r="I300" i="3"/>
  <c r="J300" i="3" s="1"/>
  <c r="I299" i="3"/>
  <c r="J299" i="3" s="1"/>
  <c r="I298" i="3"/>
  <c r="J298" i="3" s="1"/>
  <c r="I297" i="3"/>
  <c r="J297" i="3" s="1"/>
  <c r="I296" i="3"/>
  <c r="J296" i="3" s="1"/>
  <c r="I295" i="3"/>
  <c r="J295" i="3" s="1"/>
  <c r="I294" i="3"/>
  <c r="J294" i="3" s="1"/>
  <c r="I293" i="3"/>
  <c r="J293" i="3" s="1"/>
  <c r="I292" i="3"/>
  <c r="J292" i="3" s="1"/>
  <c r="I291" i="3"/>
  <c r="J291" i="3" s="1"/>
  <c r="I290" i="3"/>
  <c r="J290" i="3" s="1"/>
  <c r="J289" i="3"/>
  <c r="I289" i="3"/>
  <c r="I288" i="3"/>
  <c r="J288" i="3" s="1"/>
  <c r="I287" i="3"/>
  <c r="J287" i="3" s="1"/>
  <c r="I286" i="3"/>
  <c r="J286" i="3" s="1"/>
  <c r="J285" i="3"/>
  <c r="I285" i="3"/>
  <c r="I284" i="3"/>
  <c r="J284" i="3" s="1"/>
  <c r="I283" i="3"/>
  <c r="J283" i="3" s="1"/>
  <c r="I282" i="3"/>
  <c r="J282" i="3" s="1"/>
  <c r="J281" i="3"/>
  <c r="I281" i="3"/>
  <c r="I280" i="3"/>
  <c r="J280" i="3" s="1"/>
  <c r="I279" i="3"/>
  <c r="J279" i="3" s="1"/>
  <c r="I278" i="3"/>
  <c r="J278" i="3" s="1"/>
  <c r="J277" i="3"/>
  <c r="I277" i="3"/>
  <c r="I276" i="3"/>
  <c r="J276" i="3" s="1"/>
  <c r="I275" i="3"/>
  <c r="J275" i="3" s="1"/>
  <c r="I274" i="3"/>
  <c r="J274" i="3" s="1"/>
  <c r="J273" i="3"/>
  <c r="I273" i="3"/>
  <c r="I272" i="3"/>
  <c r="J272" i="3" s="1"/>
  <c r="I271" i="3"/>
  <c r="J271" i="3" s="1"/>
  <c r="I270" i="3"/>
  <c r="J270" i="3" s="1"/>
  <c r="J269" i="3"/>
  <c r="I269" i="3"/>
  <c r="I268" i="3"/>
  <c r="J268" i="3" s="1"/>
  <c r="I267" i="3"/>
  <c r="J267" i="3" s="1"/>
  <c r="I266" i="3"/>
  <c r="J266" i="3" s="1"/>
  <c r="J265" i="3"/>
  <c r="I265" i="3"/>
  <c r="I264" i="3"/>
  <c r="J264" i="3" s="1"/>
  <c r="I263" i="3"/>
  <c r="J263" i="3" s="1"/>
  <c r="I262" i="3"/>
  <c r="J262" i="3" s="1"/>
  <c r="J261" i="3"/>
  <c r="I261" i="3"/>
  <c r="I260" i="3"/>
  <c r="J260" i="3" s="1"/>
  <c r="I259" i="3"/>
  <c r="J259" i="3" s="1"/>
  <c r="I258" i="3"/>
  <c r="J258" i="3" s="1"/>
  <c r="J257" i="3"/>
  <c r="I257" i="3"/>
  <c r="I256" i="3"/>
  <c r="J256" i="3" s="1"/>
  <c r="I255" i="3"/>
  <c r="J255" i="3" s="1"/>
  <c r="I254" i="3"/>
  <c r="J254" i="3" s="1"/>
  <c r="J253" i="3"/>
  <c r="I253" i="3"/>
  <c r="I252" i="3"/>
  <c r="J252" i="3" s="1"/>
  <c r="I251" i="3"/>
  <c r="J251" i="3" s="1"/>
  <c r="I250" i="3"/>
  <c r="J250" i="3" s="1"/>
  <c r="J249" i="3"/>
  <c r="I249" i="3"/>
  <c r="I248" i="3"/>
  <c r="J248" i="3" s="1"/>
  <c r="I247" i="3"/>
  <c r="J247" i="3" s="1"/>
  <c r="I246" i="3"/>
  <c r="J246" i="3" s="1"/>
  <c r="J245" i="3"/>
  <c r="I245" i="3"/>
  <c r="I244" i="3"/>
  <c r="J244" i="3" s="1"/>
  <c r="I243" i="3"/>
  <c r="J243" i="3" s="1"/>
  <c r="I242" i="3"/>
  <c r="J242" i="3" s="1"/>
  <c r="J241" i="3"/>
  <c r="I241" i="3"/>
  <c r="I240" i="3"/>
  <c r="J240" i="3" s="1"/>
  <c r="I239" i="3"/>
  <c r="J239" i="3" s="1"/>
  <c r="I238" i="3"/>
  <c r="J238" i="3" s="1"/>
  <c r="J237" i="3"/>
  <c r="I237" i="3"/>
  <c r="I236" i="3"/>
  <c r="J236" i="3" s="1"/>
  <c r="I235" i="3"/>
  <c r="J235" i="3" s="1"/>
  <c r="I234" i="3"/>
  <c r="J234" i="3" s="1"/>
  <c r="J233" i="3"/>
  <c r="I233" i="3"/>
  <c r="I232" i="3"/>
  <c r="J232" i="3" s="1"/>
  <c r="I231" i="3"/>
  <c r="J231" i="3" s="1"/>
  <c r="I230" i="3"/>
  <c r="J230" i="3" s="1"/>
  <c r="J229" i="3"/>
  <c r="I229" i="3"/>
  <c r="I228" i="3"/>
  <c r="J228" i="3" s="1"/>
  <c r="I227" i="3"/>
  <c r="J227" i="3" s="1"/>
  <c r="I226" i="3"/>
  <c r="J226" i="3" s="1"/>
  <c r="J225" i="3"/>
  <c r="I225" i="3"/>
  <c r="I224" i="3"/>
  <c r="J224" i="3" s="1"/>
  <c r="I223" i="3"/>
  <c r="J223" i="3" s="1"/>
  <c r="I222" i="3"/>
  <c r="J222" i="3" s="1"/>
  <c r="J221" i="3"/>
  <c r="I221" i="3"/>
  <c r="I220" i="3"/>
  <c r="J220" i="3" s="1"/>
  <c r="I219" i="3"/>
  <c r="J219" i="3" s="1"/>
  <c r="I218" i="3"/>
  <c r="J218" i="3" s="1"/>
  <c r="J217" i="3"/>
  <c r="I217" i="3"/>
  <c r="I216" i="3"/>
  <c r="J216" i="3" s="1"/>
  <c r="I215" i="3"/>
  <c r="J215" i="3" s="1"/>
  <c r="I214" i="3"/>
  <c r="J214" i="3" s="1"/>
  <c r="J213" i="3"/>
  <c r="I213" i="3"/>
  <c r="I212" i="3"/>
  <c r="J212" i="3" s="1"/>
  <c r="I211" i="3"/>
  <c r="J211" i="3" s="1"/>
  <c r="I210" i="3"/>
  <c r="J210" i="3" s="1"/>
  <c r="J209" i="3"/>
  <c r="I209" i="3"/>
  <c r="I208" i="3"/>
  <c r="J208" i="3" s="1"/>
  <c r="I207" i="3"/>
  <c r="J207" i="3" s="1"/>
  <c r="I206" i="3"/>
  <c r="J206" i="3" s="1"/>
  <c r="J205" i="3"/>
  <c r="I205" i="3"/>
  <c r="I204" i="3"/>
  <c r="J204" i="3" s="1"/>
  <c r="I203" i="3"/>
  <c r="J203" i="3" s="1"/>
  <c r="I202" i="3"/>
  <c r="J202" i="3" s="1"/>
  <c r="J201" i="3"/>
  <c r="I201" i="3"/>
  <c r="I200" i="3"/>
  <c r="J200" i="3" s="1"/>
  <c r="I199" i="3"/>
  <c r="J199" i="3" s="1"/>
  <c r="I198" i="3"/>
  <c r="J198" i="3" s="1"/>
  <c r="J197" i="3"/>
  <c r="I197" i="3"/>
  <c r="I196" i="3"/>
  <c r="J196" i="3" s="1"/>
  <c r="I195" i="3"/>
  <c r="J195" i="3" s="1"/>
  <c r="I194" i="3"/>
  <c r="J194" i="3" s="1"/>
  <c r="J193" i="3"/>
  <c r="I193" i="3"/>
  <c r="I192" i="3"/>
  <c r="J192" i="3" s="1"/>
  <c r="J191" i="3"/>
  <c r="I191" i="3"/>
  <c r="I190" i="3"/>
  <c r="J190" i="3" s="1"/>
  <c r="J189" i="3"/>
  <c r="I189" i="3"/>
  <c r="I188" i="3"/>
  <c r="J188" i="3" s="1"/>
  <c r="I187" i="3"/>
  <c r="J187" i="3" s="1"/>
  <c r="I186" i="3"/>
  <c r="J186" i="3" s="1"/>
  <c r="J185" i="3"/>
  <c r="I185" i="3"/>
  <c r="I184" i="3"/>
  <c r="J184" i="3" s="1"/>
  <c r="J183" i="3"/>
  <c r="I183" i="3"/>
  <c r="I182" i="3"/>
  <c r="J182" i="3" s="1"/>
  <c r="J181" i="3"/>
  <c r="I181" i="3"/>
  <c r="I180" i="3"/>
  <c r="J180" i="3" s="1"/>
  <c r="I179" i="3"/>
  <c r="J179" i="3" s="1"/>
  <c r="I178" i="3"/>
  <c r="J178" i="3" s="1"/>
  <c r="J177" i="3"/>
  <c r="I177" i="3"/>
  <c r="I176" i="3"/>
  <c r="J176" i="3" s="1"/>
  <c r="J175" i="3"/>
  <c r="I175" i="3"/>
  <c r="I174" i="3"/>
  <c r="J174" i="3" s="1"/>
  <c r="J173" i="3"/>
  <c r="I173" i="3"/>
  <c r="I172" i="3"/>
  <c r="J172" i="3" s="1"/>
  <c r="I171" i="3"/>
  <c r="J171" i="3" s="1"/>
  <c r="I170" i="3"/>
  <c r="J170" i="3" s="1"/>
  <c r="J169" i="3"/>
  <c r="I169" i="3"/>
  <c r="I168" i="3"/>
  <c r="J168" i="3" s="1"/>
  <c r="J167" i="3"/>
  <c r="I167" i="3"/>
  <c r="I166" i="3"/>
  <c r="J166" i="3" s="1"/>
  <c r="J165" i="3"/>
  <c r="I165" i="3"/>
  <c r="I164" i="3"/>
  <c r="J164" i="3" s="1"/>
  <c r="I163" i="3"/>
  <c r="J163" i="3" s="1"/>
  <c r="I162" i="3"/>
  <c r="J162" i="3" s="1"/>
  <c r="J161" i="3"/>
  <c r="I161" i="3"/>
  <c r="J160" i="3"/>
  <c r="I160" i="3"/>
  <c r="I159" i="3"/>
  <c r="J159" i="3" s="1"/>
  <c r="I158" i="3"/>
  <c r="J158" i="3" s="1"/>
  <c r="I157" i="3"/>
  <c r="J157" i="3" s="1"/>
  <c r="J156" i="3"/>
  <c r="I156" i="3"/>
  <c r="I155" i="3"/>
  <c r="J155" i="3" s="1"/>
  <c r="I154" i="3"/>
  <c r="J154" i="3" s="1"/>
  <c r="I153" i="3"/>
  <c r="J153" i="3" s="1"/>
  <c r="J152" i="3"/>
  <c r="I152" i="3"/>
  <c r="I151" i="3"/>
  <c r="J151" i="3" s="1"/>
  <c r="I150" i="3"/>
  <c r="J150" i="3" s="1"/>
  <c r="I149" i="3"/>
  <c r="J149" i="3" s="1"/>
  <c r="J148" i="3"/>
  <c r="I148" i="3"/>
  <c r="I147" i="3"/>
  <c r="J147" i="3" s="1"/>
  <c r="I146" i="3"/>
  <c r="J146" i="3" s="1"/>
  <c r="I145" i="3"/>
  <c r="J145" i="3" s="1"/>
  <c r="J144" i="3"/>
  <c r="I144" i="3"/>
  <c r="I143" i="3"/>
  <c r="J143" i="3" s="1"/>
  <c r="I142" i="3"/>
  <c r="J142" i="3" s="1"/>
  <c r="I141" i="3"/>
  <c r="J141" i="3" s="1"/>
  <c r="J140" i="3"/>
  <c r="I140" i="3"/>
  <c r="I139" i="3"/>
  <c r="J139" i="3" s="1"/>
  <c r="I138" i="3"/>
  <c r="J138" i="3" s="1"/>
  <c r="I137" i="3"/>
  <c r="J137" i="3" s="1"/>
  <c r="J136" i="3"/>
  <c r="I136" i="3"/>
  <c r="I135" i="3"/>
  <c r="J135" i="3" s="1"/>
  <c r="I134" i="3"/>
  <c r="J134" i="3" s="1"/>
  <c r="I133" i="3"/>
  <c r="J133" i="3" s="1"/>
  <c r="J132" i="3"/>
  <c r="I132" i="3"/>
  <c r="I131" i="3"/>
  <c r="J131" i="3" s="1"/>
  <c r="I130" i="3"/>
  <c r="J130" i="3" s="1"/>
  <c r="I129" i="3"/>
  <c r="J129" i="3" s="1"/>
  <c r="J128" i="3"/>
  <c r="I128" i="3"/>
  <c r="I127" i="3"/>
  <c r="J127" i="3" s="1"/>
  <c r="I126" i="3"/>
  <c r="J126" i="3" s="1"/>
  <c r="I125" i="3"/>
  <c r="J125" i="3" s="1"/>
  <c r="J124" i="3"/>
  <c r="I124" i="3"/>
  <c r="I123" i="3"/>
  <c r="J123" i="3" s="1"/>
  <c r="I122" i="3"/>
  <c r="J122" i="3" s="1"/>
  <c r="I121" i="3"/>
  <c r="J121" i="3" s="1"/>
  <c r="J120" i="3"/>
  <c r="I120" i="3"/>
  <c r="I119" i="3"/>
  <c r="J119" i="3" s="1"/>
  <c r="I118" i="3"/>
  <c r="J118" i="3" s="1"/>
  <c r="I117" i="3"/>
  <c r="J117" i="3" s="1"/>
  <c r="J116" i="3"/>
  <c r="I116" i="3"/>
  <c r="I115" i="3"/>
  <c r="J115" i="3" s="1"/>
  <c r="I114" i="3"/>
  <c r="J114" i="3" s="1"/>
  <c r="I113" i="3"/>
  <c r="J113" i="3" s="1"/>
  <c r="J112" i="3"/>
  <c r="I112" i="3"/>
  <c r="I111" i="3"/>
  <c r="J111" i="3" s="1"/>
  <c r="I110" i="3"/>
  <c r="J110" i="3" s="1"/>
  <c r="I109" i="3"/>
  <c r="J109" i="3" s="1"/>
  <c r="J108" i="3"/>
  <c r="I108" i="3"/>
  <c r="I107" i="3"/>
  <c r="J107" i="3" s="1"/>
  <c r="I106" i="3"/>
  <c r="J106" i="3" s="1"/>
  <c r="I105" i="3"/>
  <c r="J105" i="3" s="1"/>
  <c r="J104" i="3"/>
  <c r="I104" i="3"/>
  <c r="I103" i="3"/>
  <c r="J103" i="3" s="1"/>
  <c r="I102" i="3"/>
  <c r="J102" i="3" s="1"/>
  <c r="I101" i="3"/>
  <c r="J101" i="3" s="1"/>
  <c r="J100" i="3"/>
  <c r="I100" i="3"/>
  <c r="I99" i="3"/>
  <c r="J99" i="3" s="1"/>
  <c r="I98" i="3"/>
  <c r="J98" i="3" s="1"/>
  <c r="I97" i="3"/>
  <c r="J97" i="3" s="1"/>
  <c r="J96" i="3"/>
  <c r="I96" i="3"/>
  <c r="I95" i="3"/>
  <c r="J95" i="3" s="1"/>
  <c r="I94" i="3"/>
  <c r="J94" i="3" s="1"/>
  <c r="I93" i="3"/>
  <c r="J93" i="3" s="1"/>
  <c r="J92" i="3"/>
  <c r="I92" i="3"/>
  <c r="I91" i="3"/>
  <c r="J91" i="3" s="1"/>
  <c r="I90" i="3"/>
  <c r="J90" i="3" s="1"/>
  <c r="I89" i="3"/>
  <c r="J89" i="3" s="1"/>
  <c r="J88" i="3"/>
  <c r="I88" i="3"/>
  <c r="I87" i="3"/>
  <c r="J87" i="3" s="1"/>
  <c r="I86" i="3"/>
  <c r="J86" i="3" s="1"/>
  <c r="I85" i="3"/>
  <c r="J85" i="3" s="1"/>
  <c r="J84" i="3"/>
  <c r="I84" i="3"/>
  <c r="I83" i="3"/>
  <c r="J83" i="3" s="1"/>
  <c r="I82" i="3"/>
  <c r="J82" i="3" s="1"/>
  <c r="I81" i="3"/>
  <c r="J81" i="3" s="1"/>
  <c r="J80" i="3"/>
  <c r="I80" i="3"/>
  <c r="I79" i="3"/>
  <c r="J79" i="3" s="1"/>
  <c r="I78" i="3"/>
  <c r="J78" i="3" s="1"/>
  <c r="I77" i="3"/>
  <c r="J77" i="3" s="1"/>
  <c r="J76" i="3"/>
  <c r="I76" i="3"/>
  <c r="I75" i="3"/>
  <c r="J75" i="3" s="1"/>
  <c r="I74" i="3"/>
  <c r="J74" i="3" s="1"/>
  <c r="I73" i="3"/>
  <c r="J73" i="3" s="1"/>
  <c r="J72" i="3"/>
  <c r="I72" i="3"/>
  <c r="I71" i="3"/>
  <c r="J71" i="3" s="1"/>
  <c r="I70" i="3"/>
  <c r="J70" i="3" s="1"/>
  <c r="I69" i="3"/>
  <c r="J69" i="3" s="1"/>
  <c r="J68" i="3"/>
  <c r="I68" i="3"/>
  <c r="AJ67" i="3"/>
  <c r="AK67" i="3" s="1"/>
  <c r="AG67" i="3"/>
  <c r="AH67" i="3" s="1"/>
  <c r="AD67" i="3"/>
  <c r="AE67" i="3" s="1"/>
  <c r="AA67" i="3"/>
  <c r="AB67" i="3" s="1"/>
  <c r="X67" i="3"/>
  <c r="Y67" i="3" s="1"/>
  <c r="U67" i="3"/>
  <c r="V67" i="3" s="1"/>
  <c r="R67" i="3"/>
  <c r="S67" i="3" s="1"/>
  <c r="P67" i="3"/>
  <c r="O67" i="3"/>
  <c r="L67" i="3"/>
  <c r="M67" i="3" s="1"/>
  <c r="I67" i="3"/>
  <c r="J67" i="3" s="1"/>
  <c r="I66" i="3"/>
  <c r="J66" i="3" s="1"/>
  <c r="I65" i="3"/>
  <c r="J65" i="3" s="1"/>
  <c r="J64" i="3"/>
  <c r="I64" i="3"/>
  <c r="I63" i="3"/>
  <c r="J63" i="3" s="1"/>
  <c r="I62" i="3"/>
  <c r="J62" i="3" s="1"/>
  <c r="I61" i="3"/>
  <c r="J61" i="3" s="1"/>
  <c r="J60" i="3"/>
  <c r="I60" i="3"/>
  <c r="I59" i="3"/>
  <c r="J59" i="3" s="1"/>
  <c r="I58" i="3"/>
  <c r="J58" i="3" s="1"/>
  <c r="I57" i="3"/>
  <c r="J57" i="3" s="1"/>
  <c r="I55" i="3"/>
  <c r="J55" i="3" s="1"/>
  <c r="I54" i="3"/>
  <c r="J54" i="3" s="1"/>
  <c r="I53" i="3"/>
  <c r="J53" i="3" s="1"/>
  <c r="J52" i="3"/>
  <c r="I52" i="3"/>
  <c r="I51" i="3"/>
  <c r="J51" i="3" s="1"/>
  <c r="I50" i="3"/>
  <c r="J50" i="3" s="1"/>
  <c r="I49" i="3"/>
  <c r="J49" i="3" s="1"/>
  <c r="I47" i="3"/>
  <c r="J47" i="3" s="1"/>
  <c r="I46" i="3"/>
  <c r="J46" i="3" s="1"/>
  <c r="I45" i="3"/>
  <c r="J45" i="3" s="1"/>
  <c r="J44" i="3"/>
  <c r="I44" i="3"/>
  <c r="I43" i="3"/>
  <c r="J43" i="3" s="1"/>
  <c r="I42" i="3"/>
  <c r="J42" i="3" s="1"/>
  <c r="I41" i="3"/>
  <c r="J41" i="3" s="1"/>
  <c r="I39" i="3"/>
  <c r="J39" i="3" s="1"/>
  <c r="I38" i="3"/>
  <c r="J38" i="3" s="1"/>
  <c r="I37" i="3"/>
  <c r="J37" i="3" s="1"/>
  <c r="J36" i="3"/>
  <c r="I36" i="3"/>
  <c r="I35" i="3"/>
  <c r="J35" i="3" s="1"/>
  <c r="I34" i="3"/>
  <c r="J34" i="3" s="1"/>
  <c r="I33" i="3"/>
  <c r="J33" i="3" s="1"/>
  <c r="J32" i="3"/>
  <c r="I32" i="3"/>
  <c r="I31" i="3"/>
  <c r="J31" i="3" s="1"/>
  <c r="I30" i="3"/>
  <c r="J30" i="3" s="1"/>
  <c r="I29" i="3"/>
  <c r="J29" i="3" s="1"/>
  <c r="J28" i="3"/>
  <c r="I28" i="3"/>
  <c r="I27" i="3"/>
  <c r="J27" i="3" s="1"/>
  <c r="I26" i="3"/>
  <c r="J26" i="3" s="1"/>
  <c r="I25" i="3"/>
  <c r="J25" i="3" s="1"/>
  <c r="J24" i="3"/>
  <c r="I24" i="3"/>
  <c r="I23" i="3"/>
  <c r="J23" i="3" s="1"/>
  <c r="I22" i="3"/>
  <c r="J22" i="3" s="1"/>
  <c r="I21" i="3"/>
  <c r="J21" i="3" s="1"/>
  <c r="J20" i="3"/>
  <c r="I20" i="3"/>
  <c r="I19" i="3"/>
  <c r="J19" i="3" s="1"/>
  <c r="I18" i="3"/>
  <c r="J18" i="3" s="1"/>
  <c r="I17" i="3"/>
  <c r="J17" i="3" s="1"/>
  <c r="J16" i="3"/>
  <c r="I16" i="3"/>
  <c r="I15" i="3"/>
  <c r="J15" i="3" s="1"/>
  <c r="I14" i="3"/>
  <c r="J14" i="3" s="1"/>
  <c r="I13" i="3"/>
  <c r="J13" i="3" s="1"/>
  <c r="J12" i="3"/>
  <c r="I12" i="3"/>
  <c r="I11" i="3"/>
  <c r="J11" i="3" s="1"/>
  <c r="I10" i="3"/>
  <c r="J10" i="3" s="1"/>
  <c r="I9" i="3"/>
  <c r="J9" i="3" s="1"/>
  <c r="J8" i="3"/>
  <c r="I8" i="3"/>
  <c r="I7" i="3"/>
  <c r="J7" i="3" s="1"/>
  <c r="I6" i="3"/>
  <c r="J6" i="3" s="1"/>
  <c r="J4" i="3"/>
  <c r="I4" i="3"/>
  <c r="R1339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AD188" i="4" l="1"/>
  <c r="AE188" i="4" s="1"/>
  <c r="AD145" i="4"/>
  <c r="AE145" i="4" s="1"/>
  <c r="AD142" i="4"/>
  <c r="AE142" i="4" s="1"/>
  <c r="AD139" i="4"/>
  <c r="AE139" i="4" s="1"/>
  <c r="AD137" i="4"/>
  <c r="AE137" i="4" s="1"/>
  <c r="AD135" i="4"/>
  <c r="AE135" i="4" s="1"/>
  <c r="AD133" i="4"/>
  <c r="AE133" i="4" s="1"/>
  <c r="AD130" i="4"/>
  <c r="AE130" i="4" s="1"/>
  <c r="AD160" i="4"/>
  <c r="AE160" i="4" s="1"/>
  <c r="AD126" i="4"/>
  <c r="AE126" i="4" s="1"/>
  <c r="AD149" i="4"/>
  <c r="AE149" i="4" s="1"/>
  <c r="AD118" i="4"/>
  <c r="AE118" i="4" s="1"/>
  <c r="AD114" i="4"/>
  <c r="AE114" i="4" s="1"/>
  <c r="AD98" i="4"/>
  <c r="AE98" i="4" s="1"/>
  <c r="AD95" i="4"/>
  <c r="AE95" i="4" s="1"/>
  <c r="AD93" i="4"/>
  <c r="AE93" i="4" s="1"/>
  <c r="AD90" i="4"/>
  <c r="AE90" i="4" s="1"/>
  <c r="AD88" i="4"/>
  <c r="AE88" i="4" s="1"/>
  <c r="AD84" i="4"/>
  <c r="AE84" i="4" s="1"/>
  <c r="AD67" i="4"/>
  <c r="AE67" i="4" s="1"/>
  <c r="AD111" i="4"/>
  <c r="AE111" i="4" s="1"/>
  <c r="AD123" i="4"/>
  <c r="AE123" i="4" s="1"/>
  <c r="AD120" i="4"/>
  <c r="AE120" i="4" s="1"/>
  <c r="AD116" i="4"/>
  <c r="AE116" i="4" s="1"/>
  <c r="AD112" i="4"/>
  <c r="AE112" i="4" s="1"/>
  <c r="AD100" i="4"/>
  <c r="AE100" i="4" s="1"/>
  <c r="AD50" i="4"/>
  <c r="AE50" i="4" s="1"/>
  <c r="AD105" i="4"/>
  <c r="AE105" i="4" s="1"/>
  <c r="AD42" i="4"/>
  <c r="AE42" i="4" s="1"/>
  <c r="AD27" i="4"/>
  <c r="AE27" i="4" s="1"/>
  <c r="AD7" i="4"/>
  <c r="AE7" i="4" s="1"/>
  <c r="AD8" i="4"/>
  <c r="AE8" i="4" s="1"/>
  <c r="AD17" i="4"/>
  <c r="AE17" i="4" s="1"/>
  <c r="AD13" i="4"/>
  <c r="AE13" i="4" s="1"/>
  <c r="AD6" i="4"/>
  <c r="AE6" i="4" s="1"/>
  <c r="AD10" i="4"/>
  <c r="AE10" i="4" s="1"/>
  <c r="AJ187" i="4"/>
  <c r="AK187" i="4" s="1"/>
  <c r="AJ164" i="4"/>
  <c r="AK164" i="4" s="1"/>
  <c r="AJ153" i="4"/>
  <c r="AK153" i="4" s="1"/>
  <c r="AJ144" i="4"/>
  <c r="AK144" i="4" s="1"/>
  <c r="AJ143" i="4"/>
  <c r="AK143" i="4" s="1"/>
  <c r="AJ141" i="4"/>
  <c r="AK141" i="4" s="1"/>
  <c r="AJ138" i="4"/>
  <c r="AK138" i="4" s="1"/>
  <c r="AJ136" i="4"/>
  <c r="AK136" i="4" s="1"/>
  <c r="AJ134" i="4"/>
  <c r="AK134" i="4" s="1"/>
  <c r="AJ132" i="4"/>
  <c r="AK132" i="4" s="1"/>
  <c r="AJ159" i="4"/>
  <c r="AK159" i="4" s="1"/>
  <c r="AJ154" i="4"/>
  <c r="AK154" i="4" s="1"/>
  <c r="AJ161" i="4"/>
  <c r="AK161" i="4" s="1"/>
  <c r="AJ152" i="4"/>
  <c r="AK152" i="4" s="1"/>
  <c r="AJ129" i="4"/>
  <c r="AK129" i="4" s="1"/>
  <c r="AJ125" i="4"/>
  <c r="AK125" i="4" s="1"/>
  <c r="AJ155" i="4"/>
  <c r="AK155" i="4" s="1"/>
  <c r="AJ148" i="4"/>
  <c r="AK148" i="4" s="1"/>
  <c r="AJ117" i="4"/>
  <c r="AK117" i="4" s="1"/>
  <c r="AJ113" i="4"/>
  <c r="AK113" i="4" s="1"/>
  <c r="AJ109" i="4"/>
  <c r="AK109" i="4" s="1"/>
  <c r="AJ97" i="4"/>
  <c r="AK97" i="4" s="1"/>
  <c r="AJ96" i="4"/>
  <c r="AK96" i="4" s="1"/>
  <c r="AJ94" i="4"/>
  <c r="AK94" i="4" s="1"/>
  <c r="AJ92" i="4"/>
  <c r="AK92" i="4" s="1"/>
  <c r="AJ89" i="4"/>
  <c r="AK89" i="4" s="1"/>
  <c r="AJ87" i="4"/>
  <c r="AK87" i="4" s="1"/>
  <c r="AJ86" i="4"/>
  <c r="AK86" i="4" s="1"/>
  <c r="AJ83" i="4"/>
  <c r="AK83" i="4" s="1"/>
  <c r="AJ66" i="4"/>
  <c r="AK66" i="4" s="1"/>
  <c r="AJ151" i="4"/>
  <c r="AK151" i="4" s="1"/>
  <c r="AJ122" i="4"/>
  <c r="AK122" i="4" s="1"/>
  <c r="AJ110" i="4"/>
  <c r="AK110" i="4" s="1"/>
  <c r="AJ102" i="4"/>
  <c r="AK102" i="4" s="1"/>
  <c r="AJ157" i="4"/>
  <c r="AK157" i="4" s="1"/>
  <c r="AJ124" i="4"/>
  <c r="AK124" i="4" s="1"/>
  <c r="AJ119" i="4"/>
  <c r="AK119" i="4" s="1"/>
  <c r="AJ115" i="4"/>
  <c r="AK115" i="4" s="1"/>
  <c r="AJ107" i="4"/>
  <c r="AK107" i="4" s="1"/>
  <c r="AJ99" i="4"/>
  <c r="AK99" i="4" s="1"/>
  <c r="AJ49" i="4"/>
  <c r="AK49" i="4" s="1"/>
  <c r="AJ41" i="4"/>
  <c r="AK41" i="4" s="1"/>
  <c r="AJ26" i="4"/>
  <c r="AK26" i="4" s="1"/>
  <c r="AJ104" i="4"/>
  <c r="AK104" i="4" s="1"/>
  <c r="AJ52" i="4"/>
  <c r="AK52" i="4" s="1"/>
  <c r="AJ16" i="4"/>
  <c r="AK16" i="4" s="1"/>
  <c r="AJ12" i="4"/>
  <c r="AK12" i="4" s="1"/>
  <c r="AJ4" i="4"/>
  <c r="AK4" i="4" s="1"/>
  <c r="AK195" i="4" s="1"/>
  <c r="AJ5" i="4"/>
  <c r="AK5" i="4" s="1"/>
  <c r="AJ9" i="4"/>
  <c r="AK9" i="4" s="1"/>
  <c r="K642" i="3"/>
  <c r="R188" i="4"/>
  <c r="S188" i="4" s="1"/>
  <c r="R145" i="4"/>
  <c r="S145" i="4" s="1"/>
  <c r="R142" i="4"/>
  <c r="S142" i="4" s="1"/>
  <c r="R139" i="4"/>
  <c r="S139" i="4" s="1"/>
  <c r="R137" i="4"/>
  <c r="S137" i="4" s="1"/>
  <c r="R135" i="4"/>
  <c r="S135" i="4" s="1"/>
  <c r="R133" i="4"/>
  <c r="S133" i="4" s="1"/>
  <c r="R130" i="4"/>
  <c r="S130" i="4" s="1"/>
  <c r="R149" i="4"/>
  <c r="S149" i="4" s="1"/>
  <c r="R160" i="4"/>
  <c r="S160" i="4" s="1"/>
  <c r="R123" i="4"/>
  <c r="S123" i="4" s="1"/>
  <c r="R120" i="4"/>
  <c r="S120" i="4" s="1"/>
  <c r="R116" i="4"/>
  <c r="S116" i="4" s="1"/>
  <c r="R112" i="4"/>
  <c r="S112" i="4" s="1"/>
  <c r="R100" i="4"/>
  <c r="S100" i="4" s="1"/>
  <c r="R98" i="4"/>
  <c r="S98" i="4" s="1"/>
  <c r="R95" i="4"/>
  <c r="S95" i="4" s="1"/>
  <c r="R93" i="4"/>
  <c r="S93" i="4" s="1"/>
  <c r="R90" i="4"/>
  <c r="S90" i="4" s="1"/>
  <c r="R88" i="4"/>
  <c r="S88" i="4" s="1"/>
  <c r="R84" i="4"/>
  <c r="S84" i="4" s="1"/>
  <c r="R67" i="4"/>
  <c r="S67" i="4" s="1"/>
  <c r="R126" i="4"/>
  <c r="S126" i="4" s="1"/>
  <c r="R105" i="4"/>
  <c r="S105" i="4" s="1"/>
  <c r="R118" i="4"/>
  <c r="S118" i="4" s="1"/>
  <c r="R114" i="4"/>
  <c r="S114" i="4" s="1"/>
  <c r="R42" i="4"/>
  <c r="S42" i="4" s="1"/>
  <c r="R27" i="4"/>
  <c r="S27" i="4" s="1"/>
  <c r="R111" i="4"/>
  <c r="S111" i="4" s="1"/>
  <c r="R50" i="4"/>
  <c r="S50" i="4" s="1"/>
  <c r="R17" i="4"/>
  <c r="S17" i="4" s="1"/>
  <c r="R13" i="4"/>
  <c r="S13" i="4" s="1"/>
  <c r="R10" i="4"/>
  <c r="S10" i="4" s="1"/>
  <c r="R6" i="4"/>
  <c r="S6" i="4" s="1"/>
  <c r="R7" i="4"/>
  <c r="S7" i="4" s="1"/>
  <c r="R8" i="4"/>
  <c r="S8" i="4" s="1"/>
  <c r="X187" i="4"/>
  <c r="Y187" i="4" s="1"/>
  <c r="X164" i="4"/>
  <c r="Y164" i="4" s="1"/>
  <c r="X155" i="4"/>
  <c r="Y155" i="4" s="1"/>
  <c r="X151" i="4"/>
  <c r="Y151" i="4" s="1"/>
  <c r="X144" i="4"/>
  <c r="Y144" i="4" s="1"/>
  <c r="X143" i="4"/>
  <c r="Y143" i="4" s="1"/>
  <c r="X141" i="4"/>
  <c r="Y141" i="4" s="1"/>
  <c r="X138" i="4"/>
  <c r="Y138" i="4" s="1"/>
  <c r="X136" i="4"/>
  <c r="Y136" i="4" s="1"/>
  <c r="X134" i="4"/>
  <c r="Y134" i="4" s="1"/>
  <c r="X132" i="4"/>
  <c r="Y132" i="4" s="1"/>
  <c r="X161" i="4"/>
  <c r="Y161" i="4" s="1"/>
  <c r="X157" i="4"/>
  <c r="Y157" i="4" s="1"/>
  <c r="X152" i="4"/>
  <c r="Y152" i="4" s="1"/>
  <c r="X148" i="4"/>
  <c r="Y148" i="4" s="1"/>
  <c r="X154" i="4"/>
  <c r="Y154" i="4" s="1"/>
  <c r="X159" i="4"/>
  <c r="Y159" i="4" s="1"/>
  <c r="X153" i="4"/>
  <c r="Y153" i="4" s="1"/>
  <c r="X119" i="4"/>
  <c r="Y119" i="4" s="1"/>
  <c r="X115" i="4"/>
  <c r="Y115" i="4" s="1"/>
  <c r="X107" i="4"/>
  <c r="Y107" i="4" s="1"/>
  <c r="X99" i="4"/>
  <c r="Y99" i="4" s="1"/>
  <c r="X97" i="4"/>
  <c r="Y97" i="4" s="1"/>
  <c r="X96" i="4"/>
  <c r="Y96" i="4" s="1"/>
  <c r="X94" i="4"/>
  <c r="Y94" i="4" s="1"/>
  <c r="X92" i="4"/>
  <c r="Y92" i="4" s="1"/>
  <c r="X89" i="4"/>
  <c r="Y89" i="4" s="1"/>
  <c r="X87" i="4"/>
  <c r="Y87" i="4" s="1"/>
  <c r="X86" i="4"/>
  <c r="Y86" i="4" s="1"/>
  <c r="X83" i="4"/>
  <c r="Y83" i="4" s="1"/>
  <c r="X66" i="4"/>
  <c r="Y66" i="4" s="1"/>
  <c r="X104" i="4"/>
  <c r="Y104" i="4" s="1"/>
  <c r="X117" i="4"/>
  <c r="Y117" i="4" s="1"/>
  <c r="X113" i="4"/>
  <c r="Y113" i="4" s="1"/>
  <c r="X109" i="4"/>
  <c r="Y109" i="4" s="1"/>
  <c r="X125" i="4"/>
  <c r="Y125" i="4" s="1"/>
  <c r="X52" i="4"/>
  <c r="Y52" i="4" s="1"/>
  <c r="X41" i="4"/>
  <c r="Y41" i="4" s="1"/>
  <c r="X26" i="4"/>
  <c r="Y26" i="4" s="1"/>
  <c r="X129" i="4"/>
  <c r="Y129" i="4" s="1"/>
  <c r="X102" i="4"/>
  <c r="Y102" i="4" s="1"/>
  <c r="X49" i="4"/>
  <c r="Y49" i="4" s="1"/>
  <c r="X110" i="4"/>
  <c r="Y110" i="4" s="1"/>
  <c r="X16" i="4"/>
  <c r="Y16" i="4" s="1"/>
  <c r="X12" i="4"/>
  <c r="Y12" i="4" s="1"/>
  <c r="X4" i="4"/>
  <c r="Y4" i="4" s="1"/>
  <c r="X9" i="4"/>
  <c r="Y9" i="4" s="1"/>
  <c r="X5" i="4"/>
  <c r="Y5" i="4" s="1"/>
  <c r="X122" i="4"/>
  <c r="Y122" i="4" s="1"/>
  <c r="X124" i="4"/>
  <c r="Y124" i="4" s="1"/>
  <c r="AD166" i="4"/>
  <c r="AE166" i="4" s="1"/>
  <c r="AD158" i="4"/>
  <c r="AE158" i="4" s="1"/>
  <c r="AD85" i="4"/>
  <c r="AE85" i="4" s="1"/>
  <c r="AD121" i="4"/>
  <c r="AE121" i="4" s="1"/>
  <c r="AD11" i="4"/>
  <c r="AE11" i="4" s="1"/>
  <c r="AE196" i="4" s="1"/>
  <c r="AD101" i="4"/>
  <c r="AE101" i="4" s="1"/>
  <c r="L187" i="4"/>
  <c r="M187" i="4" s="1"/>
  <c r="L153" i="4"/>
  <c r="M153" i="4" s="1"/>
  <c r="L144" i="4"/>
  <c r="M144" i="4" s="1"/>
  <c r="L143" i="4"/>
  <c r="M143" i="4" s="1"/>
  <c r="L141" i="4"/>
  <c r="M141" i="4" s="1"/>
  <c r="L138" i="4"/>
  <c r="M138" i="4" s="1"/>
  <c r="L136" i="4"/>
  <c r="M136" i="4" s="1"/>
  <c r="L134" i="4"/>
  <c r="M134" i="4" s="1"/>
  <c r="L132" i="4"/>
  <c r="M132" i="4" s="1"/>
  <c r="L159" i="4"/>
  <c r="M159" i="4" s="1"/>
  <c r="L154" i="4"/>
  <c r="M154" i="4" s="1"/>
  <c r="L155" i="4"/>
  <c r="M155" i="4" s="1"/>
  <c r="L151" i="4"/>
  <c r="M151" i="4" s="1"/>
  <c r="L129" i="4"/>
  <c r="M129" i="4" s="1"/>
  <c r="L125" i="4"/>
  <c r="M125" i="4" s="1"/>
  <c r="L164" i="4"/>
  <c r="M164" i="4" s="1"/>
  <c r="L152" i="4"/>
  <c r="M152" i="4" s="1"/>
  <c r="L157" i="4"/>
  <c r="M157" i="4" s="1"/>
  <c r="L148" i="4"/>
  <c r="M148" i="4" s="1"/>
  <c r="L117" i="4"/>
  <c r="M117" i="4" s="1"/>
  <c r="L113" i="4"/>
  <c r="M113" i="4" s="1"/>
  <c r="L109" i="4"/>
  <c r="M109" i="4" s="1"/>
  <c r="L99" i="4"/>
  <c r="M99" i="4" s="1"/>
  <c r="L97" i="4"/>
  <c r="M97" i="4" s="1"/>
  <c r="L96" i="4"/>
  <c r="M96" i="4" s="1"/>
  <c r="L94" i="4"/>
  <c r="M94" i="4" s="1"/>
  <c r="L92" i="4"/>
  <c r="M92" i="4" s="1"/>
  <c r="L89" i="4"/>
  <c r="M89" i="4" s="1"/>
  <c r="L87" i="4"/>
  <c r="M87" i="4" s="1"/>
  <c r="L86" i="4"/>
  <c r="M86" i="4" s="1"/>
  <c r="L83" i="4"/>
  <c r="M83" i="4" s="1"/>
  <c r="L66" i="4"/>
  <c r="M66" i="4" s="1"/>
  <c r="L161" i="4"/>
  <c r="M161" i="4" s="1"/>
  <c r="L124" i="4"/>
  <c r="M124" i="4" s="1"/>
  <c r="L122" i="4"/>
  <c r="M122" i="4" s="1"/>
  <c r="L110" i="4"/>
  <c r="M110" i="4" s="1"/>
  <c r="L102" i="4"/>
  <c r="M102" i="4" s="1"/>
  <c r="L119" i="4"/>
  <c r="M119" i="4" s="1"/>
  <c r="L115" i="4"/>
  <c r="M115" i="4" s="1"/>
  <c r="L107" i="4"/>
  <c r="M107" i="4" s="1"/>
  <c r="L49" i="4"/>
  <c r="M49" i="4" s="1"/>
  <c r="L41" i="4"/>
  <c r="M41" i="4" s="1"/>
  <c r="L26" i="4"/>
  <c r="M26" i="4" s="1"/>
  <c r="L104" i="4"/>
  <c r="M104" i="4" s="1"/>
  <c r="L52" i="4"/>
  <c r="M52" i="4" s="1"/>
  <c r="L16" i="4"/>
  <c r="M16" i="4" s="1"/>
  <c r="L12" i="4"/>
  <c r="M12" i="4" s="1"/>
  <c r="L4" i="4"/>
  <c r="M4" i="4" s="1"/>
  <c r="L5" i="4"/>
  <c r="M5" i="4" s="1"/>
  <c r="L9" i="4"/>
  <c r="M9" i="4" s="1"/>
  <c r="R166" i="4"/>
  <c r="S166" i="4" s="1"/>
  <c r="R158" i="4"/>
  <c r="S158" i="4" s="1"/>
  <c r="R85" i="4"/>
  <c r="S85" i="4" s="1"/>
  <c r="R121" i="4"/>
  <c r="S121" i="4" s="1"/>
  <c r="R101" i="4"/>
  <c r="S101" i="4" s="1"/>
  <c r="R11" i="4"/>
  <c r="S11" i="4" s="1"/>
  <c r="H650" i="3"/>
  <c r="I424" i="3" s="1"/>
  <c r="J424" i="3" s="1"/>
  <c r="H642" i="3"/>
  <c r="R576" i="3"/>
  <c r="S576" i="3" s="1"/>
  <c r="R565" i="3"/>
  <c r="S565" i="3" s="1"/>
  <c r="AD565" i="3"/>
  <c r="AE565" i="3" s="1"/>
  <c r="AD317" i="3"/>
  <c r="AE317" i="3" s="1"/>
  <c r="AD417" i="3"/>
  <c r="AE417" i="3" s="1"/>
  <c r="AD445" i="3"/>
  <c r="AE445" i="3" s="1"/>
  <c r="R515" i="3"/>
  <c r="S515" i="3" s="1"/>
  <c r="I576" i="3"/>
  <c r="J576" i="3" s="1"/>
  <c r="I565" i="3"/>
  <c r="J565" i="3" s="1"/>
  <c r="I624" i="3"/>
  <c r="J624" i="3" s="1"/>
  <c r="I612" i="3"/>
  <c r="J612" i="3" s="1"/>
  <c r="I611" i="3"/>
  <c r="J611" i="3" s="1"/>
  <c r="I605" i="3"/>
  <c r="J605" i="3" s="1"/>
  <c r="I595" i="3"/>
  <c r="J595" i="3" s="1"/>
  <c r="I598" i="3"/>
  <c r="J598" i="3" s="1"/>
  <c r="I621" i="3"/>
  <c r="J621" i="3" s="1"/>
  <c r="I622" i="3"/>
  <c r="J622" i="3" s="1"/>
  <c r="I628" i="3"/>
  <c r="J628" i="3" s="1"/>
  <c r="I580" i="3"/>
  <c r="J580" i="3" s="1"/>
  <c r="I568" i="3"/>
  <c r="J568" i="3" s="1"/>
  <c r="I618" i="3"/>
  <c r="J618" i="3" s="1"/>
  <c r="AG576" i="3"/>
  <c r="AH576" i="3" s="1"/>
  <c r="J195" i="4"/>
  <c r="AH195" i="4"/>
  <c r="V194" i="4"/>
  <c r="P195" i="4"/>
  <c r="AB195" i="4"/>
  <c r="S195" i="4"/>
  <c r="Y194" i="4"/>
  <c r="V195" i="4"/>
  <c r="AE195" i="4"/>
  <c r="J194" i="4"/>
  <c r="AH194" i="4"/>
  <c r="K193" i="4"/>
  <c r="M194" i="4"/>
  <c r="AK194" i="4"/>
  <c r="I175" i="4"/>
  <c r="I176" i="4"/>
  <c r="J176" i="4" s="1"/>
  <c r="I177" i="4"/>
  <c r="J177" i="4" s="1"/>
  <c r="I178" i="4"/>
  <c r="J178" i="4" s="1"/>
  <c r="H671" i="3" l="1"/>
  <c r="Y195" i="4"/>
  <c r="S194" i="4"/>
  <c r="AE194" i="4"/>
  <c r="I551" i="3"/>
  <c r="J551" i="3" s="1"/>
  <c r="I419" i="3"/>
  <c r="J419" i="3" s="1"/>
  <c r="I403" i="3"/>
  <c r="J403" i="3" s="1"/>
  <c r="I627" i="3"/>
  <c r="J627" i="3" s="1"/>
  <c r="I460" i="3"/>
  <c r="J460" i="3" s="1"/>
  <c r="I432" i="3"/>
  <c r="J432" i="3" s="1"/>
  <c r="I376" i="3"/>
  <c r="J376" i="3" s="1"/>
  <c r="I368" i="3"/>
  <c r="J368" i="3" s="1"/>
  <c r="I544" i="3"/>
  <c r="J544" i="3" s="1"/>
  <c r="I525" i="3"/>
  <c r="J525" i="3" s="1"/>
  <c r="I473" i="3"/>
  <c r="J473" i="3" s="1"/>
  <c r="I490" i="3"/>
  <c r="J490" i="3" s="1"/>
  <c r="I461" i="3"/>
  <c r="J461" i="3" s="1"/>
  <c r="I382" i="3"/>
  <c r="J382" i="3" s="1"/>
  <c r="I56" i="3"/>
  <c r="J56" i="3" s="1"/>
  <c r="I48" i="3"/>
  <c r="J48" i="3" s="1"/>
  <c r="I40" i="3"/>
  <c r="J40" i="3" s="1"/>
  <c r="I5" i="3"/>
  <c r="I409" i="3"/>
  <c r="J409" i="3" s="1"/>
  <c r="I326" i="3"/>
  <c r="J326" i="3" s="1"/>
  <c r="K198" i="4"/>
  <c r="L186" i="4"/>
  <c r="M186" i="4" s="1"/>
  <c r="L184" i="4"/>
  <c r="M184" i="4" s="1"/>
  <c r="L182" i="4"/>
  <c r="M182" i="4" s="1"/>
  <c r="L178" i="4"/>
  <c r="M178" i="4" s="1"/>
  <c r="L177" i="4"/>
  <c r="M177" i="4" s="1"/>
  <c r="L189" i="4"/>
  <c r="M189" i="4" s="1"/>
  <c r="L185" i="4"/>
  <c r="M185" i="4" s="1"/>
  <c r="L183" i="4"/>
  <c r="M183" i="4" s="1"/>
  <c r="L181" i="4"/>
  <c r="M181" i="4" s="1"/>
  <c r="L180" i="4"/>
  <c r="M180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M168" i="4" s="1"/>
  <c r="L167" i="4"/>
  <c r="M167" i="4" s="1"/>
  <c r="L175" i="4"/>
  <c r="M175" i="4" s="1"/>
  <c r="L162" i="4"/>
  <c r="M162" i="4" s="1"/>
  <c r="L163" i="4"/>
  <c r="M163" i="4" s="1"/>
  <c r="L147" i="4"/>
  <c r="M147" i="4" s="1"/>
  <c r="L146" i="4"/>
  <c r="M146" i="4" s="1"/>
  <c r="L140" i="4"/>
  <c r="M140" i="4" s="1"/>
  <c r="L131" i="4"/>
  <c r="M131" i="4" s="1"/>
  <c r="L179" i="4"/>
  <c r="M179" i="4" s="1"/>
  <c r="L176" i="4"/>
  <c r="M176" i="4" s="1"/>
  <c r="L165" i="4"/>
  <c r="M165" i="4" s="1"/>
  <c r="L150" i="4"/>
  <c r="M150" i="4" s="1"/>
  <c r="L156" i="4"/>
  <c r="M156" i="4" s="1"/>
  <c r="L91" i="4"/>
  <c r="M91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106" i="4"/>
  <c r="M106" i="4" s="1"/>
  <c r="L103" i="4"/>
  <c r="M103" i="4" s="1"/>
  <c r="L57" i="4"/>
  <c r="M57" i="4" s="1"/>
  <c r="L53" i="4"/>
  <c r="M53" i="4" s="1"/>
  <c r="L58" i="4"/>
  <c r="M58" i="4" s="1"/>
  <c r="L54" i="4"/>
  <c r="M54" i="4" s="1"/>
  <c r="L46" i="4"/>
  <c r="M46" i="4" s="1"/>
  <c r="L45" i="4"/>
  <c r="M45" i="4" s="1"/>
  <c r="L44" i="4"/>
  <c r="M44" i="4" s="1"/>
  <c r="L43" i="4"/>
  <c r="M43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5" i="4"/>
  <c r="M25" i="4" s="1"/>
  <c r="L24" i="4"/>
  <c r="M24" i="4" s="1"/>
  <c r="L128" i="4"/>
  <c r="M128" i="4" s="1"/>
  <c r="L127" i="4"/>
  <c r="M127" i="4" s="1"/>
  <c r="L108" i="4"/>
  <c r="M108" i="4" s="1"/>
  <c r="L59" i="4"/>
  <c r="M59" i="4" s="1"/>
  <c r="L55" i="4"/>
  <c r="M55" i="4" s="1"/>
  <c r="L51" i="4"/>
  <c r="M51" i="4" s="1"/>
  <c r="L47" i="4"/>
  <c r="M47" i="4" s="1"/>
  <c r="L22" i="4"/>
  <c r="M22" i="4" s="1"/>
  <c r="L18" i="4"/>
  <c r="M18" i="4" s="1"/>
  <c r="L14" i="4"/>
  <c r="L48" i="4"/>
  <c r="M48" i="4" s="1"/>
  <c r="L23" i="4"/>
  <c r="M23" i="4" s="1"/>
  <c r="L19" i="4"/>
  <c r="M19" i="4" s="1"/>
  <c r="L15" i="4"/>
  <c r="M15" i="4" s="1"/>
  <c r="L20" i="4"/>
  <c r="M20" i="4" s="1"/>
  <c r="L21" i="4"/>
  <c r="M21" i="4" s="1"/>
  <c r="L56" i="4"/>
  <c r="M56" i="4" s="1"/>
  <c r="J175" i="4"/>
  <c r="AI193" i="4"/>
  <c r="S196" i="4"/>
  <c r="M195" i="4"/>
  <c r="AF193" i="4" l="1"/>
  <c r="J5" i="3"/>
  <c r="J642" i="3" s="1"/>
  <c r="K651" i="3"/>
  <c r="K662" i="3"/>
  <c r="K654" i="3"/>
  <c r="K646" i="3"/>
  <c r="K667" i="3"/>
  <c r="K663" i="3"/>
  <c r="K645" i="3"/>
  <c r="K668" i="3"/>
  <c r="K660" i="3"/>
  <c r="K652" i="3"/>
  <c r="K659" i="3"/>
  <c r="K657" i="3"/>
  <c r="K656" i="3"/>
  <c r="K655" i="3"/>
  <c r="K661" i="3"/>
  <c r="K666" i="3"/>
  <c r="K658" i="3"/>
  <c r="K650" i="3"/>
  <c r="K653" i="3"/>
  <c r="K665" i="3"/>
  <c r="K649" i="3"/>
  <c r="K669" i="3"/>
  <c r="K664" i="3"/>
  <c r="K647" i="3"/>
  <c r="K648" i="3"/>
  <c r="N193" i="4"/>
  <c r="AI198" i="4"/>
  <c r="AJ186" i="4"/>
  <c r="AK186" i="4" s="1"/>
  <c r="AJ184" i="4"/>
  <c r="AK184" i="4" s="1"/>
  <c r="AJ182" i="4"/>
  <c r="AK182" i="4" s="1"/>
  <c r="AJ180" i="4"/>
  <c r="AK180" i="4" s="1"/>
  <c r="AJ178" i="4"/>
  <c r="AK178" i="4" s="1"/>
  <c r="AJ177" i="4"/>
  <c r="AK177" i="4" s="1"/>
  <c r="AJ176" i="4"/>
  <c r="AK176" i="4" s="1"/>
  <c r="AJ189" i="4"/>
  <c r="AK189" i="4" s="1"/>
  <c r="AJ185" i="4"/>
  <c r="AK185" i="4" s="1"/>
  <c r="AJ183" i="4"/>
  <c r="AK183" i="4" s="1"/>
  <c r="AJ181" i="4"/>
  <c r="AK181" i="4" s="1"/>
  <c r="AJ174" i="4"/>
  <c r="AK174" i="4" s="1"/>
  <c r="AJ173" i="4"/>
  <c r="AK173" i="4" s="1"/>
  <c r="AJ172" i="4"/>
  <c r="AK172" i="4" s="1"/>
  <c r="AJ171" i="4"/>
  <c r="AK171" i="4" s="1"/>
  <c r="AJ170" i="4"/>
  <c r="AK170" i="4" s="1"/>
  <c r="AJ169" i="4"/>
  <c r="AK169" i="4" s="1"/>
  <c r="AJ168" i="4"/>
  <c r="AK168" i="4" s="1"/>
  <c r="AJ167" i="4"/>
  <c r="AK167" i="4" s="1"/>
  <c r="AJ165" i="4"/>
  <c r="AK165" i="4" s="1"/>
  <c r="AJ179" i="4"/>
  <c r="AK179" i="4" s="1"/>
  <c r="AJ175" i="4"/>
  <c r="AK175" i="4" s="1"/>
  <c r="AJ162" i="4"/>
  <c r="AK162" i="4" s="1"/>
  <c r="AJ146" i="4"/>
  <c r="AK146" i="4" s="1"/>
  <c r="AJ140" i="4"/>
  <c r="AK140" i="4" s="1"/>
  <c r="AJ131" i="4"/>
  <c r="AK131" i="4" s="1"/>
  <c r="AJ150" i="4"/>
  <c r="AK150" i="4" s="1"/>
  <c r="AJ163" i="4"/>
  <c r="AK163" i="4" s="1"/>
  <c r="AJ156" i="4"/>
  <c r="AK156" i="4" s="1"/>
  <c r="AJ147" i="4"/>
  <c r="AK147" i="4" s="1"/>
  <c r="AJ91" i="4"/>
  <c r="AK91" i="4" s="1"/>
  <c r="AJ82" i="4"/>
  <c r="AK82" i="4" s="1"/>
  <c r="AJ81" i="4"/>
  <c r="AK81" i="4" s="1"/>
  <c r="AJ80" i="4"/>
  <c r="AK80" i="4" s="1"/>
  <c r="AJ79" i="4"/>
  <c r="AK79" i="4" s="1"/>
  <c r="AJ78" i="4"/>
  <c r="AK78" i="4" s="1"/>
  <c r="AJ77" i="4"/>
  <c r="AK77" i="4" s="1"/>
  <c r="AJ76" i="4"/>
  <c r="AK76" i="4" s="1"/>
  <c r="AJ75" i="4"/>
  <c r="AK75" i="4" s="1"/>
  <c r="AJ74" i="4"/>
  <c r="AK74" i="4" s="1"/>
  <c r="AJ73" i="4"/>
  <c r="AK73" i="4" s="1"/>
  <c r="AJ72" i="4"/>
  <c r="AK72" i="4" s="1"/>
  <c r="AJ71" i="4"/>
  <c r="AK71" i="4" s="1"/>
  <c r="AJ70" i="4"/>
  <c r="AK70" i="4" s="1"/>
  <c r="AJ69" i="4"/>
  <c r="AK69" i="4" s="1"/>
  <c r="AJ68" i="4"/>
  <c r="AK68" i="4" s="1"/>
  <c r="AJ65" i="4"/>
  <c r="AK65" i="4" s="1"/>
  <c r="AJ64" i="4"/>
  <c r="AK64" i="4" s="1"/>
  <c r="AJ63" i="4"/>
  <c r="AK63" i="4" s="1"/>
  <c r="AJ62" i="4"/>
  <c r="AK62" i="4" s="1"/>
  <c r="AJ61" i="4"/>
  <c r="AK61" i="4" s="1"/>
  <c r="AJ60" i="4"/>
  <c r="AK60" i="4" s="1"/>
  <c r="AJ59" i="4"/>
  <c r="AK59" i="4" s="1"/>
  <c r="AJ106" i="4"/>
  <c r="AK106" i="4" s="1"/>
  <c r="AJ128" i="4"/>
  <c r="AK128" i="4" s="1"/>
  <c r="AJ127" i="4"/>
  <c r="AK127" i="4" s="1"/>
  <c r="AJ103" i="4"/>
  <c r="AK103" i="4" s="1"/>
  <c r="AJ57" i="4"/>
  <c r="AK57" i="4" s="1"/>
  <c r="AJ53" i="4"/>
  <c r="AK53" i="4" s="1"/>
  <c r="AJ45" i="4"/>
  <c r="AK45" i="4" s="1"/>
  <c r="AJ58" i="4"/>
  <c r="AK58" i="4" s="1"/>
  <c r="AJ54" i="4"/>
  <c r="AK54" i="4" s="1"/>
  <c r="AJ46" i="4"/>
  <c r="AK46" i="4" s="1"/>
  <c r="AJ44" i="4"/>
  <c r="AK44" i="4" s="1"/>
  <c r="AJ43" i="4"/>
  <c r="AK43" i="4" s="1"/>
  <c r="AJ40" i="4"/>
  <c r="AK40" i="4" s="1"/>
  <c r="AJ39" i="4"/>
  <c r="AK39" i="4" s="1"/>
  <c r="AJ38" i="4"/>
  <c r="AK38" i="4" s="1"/>
  <c r="AJ37" i="4"/>
  <c r="AK37" i="4" s="1"/>
  <c r="AJ36" i="4"/>
  <c r="AK36" i="4" s="1"/>
  <c r="AJ35" i="4"/>
  <c r="AK35" i="4" s="1"/>
  <c r="AJ34" i="4"/>
  <c r="AK34" i="4" s="1"/>
  <c r="AJ33" i="4"/>
  <c r="AK33" i="4" s="1"/>
  <c r="AJ32" i="4"/>
  <c r="AK32" i="4" s="1"/>
  <c r="AJ31" i="4"/>
  <c r="AK31" i="4" s="1"/>
  <c r="AJ30" i="4"/>
  <c r="AK30" i="4" s="1"/>
  <c r="AJ29" i="4"/>
  <c r="AK29" i="4" s="1"/>
  <c r="AJ28" i="4"/>
  <c r="AK28" i="4" s="1"/>
  <c r="AJ25" i="4"/>
  <c r="AK25" i="4" s="1"/>
  <c r="AJ24" i="4"/>
  <c r="AK24" i="4" s="1"/>
  <c r="AJ23" i="4"/>
  <c r="AK23" i="4" s="1"/>
  <c r="AJ55" i="4"/>
  <c r="AK55" i="4" s="1"/>
  <c r="AJ51" i="4"/>
  <c r="AK51" i="4" s="1"/>
  <c r="AJ47" i="4"/>
  <c r="AK47" i="4" s="1"/>
  <c r="AJ108" i="4"/>
  <c r="AK108" i="4" s="1"/>
  <c r="AJ56" i="4"/>
  <c r="AK56" i="4" s="1"/>
  <c r="AJ22" i="4"/>
  <c r="AK22" i="4" s="1"/>
  <c r="AJ18" i="4"/>
  <c r="AK18" i="4" s="1"/>
  <c r="AJ14" i="4"/>
  <c r="AK14" i="4" s="1"/>
  <c r="AJ19" i="4"/>
  <c r="AK19" i="4" s="1"/>
  <c r="AJ15" i="4"/>
  <c r="AK15" i="4" s="1"/>
  <c r="AJ48" i="4"/>
  <c r="AK48" i="4" s="1"/>
  <c r="AJ20" i="4"/>
  <c r="AK20" i="4" s="1"/>
  <c r="AJ21" i="4"/>
  <c r="AK21" i="4" s="1"/>
  <c r="J191" i="4"/>
  <c r="J193" i="4"/>
  <c r="J198" i="4" s="1"/>
  <c r="M14" i="4"/>
  <c r="L551" i="3" l="1"/>
  <c r="M551" i="3" s="1"/>
  <c r="L627" i="3"/>
  <c r="M627" i="3" s="1"/>
  <c r="L544" i="3"/>
  <c r="M544" i="3" s="1"/>
  <c r="L525" i="3"/>
  <c r="M525" i="3" s="1"/>
  <c r="L473" i="3"/>
  <c r="M473" i="3" s="1"/>
  <c r="L460" i="3"/>
  <c r="M460" i="3" s="1"/>
  <c r="L432" i="3"/>
  <c r="M432" i="3" s="1"/>
  <c r="L376" i="3"/>
  <c r="M376" i="3" s="1"/>
  <c r="L368" i="3"/>
  <c r="M368" i="3" s="1"/>
  <c r="L461" i="3"/>
  <c r="M461" i="3" s="1"/>
  <c r="L409" i="3"/>
  <c r="M409" i="3" s="1"/>
  <c r="L490" i="3"/>
  <c r="M490" i="3" s="1"/>
  <c r="L419" i="3"/>
  <c r="M419" i="3" s="1"/>
  <c r="L382" i="3"/>
  <c r="M382" i="3" s="1"/>
  <c r="L326" i="3"/>
  <c r="M326" i="3" s="1"/>
  <c r="L403" i="3"/>
  <c r="M403" i="3" s="1"/>
  <c r="L40" i="3"/>
  <c r="M40" i="3" s="1"/>
  <c r="L56" i="3"/>
  <c r="M56" i="3" s="1"/>
  <c r="L48" i="3"/>
  <c r="M48" i="3" s="1"/>
  <c r="L5" i="3"/>
  <c r="M5" i="3" s="1"/>
  <c r="L424" i="3"/>
  <c r="M424" i="3" s="1"/>
  <c r="L562" i="3"/>
  <c r="M562" i="3" s="1"/>
  <c r="L574" i="3"/>
  <c r="M574" i="3" s="1"/>
  <c r="L373" i="3"/>
  <c r="M373" i="3" s="1"/>
  <c r="L443" i="3"/>
  <c r="M443" i="3" s="1"/>
  <c r="L65" i="3"/>
  <c r="M65" i="3" s="1"/>
  <c r="L573" i="3"/>
  <c r="M573" i="3" s="1"/>
  <c r="L561" i="3"/>
  <c r="M561" i="3" s="1"/>
  <c r="L636" i="3"/>
  <c r="M636" i="3" s="1"/>
  <c r="L442" i="3"/>
  <c r="M442" i="3" s="1"/>
  <c r="L415" i="3"/>
  <c r="M415" i="3" s="1"/>
  <c r="L64" i="3"/>
  <c r="M64" i="3" s="1"/>
  <c r="N198" i="4"/>
  <c r="O179" i="4"/>
  <c r="P179" i="4" s="1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89" i="4"/>
  <c r="P189" i="4" s="1"/>
  <c r="O185" i="4"/>
  <c r="P185" i="4" s="1"/>
  <c r="O181" i="4"/>
  <c r="P181" i="4" s="1"/>
  <c r="O165" i="4"/>
  <c r="P165" i="4" s="1"/>
  <c r="O163" i="4"/>
  <c r="P163" i="4" s="1"/>
  <c r="O162" i="4"/>
  <c r="P162" i="4" s="1"/>
  <c r="O156" i="4"/>
  <c r="P156" i="4" s="1"/>
  <c r="O184" i="4"/>
  <c r="P184" i="4" s="1"/>
  <c r="O186" i="4"/>
  <c r="P186" i="4" s="1"/>
  <c r="O182" i="4"/>
  <c r="P182" i="4" s="1"/>
  <c r="O180" i="4"/>
  <c r="P180" i="4" s="1"/>
  <c r="O178" i="4"/>
  <c r="P178" i="4" s="1"/>
  <c r="O150" i="4"/>
  <c r="P150" i="4" s="1"/>
  <c r="O127" i="4"/>
  <c r="P127" i="4" s="1"/>
  <c r="O146" i="4"/>
  <c r="P146" i="4" s="1"/>
  <c r="O183" i="4"/>
  <c r="P183" i="4" s="1"/>
  <c r="O106" i="4"/>
  <c r="P106" i="4" s="1"/>
  <c r="O128" i="4"/>
  <c r="P128" i="4" s="1"/>
  <c r="O103" i="4"/>
  <c r="P103" i="4" s="1"/>
  <c r="O131" i="4"/>
  <c r="P131" i="4" s="1"/>
  <c r="O108" i="4"/>
  <c r="P108" i="4" s="1"/>
  <c r="O65" i="4"/>
  <c r="P65" i="4" s="1"/>
  <c r="O63" i="4"/>
  <c r="P63" i="4" s="1"/>
  <c r="O61" i="4"/>
  <c r="P61" i="4" s="1"/>
  <c r="O59" i="4"/>
  <c r="P59" i="4" s="1"/>
  <c r="O55" i="4"/>
  <c r="P55" i="4" s="1"/>
  <c r="O51" i="4"/>
  <c r="P51" i="4" s="1"/>
  <c r="O47" i="4"/>
  <c r="P47" i="4" s="1"/>
  <c r="O82" i="4"/>
  <c r="P82" i="4" s="1"/>
  <c r="O80" i="4"/>
  <c r="P80" i="4" s="1"/>
  <c r="O78" i="4"/>
  <c r="P78" i="4" s="1"/>
  <c r="O76" i="4"/>
  <c r="P76" i="4" s="1"/>
  <c r="O74" i="4"/>
  <c r="P74" i="4" s="1"/>
  <c r="O72" i="4"/>
  <c r="P72" i="4" s="1"/>
  <c r="O70" i="4"/>
  <c r="P70" i="4" s="1"/>
  <c r="O68" i="4"/>
  <c r="P68" i="4" s="1"/>
  <c r="O56" i="4"/>
  <c r="P56" i="4" s="1"/>
  <c r="O48" i="4"/>
  <c r="P48" i="4" s="1"/>
  <c r="O140" i="4"/>
  <c r="P140" i="4" s="1"/>
  <c r="O64" i="4"/>
  <c r="P64" i="4" s="1"/>
  <c r="O62" i="4"/>
  <c r="P62" i="4" s="1"/>
  <c r="O60" i="4"/>
  <c r="P60" i="4" s="1"/>
  <c r="O57" i="4"/>
  <c r="P57" i="4" s="1"/>
  <c r="O53" i="4"/>
  <c r="P53" i="4" s="1"/>
  <c r="O81" i="4"/>
  <c r="P81" i="4" s="1"/>
  <c r="O77" i="4"/>
  <c r="P77" i="4" s="1"/>
  <c r="O73" i="4"/>
  <c r="P73" i="4" s="1"/>
  <c r="O69" i="4"/>
  <c r="P69" i="4" s="1"/>
  <c r="O43" i="4"/>
  <c r="P43" i="4" s="1"/>
  <c r="O40" i="4"/>
  <c r="P40" i="4" s="1"/>
  <c r="O36" i="4"/>
  <c r="P36" i="4" s="1"/>
  <c r="O25" i="4"/>
  <c r="P25" i="4" s="1"/>
  <c r="O23" i="4"/>
  <c r="P23" i="4" s="1"/>
  <c r="O19" i="4"/>
  <c r="P19" i="4" s="1"/>
  <c r="O15" i="4"/>
  <c r="P15" i="4" s="1"/>
  <c r="O58" i="4"/>
  <c r="P58" i="4" s="1"/>
  <c r="O46" i="4"/>
  <c r="P46" i="4" s="1"/>
  <c r="O39" i="4"/>
  <c r="P39" i="4" s="1"/>
  <c r="O34" i="4"/>
  <c r="P34" i="4" s="1"/>
  <c r="O32" i="4"/>
  <c r="P32" i="4" s="1"/>
  <c r="O30" i="4"/>
  <c r="P30" i="4" s="1"/>
  <c r="O28" i="4"/>
  <c r="P28" i="4" s="1"/>
  <c r="O20" i="4"/>
  <c r="P20" i="4" s="1"/>
  <c r="O147" i="4"/>
  <c r="P147" i="4" s="1"/>
  <c r="O91" i="4"/>
  <c r="P91" i="4" s="1"/>
  <c r="O79" i="4"/>
  <c r="P79" i="4" s="1"/>
  <c r="O75" i="4"/>
  <c r="P75" i="4" s="1"/>
  <c r="O71" i="4"/>
  <c r="P71" i="4" s="1"/>
  <c r="O45" i="4"/>
  <c r="P45" i="4" s="1"/>
  <c r="O38" i="4"/>
  <c r="P38" i="4" s="1"/>
  <c r="O24" i="4"/>
  <c r="P24" i="4" s="1"/>
  <c r="O21" i="4"/>
  <c r="P21" i="4" s="1"/>
  <c r="O22" i="4"/>
  <c r="P22" i="4" s="1"/>
  <c r="O14" i="4"/>
  <c r="O31" i="4"/>
  <c r="P31" i="4" s="1"/>
  <c r="O29" i="4"/>
  <c r="P29" i="4" s="1"/>
  <c r="O18" i="4"/>
  <c r="P18" i="4" s="1"/>
  <c r="O35" i="4"/>
  <c r="P35" i="4" s="1"/>
  <c r="O37" i="4"/>
  <c r="P37" i="4" s="1"/>
  <c r="O54" i="4"/>
  <c r="P54" i="4" s="1"/>
  <c r="O33" i="4"/>
  <c r="P33" i="4" s="1"/>
  <c r="O44" i="4"/>
  <c r="P44" i="4" s="1"/>
  <c r="L629" i="3"/>
  <c r="M629" i="3" s="1"/>
  <c r="L581" i="3"/>
  <c r="M581" i="3" s="1"/>
  <c r="L569" i="3"/>
  <c r="M569" i="3" s="1"/>
  <c r="L606" i="3"/>
  <c r="M606" i="3" s="1"/>
  <c r="L539" i="3"/>
  <c r="M539" i="3" s="1"/>
  <c r="L603" i="3"/>
  <c r="M603" i="3" s="1"/>
  <c r="L521" i="3"/>
  <c r="M521" i="3" s="1"/>
  <c r="L384" i="3"/>
  <c r="M384" i="3" s="1"/>
  <c r="L356" i="3"/>
  <c r="M356" i="3" s="1"/>
  <c r="L348" i="3"/>
  <c r="M348" i="3" s="1"/>
  <c r="L340" i="3"/>
  <c r="M340" i="3" s="1"/>
  <c r="L328" i="3"/>
  <c r="M328" i="3" s="1"/>
  <c r="L587" i="3"/>
  <c r="M587" i="3" s="1"/>
  <c r="L511" i="3"/>
  <c r="M511" i="3" s="1"/>
  <c r="L421" i="3"/>
  <c r="M421" i="3" s="1"/>
  <c r="L405" i="3"/>
  <c r="M405" i="3" s="1"/>
  <c r="L553" i="3"/>
  <c r="M553" i="3" s="1"/>
  <c r="L474" i="3"/>
  <c r="M474" i="3" s="1"/>
  <c r="L362" i="3"/>
  <c r="M362" i="3" s="1"/>
  <c r="L287" i="3"/>
  <c r="M287" i="3" s="1"/>
  <c r="L235" i="3"/>
  <c r="M235" i="3" s="1"/>
  <c r="L199" i="3"/>
  <c r="M199" i="3" s="1"/>
  <c r="L179" i="3"/>
  <c r="M179" i="3" s="1"/>
  <c r="L492" i="3"/>
  <c r="M492" i="3" s="1"/>
  <c r="L491" i="3"/>
  <c r="M491" i="3" s="1"/>
  <c r="L370" i="3"/>
  <c r="M370" i="3" s="1"/>
  <c r="L309" i="3"/>
  <c r="M309" i="3" s="1"/>
  <c r="L288" i="3"/>
  <c r="M288" i="3" s="1"/>
  <c r="L212" i="3"/>
  <c r="M212" i="3" s="1"/>
  <c r="L451" i="3"/>
  <c r="M451" i="3" s="1"/>
  <c r="L450" i="3"/>
  <c r="M450" i="3" s="1"/>
  <c r="L434" i="3"/>
  <c r="M434" i="3" s="1"/>
  <c r="L398" i="3"/>
  <c r="M398" i="3" s="1"/>
  <c r="L378" i="3"/>
  <c r="M378" i="3" s="1"/>
  <c r="L253" i="3"/>
  <c r="M253" i="3" s="1"/>
  <c r="L245" i="3"/>
  <c r="M245" i="3" s="1"/>
  <c r="L411" i="3"/>
  <c r="M411" i="3" s="1"/>
  <c r="L226" i="3"/>
  <c r="M226" i="3" s="1"/>
  <c r="L86" i="3"/>
  <c r="M86" i="3" s="1"/>
  <c r="L58" i="3"/>
  <c r="M58" i="3" s="1"/>
  <c r="L50" i="3"/>
  <c r="M50" i="3" s="1"/>
  <c r="L42" i="3"/>
  <c r="M42" i="3" s="1"/>
  <c r="L462" i="3"/>
  <c r="M462" i="3" s="1"/>
  <c r="L329" i="3"/>
  <c r="M329" i="3" s="1"/>
  <c r="L321" i="3"/>
  <c r="M321" i="3" s="1"/>
  <c r="L107" i="3"/>
  <c r="M107" i="3" s="1"/>
  <c r="L99" i="3"/>
  <c r="M99" i="3" s="1"/>
  <c r="L87" i="3"/>
  <c r="M87" i="3" s="1"/>
  <c r="L36" i="3"/>
  <c r="M36" i="3" s="1"/>
  <c r="L24" i="3"/>
  <c r="M24" i="3" s="1"/>
  <c r="L16" i="3"/>
  <c r="M16" i="3" s="1"/>
  <c r="L8" i="3"/>
  <c r="M8" i="3" s="1"/>
  <c r="L169" i="3"/>
  <c r="M169" i="3" s="1"/>
  <c r="L13" i="3"/>
  <c r="M13" i="3" s="1"/>
  <c r="L174" i="3"/>
  <c r="M174" i="3" s="1"/>
  <c r="L140" i="3"/>
  <c r="M140" i="3" s="1"/>
  <c r="L72" i="3"/>
  <c r="M72" i="3" s="1"/>
  <c r="L483" i="3"/>
  <c r="M483" i="3" s="1"/>
  <c r="L218" i="3"/>
  <c r="M218" i="3" s="1"/>
  <c r="L214" i="3"/>
  <c r="M214" i="3" s="1"/>
  <c r="L141" i="3"/>
  <c r="M141" i="3" s="1"/>
  <c r="L117" i="3"/>
  <c r="M117" i="3" s="1"/>
  <c r="L73" i="3"/>
  <c r="M73" i="3" s="1"/>
  <c r="L557" i="3"/>
  <c r="M557" i="3" s="1"/>
  <c r="L632" i="3"/>
  <c r="M632" i="3" s="1"/>
  <c r="L438" i="3"/>
  <c r="M438" i="3" s="1"/>
  <c r="L11" i="3"/>
  <c r="M11" i="3" s="1"/>
  <c r="L621" i="3"/>
  <c r="M621" i="3" s="1"/>
  <c r="L613" i="3"/>
  <c r="M613" i="3" s="1"/>
  <c r="L605" i="3"/>
  <c r="M605" i="3" s="1"/>
  <c r="L601" i="3"/>
  <c r="M601" i="3" s="1"/>
  <c r="L577" i="3"/>
  <c r="M577" i="3" s="1"/>
  <c r="L612" i="3"/>
  <c r="M612" i="3" s="1"/>
  <c r="L598" i="3"/>
  <c r="M598" i="3" s="1"/>
  <c r="L595" i="3"/>
  <c r="M595" i="3" s="1"/>
  <c r="L586" i="3"/>
  <c r="M586" i="3" s="1"/>
  <c r="L610" i="3"/>
  <c r="M610" i="3" s="1"/>
  <c r="L591" i="3"/>
  <c r="M591" i="3" s="1"/>
  <c r="L316" i="3"/>
  <c r="M316" i="3" s="1"/>
  <c r="L308" i="3"/>
  <c r="M308" i="3" s="1"/>
  <c r="L304" i="3"/>
  <c r="M304" i="3" s="1"/>
  <c r="L296" i="3"/>
  <c r="M296" i="3" s="1"/>
  <c r="L624" i="3"/>
  <c r="M624" i="3" s="1"/>
  <c r="L567" i="3"/>
  <c r="M567" i="3" s="1"/>
  <c r="L622" i="3"/>
  <c r="M622" i="3" s="1"/>
  <c r="L611" i="3"/>
  <c r="M611" i="3" s="1"/>
  <c r="L602" i="3"/>
  <c r="M602" i="3" s="1"/>
  <c r="L338" i="3"/>
  <c r="M338" i="3" s="1"/>
  <c r="L315" i="3"/>
  <c r="M315" i="3" s="1"/>
  <c r="L307" i="3"/>
  <c r="M307" i="3" s="1"/>
  <c r="L299" i="3"/>
  <c r="M299" i="3" s="1"/>
  <c r="L279" i="3"/>
  <c r="M279" i="3" s="1"/>
  <c r="L275" i="3"/>
  <c r="M275" i="3" s="1"/>
  <c r="L267" i="3"/>
  <c r="M267" i="3" s="1"/>
  <c r="L263" i="3"/>
  <c r="M263" i="3" s="1"/>
  <c r="L243" i="3"/>
  <c r="M243" i="3" s="1"/>
  <c r="L239" i="3"/>
  <c r="M239" i="3" s="1"/>
  <c r="L211" i="3"/>
  <c r="M211" i="3" s="1"/>
  <c r="L207" i="3"/>
  <c r="M207" i="3" s="1"/>
  <c r="L195" i="3"/>
  <c r="M195" i="3" s="1"/>
  <c r="L187" i="3"/>
  <c r="M187" i="3" s="1"/>
  <c r="L183" i="3"/>
  <c r="M183" i="3" s="1"/>
  <c r="L318" i="3"/>
  <c r="M318" i="3" s="1"/>
  <c r="L301" i="3"/>
  <c r="M301" i="3" s="1"/>
  <c r="L284" i="3"/>
  <c r="M284" i="3" s="1"/>
  <c r="L280" i="3"/>
  <c r="M280" i="3" s="1"/>
  <c r="L276" i="3"/>
  <c r="M276" i="3" s="1"/>
  <c r="L268" i="3"/>
  <c r="M268" i="3" s="1"/>
  <c r="L260" i="3"/>
  <c r="M260" i="3" s="1"/>
  <c r="L232" i="3"/>
  <c r="M232" i="3" s="1"/>
  <c r="L196" i="3"/>
  <c r="M196" i="3" s="1"/>
  <c r="L285" i="3"/>
  <c r="M285" i="3" s="1"/>
  <c r="L273" i="3"/>
  <c r="M273" i="3" s="1"/>
  <c r="L269" i="3"/>
  <c r="M269" i="3" s="1"/>
  <c r="L265" i="3"/>
  <c r="M265" i="3" s="1"/>
  <c r="L225" i="3"/>
  <c r="M225" i="3" s="1"/>
  <c r="L313" i="3"/>
  <c r="M313" i="3" s="1"/>
  <c r="L305" i="3"/>
  <c r="M305" i="3" s="1"/>
  <c r="L297" i="3"/>
  <c r="M297" i="3" s="1"/>
  <c r="L234" i="3"/>
  <c r="M234" i="3" s="1"/>
  <c r="L178" i="3"/>
  <c r="M178" i="3" s="1"/>
  <c r="L158" i="3"/>
  <c r="M158" i="3" s="1"/>
  <c r="L138" i="3"/>
  <c r="M138" i="3" s="1"/>
  <c r="L126" i="3"/>
  <c r="M126" i="3" s="1"/>
  <c r="L122" i="3"/>
  <c r="M122" i="3" s="1"/>
  <c r="L114" i="3"/>
  <c r="M114" i="3" s="1"/>
  <c r="L106" i="3"/>
  <c r="M106" i="3" s="1"/>
  <c r="L102" i="3"/>
  <c r="M102" i="3" s="1"/>
  <c r="L98" i="3"/>
  <c r="M98" i="3" s="1"/>
  <c r="L94" i="3"/>
  <c r="M94" i="3" s="1"/>
  <c r="L78" i="3"/>
  <c r="M78" i="3" s="1"/>
  <c r="L22" i="3"/>
  <c r="M22" i="3" s="1"/>
  <c r="L337" i="3"/>
  <c r="M337" i="3" s="1"/>
  <c r="L188" i="3"/>
  <c r="M188" i="3" s="1"/>
  <c r="L181" i="3"/>
  <c r="M181" i="3" s="1"/>
  <c r="L173" i="3"/>
  <c r="M173" i="3" s="1"/>
  <c r="L164" i="3"/>
  <c r="M164" i="3" s="1"/>
  <c r="L131" i="3"/>
  <c r="M131" i="3" s="1"/>
  <c r="L83" i="3"/>
  <c r="M83" i="3" s="1"/>
  <c r="L71" i="3"/>
  <c r="M71" i="3" s="1"/>
  <c r="L168" i="3"/>
  <c r="M168" i="3" s="1"/>
  <c r="L137" i="3"/>
  <c r="M137" i="3" s="1"/>
  <c r="L113" i="3"/>
  <c r="M113" i="3" s="1"/>
  <c r="L278" i="3"/>
  <c r="M278" i="3" s="1"/>
  <c r="L152" i="3"/>
  <c r="M152" i="3" s="1"/>
  <c r="L148" i="3"/>
  <c r="M148" i="3" s="1"/>
  <c r="L132" i="3"/>
  <c r="M132" i="3" s="1"/>
  <c r="L124" i="3"/>
  <c r="M124" i="3" s="1"/>
  <c r="L120" i="3"/>
  <c r="M120" i="3" s="1"/>
  <c r="L116" i="3"/>
  <c r="M116" i="3" s="1"/>
  <c r="L84" i="3"/>
  <c r="M84" i="3" s="1"/>
  <c r="L217" i="3"/>
  <c r="M217" i="3" s="1"/>
  <c r="L213" i="3"/>
  <c r="M213" i="3" s="1"/>
  <c r="L194" i="3"/>
  <c r="M194" i="3" s="1"/>
  <c r="L129" i="3"/>
  <c r="M129" i="3" s="1"/>
  <c r="L121" i="3"/>
  <c r="M121" i="3" s="1"/>
  <c r="L633" i="3"/>
  <c r="M633" i="3" s="1"/>
  <c r="L571" i="3"/>
  <c r="M571" i="3" s="1"/>
  <c r="L558" i="3"/>
  <c r="M558" i="3" s="1"/>
  <c r="L549" i="3"/>
  <c r="M549" i="3" s="1"/>
  <c r="L439" i="3"/>
  <c r="M439" i="3" s="1"/>
  <c r="L61" i="3"/>
  <c r="M61" i="3" s="1"/>
  <c r="L452" i="3"/>
  <c r="M452" i="3" s="1"/>
  <c r="L412" i="3"/>
  <c r="M412" i="3" s="1"/>
  <c r="L554" i="3"/>
  <c r="M554" i="3" s="1"/>
  <c r="L512" i="3"/>
  <c r="M512" i="3" s="1"/>
  <c r="L385" i="3"/>
  <c r="M385" i="3" s="1"/>
  <c r="L540" i="3"/>
  <c r="M540" i="3" s="1"/>
  <c r="L227" i="3"/>
  <c r="M227" i="3" s="1"/>
  <c r="L219" i="3"/>
  <c r="M219" i="3" s="1"/>
  <c r="L507" i="3"/>
  <c r="M507" i="3" s="1"/>
  <c r="L319" i="3"/>
  <c r="M319" i="3" s="1"/>
  <c r="L236" i="3"/>
  <c r="M236" i="3" s="1"/>
  <c r="L200" i="3"/>
  <c r="M200" i="3" s="1"/>
  <c r="L310" i="3"/>
  <c r="M310" i="3" s="1"/>
  <c r="L289" i="3"/>
  <c r="M289" i="3" s="1"/>
  <c r="L88" i="3"/>
  <c r="M88" i="3" s="1"/>
  <c r="L25" i="3"/>
  <c r="M25" i="3" s="1"/>
  <c r="L631" i="3"/>
  <c r="M631" i="3" s="1"/>
  <c r="L582" i="3"/>
  <c r="M582" i="3" s="1"/>
  <c r="L570" i="3"/>
  <c r="M570" i="3" s="1"/>
  <c r="L607" i="3"/>
  <c r="M607" i="3" s="1"/>
  <c r="L529" i="3"/>
  <c r="M529" i="3" s="1"/>
  <c r="L513" i="3"/>
  <c r="M513" i="3" s="1"/>
  <c r="L501" i="3"/>
  <c r="M501" i="3" s="1"/>
  <c r="L485" i="3"/>
  <c r="M485" i="3" s="1"/>
  <c r="L469" i="3"/>
  <c r="M469" i="3" s="1"/>
  <c r="L556" i="3"/>
  <c r="M556" i="3" s="1"/>
  <c r="L522" i="3"/>
  <c r="M522" i="3" s="1"/>
  <c r="L464" i="3"/>
  <c r="M464" i="3" s="1"/>
  <c r="L400" i="3"/>
  <c r="M400" i="3" s="1"/>
  <c r="L380" i="3"/>
  <c r="M380" i="3" s="1"/>
  <c r="L372" i="3"/>
  <c r="M372" i="3" s="1"/>
  <c r="L364" i="3"/>
  <c r="M364" i="3" s="1"/>
  <c r="L332" i="3"/>
  <c r="M332" i="3" s="1"/>
  <c r="L292" i="3"/>
  <c r="M292" i="3" s="1"/>
  <c r="L592" i="3"/>
  <c r="M592" i="3" s="1"/>
  <c r="L588" i="3"/>
  <c r="M588" i="3" s="1"/>
  <c r="L545" i="3"/>
  <c r="M545" i="3" s="1"/>
  <c r="L496" i="3"/>
  <c r="M496" i="3" s="1"/>
  <c r="L495" i="3"/>
  <c r="M495" i="3" s="1"/>
  <c r="L480" i="3"/>
  <c r="M480" i="3" s="1"/>
  <c r="L437" i="3"/>
  <c r="M437" i="3" s="1"/>
  <c r="L541" i="3"/>
  <c r="M541" i="3" s="1"/>
  <c r="L534" i="3"/>
  <c r="M534" i="3" s="1"/>
  <c r="L423" i="3"/>
  <c r="M423" i="3" s="1"/>
  <c r="L314" i="3"/>
  <c r="M314" i="3" s="1"/>
  <c r="L271" i="3"/>
  <c r="M271" i="3" s="1"/>
  <c r="L259" i="3"/>
  <c r="M259" i="3" s="1"/>
  <c r="L255" i="3"/>
  <c r="M255" i="3" s="1"/>
  <c r="L247" i="3"/>
  <c r="M247" i="3" s="1"/>
  <c r="L215" i="3"/>
  <c r="M215" i="3" s="1"/>
  <c r="L475" i="3"/>
  <c r="M475" i="3" s="1"/>
  <c r="L430" i="3"/>
  <c r="M430" i="3" s="1"/>
  <c r="L240" i="3"/>
  <c r="M240" i="3" s="1"/>
  <c r="L204" i="3"/>
  <c r="M204" i="3" s="1"/>
  <c r="L455" i="3"/>
  <c r="M455" i="3" s="1"/>
  <c r="L394" i="3"/>
  <c r="M394" i="3" s="1"/>
  <c r="L390" i="3"/>
  <c r="M390" i="3" s="1"/>
  <c r="L387" i="3"/>
  <c r="M387" i="3" s="1"/>
  <c r="L358" i="3"/>
  <c r="M358" i="3" s="1"/>
  <c r="L350" i="3"/>
  <c r="M350" i="3" s="1"/>
  <c r="L342" i="3"/>
  <c r="M342" i="3" s="1"/>
  <c r="L257" i="3"/>
  <c r="M257" i="3" s="1"/>
  <c r="L237" i="3"/>
  <c r="M237" i="3" s="1"/>
  <c r="L233" i="3"/>
  <c r="M233" i="3" s="1"/>
  <c r="L229" i="3"/>
  <c r="M229" i="3" s="1"/>
  <c r="L274" i="3"/>
  <c r="M274" i="3" s="1"/>
  <c r="L266" i="3"/>
  <c r="M266" i="3" s="1"/>
  <c r="L170" i="3"/>
  <c r="M170" i="3" s="1"/>
  <c r="L110" i="3"/>
  <c r="M110" i="3" s="1"/>
  <c r="L38" i="3"/>
  <c r="M38" i="3" s="1"/>
  <c r="L18" i="3"/>
  <c r="M18" i="3" s="1"/>
  <c r="L10" i="3"/>
  <c r="M10" i="3" s="1"/>
  <c r="L414" i="3"/>
  <c r="M414" i="3" s="1"/>
  <c r="L155" i="3"/>
  <c r="M155" i="3" s="1"/>
  <c r="L127" i="3"/>
  <c r="M127" i="3" s="1"/>
  <c r="L123" i="3"/>
  <c r="M123" i="3" s="1"/>
  <c r="L119" i="3"/>
  <c r="M119" i="3" s="1"/>
  <c r="L91" i="3"/>
  <c r="M91" i="3" s="1"/>
  <c r="L75" i="3"/>
  <c r="M75" i="3" s="1"/>
  <c r="L31" i="3"/>
  <c r="M31" i="3" s="1"/>
  <c r="L28" i="3"/>
  <c r="M28" i="3" s="1"/>
  <c r="L149" i="3"/>
  <c r="M149" i="3" s="1"/>
  <c r="L145" i="3"/>
  <c r="M145" i="3" s="1"/>
  <c r="L109" i="3"/>
  <c r="M109" i="3" s="1"/>
  <c r="L105" i="3"/>
  <c r="M105" i="3" s="1"/>
  <c r="L101" i="3"/>
  <c r="M101" i="3" s="1"/>
  <c r="L407" i="3"/>
  <c r="M407" i="3" s="1"/>
  <c r="L270" i="3"/>
  <c r="M270" i="3" s="1"/>
  <c r="L262" i="3"/>
  <c r="M262" i="3" s="1"/>
  <c r="L190" i="3"/>
  <c r="M190" i="3" s="1"/>
  <c r="L166" i="3"/>
  <c r="M166" i="3" s="1"/>
  <c r="L160" i="3"/>
  <c r="M160" i="3" s="1"/>
  <c r="L144" i="3"/>
  <c r="M144" i="3" s="1"/>
  <c r="L104" i="3"/>
  <c r="M104" i="3" s="1"/>
  <c r="L96" i="3"/>
  <c r="M96" i="3" s="1"/>
  <c r="L80" i="3"/>
  <c r="M80" i="3" s="1"/>
  <c r="L76" i="3"/>
  <c r="M76" i="3" s="1"/>
  <c r="L60" i="3"/>
  <c r="M60" i="3" s="1"/>
  <c r="L52" i="3"/>
  <c r="M52" i="3" s="1"/>
  <c r="L44" i="3"/>
  <c r="M44" i="3" s="1"/>
  <c r="L221" i="3"/>
  <c r="M221" i="3" s="1"/>
  <c r="L210" i="3"/>
  <c r="M210" i="3" s="1"/>
  <c r="L209" i="3"/>
  <c r="M209" i="3" s="1"/>
  <c r="L205" i="3"/>
  <c r="M205" i="3" s="1"/>
  <c r="L185" i="3"/>
  <c r="M185" i="3" s="1"/>
  <c r="L176" i="3"/>
  <c r="M176" i="3" s="1"/>
  <c r="L125" i="3"/>
  <c r="M125" i="3" s="1"/>
  <c r="L628" i="3"/>
  <c r="M628" i="3" s="1"/>
  <c r="L552" i="3"/>
  <c r="M552" i="3" s="1"/>
  <c r="L533" i="3"/>
  <c r="M533" i="3" s="1"/>
  <c r="L517" i="3"/>
  <c r="M517" i="3" s="1"/>
  <c r="L618" i="3"/>
  <c r="M618" i="3" s="1"/>
  <c r="L538" i="3"/>
  <c r="M538" i="3" s="1"/>
  <c r="L510" i="3"/>
  <c r="M510" i="3" s="1"/>
  <c r="L478" i="3"/>
  <c r="M478" i="3" s="1"/>
  <c r="L420" i="3"/>
  <c r="M420" i="3" s="1"/>
  <c r="L404" i="3"/>
  <c r="M404" i="3" s="1"/>
  <c r="L392" i="3"/>
  <c r="M392" i="3" s="1"/>
  <c r="L580" i="3"/>
  <c r="M580" i="3" s="1"/>
  <c r="L504" i="3"/>
  <c r="M504" i="3" s="1"/>
  <c r="L449" i="3"/>
  <c r="M449" i="3" s="1"/>
  <c r="L433" i="3"/>
  <c r="M433" i="3" s="1"/>
  <c r="L397" i="3"/>
  <c r="M397" i="3" s="1"/>
  <c r="L377" i="3"/>
  <c r="M377" i="3" s="1"/>
  <c r="L369" i="3"/>
  <c r="M369" i="3" s="1"/>
  <c r="L361" i="3"/>
  <c r="M361" i="3" s="1"/>
  <c r="L482" i="3"/>
  <c r="M482" i="3" s="1"/>
  <c r="L568" i="3"/>
  <c r="M568" i="3" s="1"/>
  <c r="L528" i="3"/>
  <c r="M528" i="3" s="1"/>
  <c r="L355" i="3"/>
  <c r="M355" i="3" s="1"/>
  <c r="L347" i="3"/>
  <c r="M347" i="3" s="1"/>
  <c r="L339" i="3"/>
  <c r="M339" i="3" s="1"/>
  <c r="L548" i="3"/>
  <c r="M548" i="3" s="1"/>
  <c r="L520" i="3"/>
  <c r="M520" i="3" s="1"/>
  <c r="L252" i="3"/>
  <c r="M252" i="3" s="1"/>
  <c r="L244" i="3"/>
  <c r="M244" i="3" s="1"/>
  <c r="L383" i="3"/>
  <c r="M383" i="3" s="1"/>
  <c r="L327" i="3"/>
  <c r="M327" i="3" s="1"/>
  <c r="L302" i="3"/>
  <c r="M302" i="3" s="1"/>
  <c r="L500" i="3"/>
  <c r="M500" i="3" s="1"/>
  <c r="L30" i="3"/>
  <c r="M30" i="3" s="1"/>
  <c r="L467" i="3"/>
  <c r="M467" i="3" s="1"/>
  <c r="L139" i="3"/>
  <c r="M139" i="3" s="1"/>
  <c r="L35" i="3"/>
  <c r="M35" i="3" s="1"/>
  <c r="L23" i="3"/>
  <c r="M23" i="3" s="1"/>
  <c r="L15" i="3"/>
  <c r="M15" i="3" s="1"/>
  <c r="L7" i="3"/>
  <c r="M7" i="3" s="1"/>
  <c r="L153" i="3"/>
  <c r="M153" i="3" s="1"/>
  <c r="L41" i="3"/>
  <c r="M41" i="3" s="1"/>
  <c r="L286" i="3"/>
  <c r="M286" i="3" s="1"/>
  <c r="L410" i="3"/>
  <c r="M410" i="3" s="1"/>
  <c r="L198" i="3"/>
  <c r="M198" i="3" s="1"/>
  <c r="L197" i="3"/>
  <c r="M197" i="3" s="1"/>
  <c r="L184" i="3"/>
  <c r="M184" i="3" s="1"/>
  <c r="L85" i="3"/>
  <c r="M85" i="3" s="1"/>
  <c r="L57" i="3"/>
  <c r="M57" i="3" s="1"/>
  <c r="L49" i="3"/>
  <c r="M49" i="3" s="1"/>
  <c r="M193" i="4"/>
  <c r="M198" i="4" s="1"/>
  <c r="AK193" i="4"/>
  <c r="AK198" i="4" s="1"/>
  <c r="L555" i="3"/>
  <c r="M555" i="3" s="1"/>
  <c r="L493" i="3"/>
  <c r="M493" i="3" s="1"/>
  <c r="L630" i="3"/>
  <c r="M630" i="3" s="1"/>
  <c r="L494" i="3"/>
  <c r="M494" i="3" s="1"/>
  <c r="L436" i="3"/>
  <c r="M436" i="3" s="1"/>
  <c r="L428" i="3"/>
  <c r="M428" i="3" s="1"/>
  <c r="L312" i="3"/>
  <c r="M312" i="3" s="1"/>
  <c r="L479" i="3"/>
  <c r="M479" i="3" s="1"/>
  <c r="L453" i="3"/>
  <c r="M453" i="3" s="1"/>
  <c r="L429" i="3"/>
  <c r="M429" i="3" s="1"/>
  <c r="L413" i="3"/>
  <c r="M413" i="3" s="1"/>
  <c r="L393" i="3"/>
  <c r="M393" i="3" s="1"/>
  <c r="L599" i="3"/>
  <c r="M599" i="3" s="1"/>
  <c r="L468" i="3"/>
  <c r="M468" i="3" s="1"/>
  <c r="L422" i="3"/>
  <c r="M422" i="3" s="1"/>
  <c r="L363" i="3"/>
  <c r="M363" i="3" s="1"/>
  <c r="L331" i="3"/>
  <c r="M331" i="3" s="1"/>
  <c r="L330" i="3"/>
  <c r="M330" i="3" s="1"/>
  <c r="L306" i="3"/>
  <c r="M306" i="3" s="1"/>
  <c r="L298" i="3"/>
  <c r="M298" i="3" s="1"/>
  <c r="L291" i="3"/>
  <c r="M291" i="3" s="1"/>
  <c r="L290" i="3"/>
  <c r="M290" i="3" s="1"/>
  <c r="L203" i="3"/>
  <c r="M203" i="3" s="1"/>
  <c r="L175" i="3"/>
  <c r="M175" i="3" s="1"/>
  <c r="L426" i="3"/>
  <c r="M426" i="3" s="1"/>
  <c r="L371" i="3"/>
  <c r="M371" i="3" s="1"/>
  <c r="L357" i="3"/>
  <c r="M357" i="3" s="1"/>
  <c r="L349" i="3"/>
  <c r="M349" i="3" s="1"/>
  <c r="L341" i="3"/>
  <c r="M341" i="3" s="1"/>
  <c r="L264" i="3"/>
  <c r="M264" i="3" s="1"/>
  <c r="L228" i="3"/>
  <c r="M228" i="3" s="1"/>
  <c r="L220" i="3"/>
  <c r="M220" i="3" s="1"/>
  <c r="L208" i="3"/>
  <c r="M208" i="3" s="1"/>
  <c r="L454" i="3"/>
  <c r="M454" i="3" s="1"/>
  <c r="L435" i="3"/>
  <c r="M435" i="3" s="1"/>
  <c r="L399" i="3"/>
  <c r="M399" i="3" s="1"/>
  <c r="L386" i="3"/>
  <c r="M386" i="3" s="1"/>
  <c r="L379" i="3"/>
  <c r="M379" i="3" s="1"/>
  <c r="L303" i="3"/>
  <c r="M303" i="3" s="1"/>
  <c r="L277" i="3"/>
  <c r="M277" i="3" s="1"/>
  <c r="L261" i="3"/>
  <c r="M261" i="3" s="1"/>
  <c r="L258" i="3"/>
  <c r="M258" i="3" s="1"/>
  <c r="L154" i="3"/>
  <c r="M154" i="3" s="1"/>
  <c r="L142" i="3"/>
  <c r="M142" i="3" s="1"/>
  <c r="L130" i="3"/>
  <c r="M130" i="3" s="1"/>
  <c r="L118" i="3"/>
  <c r="M118" i="3" s="1"/>
  <c r="L90" i="3"/>
  <c r="M90" i="3" s="1"/>
  <c r="L74" i="3"/>
  <c r="M74" i="3" s="1"/>
  <c r="L26" i="3"/>
  <c r="M26" i="3" s="1"/>
  <c r="L484" i="3"/>
  <c r="M484" i="3" s="1"/>
  <c r="L406" i="3"/>
  <c r="M406" i="3" s="1"/>
  <c r="L189" i="3"/>
  <c r="M189" i="3" s="1"/>
  <c r="L180" i="3"/>
  <c r="M180" i="3" s="1"/>
  <c r="L165" i="3"/>
  <c r="M165" i="3" s="1"/>
  <c r="L159" i="3"/>
  <c r="M159" i="3" s="1"/>
  <c r="L143" i="3"/>
  <c r="M143" i="3" s="1"/>
  <c r="L103" i="3"/>
  <c r="M103" i="3" s="1"/>
  <c r="L95" i="3"/>
  <c r="M95" i="3" s="1"/>
  <c r="L79" i="3"/>
  <c r="M79" i="3" s="1"/>
  <c r="L59" i="3"/>
  <c r="M59" i="3" s="1"/>
  <c r="L51" i="3"/>
  <c r="M51" i="3" s="1"/>
  <c r="L43" i="3"/>
  <c r="M43" i="3" s="1"/>
  <c r="L27" i="3"/>
  <c r="M27" i="3" s="1"/>
  <c r="L463" i="3"/>
  <c r="M463" i="3" s="1"/>
  <c r="L254" i="3"/>
  <c r="M254" i="3" s="1"/>
  <c r="L246" i="3"/>
  <c r="M246" i="3" s="1"/>
  <c r="L112" i="3"/>
  <c r="M112" i="3" s="1"/>
  <c r="L108" i="3"/>
  <c r="M108" i="3" s="1"/>
  <c r="L100" i="3"/>
  <c r="M100" i="3" s="1"/>
  <c r="L202" i="3"/>
  <c r="M202" i="3" s="1"/>
  <c r="L201" i="3"/>
  <c r="M201" i="3" s="1"/>
  <c r="L89" i="3"/>
  <c r="M89" i="3" s="1"/>
  <c r="L37" i="3"/>
  <c r="M37" i="3" s="1"/>
  <c r="L17" i="3"/>
  <c r="M17" i="3" s="1"/>
  <c r="L9" i="3"/>
  <c r="M9" i="3" s="1"/>
  <c r="L617" i="3"/>
  <c r="M617" i="3" s="1"/>
  <c r="L597" i="3"/>
  <c r="M597" i="3" s="1"/>
  <c r="L585" i="3"/>
  <c r="M585" i="3" s="1"/>
  <c r="L626" i="3"/>
  <c r="M626" i="3" s="1"/>
  <c r="L590" i="3"/>
  <c r="M590" i="3" s="1"/>
  <c r="L547" i="3"/>
  <c r="M547" i="3" s="1"/>
  <c r="L543" i="3"/>
  <c r="M543" i="3" s="1"/>
  <c r="L537" i="3"/>
  <c r="M537" i="3" s="1"/>
  <c r="L509" i="3"/>
  <c r="M509" i="3" s="1"/>
  <c r="L489" i="3"/>
  <c r="M489" i="3" s="1"/>
  <c r="L481" i="3"/>
  <c r="M481" i="3" s="1"/>
  <c r="L477" i="3"/>
  <c r="M477" i="3" s="1"/>
  <c r="L550" i="3"/>
  <c r="M550" i="3" s="1"/>
  <c r="L448" i="3"/>
  <c r="M448" i="3" s="1"/>
  <c r="L408" i="3"/>
  <c r="M408" i="3" s="1"/>
  <c r="L396" i="3"/>
  <c r="M396" i="3" s="1"/>
  <c r="L360" i="3"/>
  <c r="M360" i="3" s="1"/>
  <c r="L336" i="3"/>
  <c r="M336" i="3" s="1"/>
  <c r="L324" i="3"/>
  <c r="M324" i="3" s="1"/>
  <c r="L300" i="3"/>
  <c r="M300" i="3" s="1"/>
  <c r="L532" i="3"/>
  <c r="M532" i="3" s="1"/>
  <c r="L524" i="3"/>
  <c r="M524" i="3" s="1"/>
  <c r="L516" i="3"/>
  <c r="M516" i="3" s="1"/>
  <c r="L503" i="3"/>
  <c r="M503" i="3" s="1"/>
  <c r="L488" i="3"/>
  <c r="M488" i="3" s="1"/>
  <c r="L472" i="3"/>
  <c r="M472" i="3" s="1"/>
  <c r="L425" i="3"/>
  <c r="M425" i="3" s="1"/>
  <c r="L381" i="3"/>
  <c r="M381" i="3" s="1"/>
  <c r="L506" i="3"/>
  <c r="M506" i="3" s="1"/>
  <c r="L566" i="3"/>
  <c r="M566" i="3" s="1"/>
  <c r="L527" i="3"/>
  <c r="M527" i="3" s="1"/>
  <c r="L367" i="3"/>
  <c r="M367" i="3" s="1"/>
  <c r="L354" i="3"/>
  <c r="M354" i="3" s="1"/>
  <c r="L346" i="3"/>
  <c r="M346" i="3" s="1"/>
  <c r="L283" i="3"/>
  <c r="M283" i="3" s="1"/>
  <c r="L251" i="3"/>
  <c r="M251" i="3" s="1"/>
  <c r="L231" i="3"/>
  <c r="M231" i="3" s="1"/>
  <c r="L167" i="3"/>
  <c r="M167" i="3" s="1"/>
  <c r="L163" i="3"/>
  <c r="M163" i="3" s="1"/>
  <c r="L623" i="3"/>
  <c r="M623" i="3" s="1"/>
  <c r="L519" i="3"/>
  <c r="M519" i="3" s="1"/>
  <c r="L476" i="3"/>
  <c r="M476" i="3" s="1"/>
  <c r="L431" i="3"/>
  <c r="M431" i="3" s="1"/>
  <c r="L427" i="3"/>
  <c r="M427" i="3" s="1"/>
  <c r="L375" i="3"/>
  <c r="M375" i="3" s="1"/>
  <c r="L325" i="3"/>
  <c r="M325" i="3" s="1"/>
  <c r="L272" i="3"/>
  <c r="M272" i="3" s="1"/>
  <c r="L224" i="3"/>
  <c r="M224" i="3" s="1"/>
  <c r="L216" i="3"/>
  <c r="M216" i="3" s="1"/>
  <c r="L640" i="3"/>
  <c r="M640" i="3" s="1"/>
  <c r="L459" i="3"/>
  <c r="M459" i="3" s="1"/>
  <c r="L458" i="3"/>
  <c r="M458" i="3" s="1"/>
  <c r="L447" i="3"/>
  <c r="M447" i="3" s="1"/>
  <c r="L402" i="3"/>
  <c r="M402" i="3" s="1"/>
  <c r="L391" i="3"/>
  <c r="M391" i="3" s="1"/>
  <c r="L335" i="3"/>
  <c r="M335" i="3" s="1"/>
  <c r="L334" i="3"/>
  <c r="M334" i="3" s="1"/>
  <c r="L311" i="3"/>
  <c r="M311" i="3" s="1"/>
  <c r="L295" i="3"/>
  <c r="M295" i="3" s="1"/>
  <c r="L282" i="3"/>
  <c r="M282" i="3" s="1"/>
  <c r="L242" i="3"/>
  <c r="M242" i="3" s="1"/>
  <c r="L162" i="3"/>
  <c r="M162" i="3" s="1"/>
  <c r="L82" i="3"/>
  <c r="M82" i="3" s="1"/>
  <c r="L70" i="3"/>
  <c r="M70" i="3" s="1"/>
  <c r="L54" i="3"/>
  <c r="M54" i="3" s="1"/>
  <c r="L34" i="3"/>
  <c r="M34" i="3" s="1"/>
  <c r="L14" i="3"/>
  <c r="M14" i="3" s="1"/>
  <c r="L6" i="3"/>
  <c r="M6" i="3" s="1"/>
  <c r="L579" i="3"/>
  <c r="M579" i="3" s="1"/>
  <c r="L172" i="3"/>
  <c r="M172" i="3" s="1"/>
  <c r="L151" i="3"/>
  <c r="M151" i="3" s="1"/>
  <c r="L135" i="3"/>
  <c r="M135" i="3" s="1"/>
  <c r="L55" i="3"/>
  <c r="M55" i="3" s="1"/>
  <c r="L47" i="3"/>
  <c r="M47" i="3" s="1"/>
  <c r="L39" i="3"/>
  <c r="M39" i="3" s="1"/>
  <c r="L32" i="3"/>
  <c r="M32" i="3" s="1"/>
  <c r="L69" i="3"/>
  <c r="M69" i="3" s="1"/>
  <c r="L499" i="3"/>
  <c r="M499" i="3" s="1"/>
  <c r="L136" i="3"/>
  <c r="M136" i="3" s="1"/>
  <c r="L12" i="3"/>
  <c r="M12" i="3" s="1"/>
  <c r="L418" i="3"/>
  <c r="M418" i="3" s="1"/>
  <c r="L193" i="3"/>
  <c r="M193" i="3" s="1"/>
  <c r="L177" i="3"/>
  <c r="M177" i="3" s="1"/>
  <c r="L29" i="3"/>
  <c r="M29" i="3" s="1"/>
  <c r="L21" i="3"/>
  <c r="M21" i="3" s="1"/>
  <c r="L637" i="3"/>
  <c r="M637" i="3" s="1"/>
  <c r="L444" i="3"/>
  <c r="M444" i="3" s="1"/>
  <c r="L563" i="3"/>
  <c r="M563" i="3" s="1"/>
  <c r="L609" i="3"/>
  <c r="M609" i="3" s="1"/>
  <c r="L593" i="3"/>
  <c r="M593" i="3" s="1"/>
  <c r="L589" i="3"/>
  <c r="M589" i="3" s="1"/>
  <c r="L638" i="3"/>
  <c r="M638" i="3" s="1"/>
  <c r="L619" i="3"/>
  <c r="M619" i="3" s="1"/>
  <c r="L614" i="3"/>
  <c r="M614" i="3" s="1"/>
  <c r="L575" i="3"/>
  <c r="M575" i="3" s="1"/>
  <c r="L564" i="3"/>
  <c r="M564" i="3" s="1"/>
  <c r="L505" i="3"/>
  <c r="M505" i="3" s="1"/>
  <c r="L497" i="3"/>
  <c r="M497" i="3" s="1"/>
  <c r="L583" i="3"/>
  <c r="M583" i="3" s="1"/>
  <c r="L546" i="3"/>
  <c r="M546" i="3" s="1"/>
  <c r="L542" i="3"/>
  <c r="M542" i="3" s="1"/>
  <c r="L502" i="3"/>
  <c r="M502" i="3" s="1"/>
  <c r="L470" i="3"/>
  <c r="M470" i="3" s="1"/>
  <c r="L456" i="3"/>
  <c r="M456" i="3" s="1"/>
  <c r="L416" i="3"/>
  <c r="M416" i="3" s="1"/>
  <c r="L388" i="3"/>
  <c r="M388" i="3" s="1"/>
  <c r="L608" i="3"/>
  <c r="M608" i="3" s="1"/>
  <c r="L523" i="3"/>
  <c r="M523" i="3" s="1"/>
  <c r="L471" i="3"/>
  <c r="M471" i="3" s="1"/>
  <c r="L365" i="3"/>
  <c r="M365" i="3" s="1"/>
  <c r="L526" i="3"/>
  <c r="M526" i="3" s="1"/>
  <c r="L514" i="3"/>
  <c r="M514" i="3" s="1"/>
  <c r="L359" i="3"/>
  <c r="M359" i="3" s="1"/>
  <c r="L508" i="3"/>
  <c r="M508" i="3" s="1"/>
  <c r="L293" i="3"/>
  <c r="M293" i="3" s="1"/>
  <c r="L248" i="3"/>
  <c r="M248" i="3" s="1"/>
  <c r="L600" i="3"/>
  <c r="M600" i="3" s="1"/>
  <c r="L535" i="3"/>
  <c r="M535" i="3" s="1"/>
  <c r="L351" i="3"/>
  <c r="M351" i="3" s="1"/>
  <c r="L343" i="3"/>
  <c r="M343" i="3" s="1"/>
  <c r="L146" i="3"/>
  <c r="M146" i="3" s="1"/>
  <c r="L66" i="3"/>
  <c r="M66" i="3" s="1"/>
  <c r="L19" i="3"/>
  <c r="M19" i="3" s="1"/>
  <c r="L222" i="3"/>
  <c r="M222" i="3" s="1"/>
  <c r="L560" i="3"/>
  <c r="M560" i="3" s="1"/>
  <c r="L441" i="3"/>
  <c r="M441" i="3" s="1"/>
  <c r="L635" i="3"/>
  <c r="M635" i="3" s="1"/>
  <c r="L63" i="3"/>
  <c r="M63" i="3" s="1"/>
  <c r="L559" i="3"/>
  <c r="M559" i="3" s="1"/>
  <c r="L634" i="3"/>
  <c r="M634" i="3" s="1"/>
  <c r="L530" i="3"/>
  <c r="M530" i="3" s="1"/>
  <c r="L440" i="3"/>
  <c r="M440" i="3" s="1"/>
  <c r="L572" i="3"/>
  <c r="M572" i="3" s="1"/>
  <c r="L62" i="3"/>
  <c r="M62" i="3" s="1"/>
  <c r="L45" i="3"/>
  <c r="M45" i="3" s="1"/>
  <c r="L625" i="3"/>
  <c r="M625" i="3" s="1"/>
  <c r="L615" i="3"/>
  <c r="M615" i="3" s="1"/>
  <c r="L604" i="3"/>
  <c r="M604" i="3" s="1"/>
  <c r="L486" i="3"/>
  <c r="M486" i="3" s="1"/>
  <c r="L352" i="3"/>
  <c r="M352" i="3" s="1"/>
  <c r="L616" i="3"/>
  <c r="M616" i="3" s="1"/>
  <c r="L584" i="3"/>
  <c r="M584" i="3" s="1"/>
  <c r="L578" i="3"/>
  <c r="M578" i="3" s="1"/>
  <c r="L531" i="3"/>
  <c r="M531" i="3" s="1"/>
  <c r="L487" i="3"/>
  <c r="M487" i="3" s="1"/>
  <c r="L457" i="3"/>
  <c r="M457" i="3" s="1"/>
  <c r="L401" i="3"/>
  <c r="M401" i="3" s="1"/>
  <c r="L518" i="3"/>
  <c r="M518" i="3" s="1"/>
  <c r="L366" i="3"/>
  <c r="M366" i="3" s="1"/>
  <c r="L323" i="3"/>
  <c r="M323" i="3" s="1"/>
  <c r="L322" i="3"/>
  <c r="M322" i="3" s="1"/>
  <c r="L191" i="3"/>
  <c r="M191" i="3" s="1"/>
  <c r="L171" i="3"/>
  <c r="M171" i="3" s="1"/>
  <c r="L466" i="3"/>
  <c r="M466" i="3" s="1"/>
  <c r="L374" i="3"/>
  <c r="M374" i="3" s="1"/>
  <c r="L333" i="3"/>
  <c r="M333" i="3" s="1"/>
  <c r="L446" i="3"/>
  <c r="M446" i="3" s="1"/>
  <c r="L395" i="3"/>
  <c r="M395" i="3" s="1"/>
  <c r="L281" i="3"/>
  <c r="M281" i="3" s="1"/>
  <c r="L241" i="3"/>
  <c r="M241" i="3" s="1"/>
  <c r="L596" i="3"/>
  <c r="M596" i="3" s="1"/>
  <c r="L250" i="3"/>
  <c r="M250" i="3" s="1"/>
  <c r="L186" i="3"/>
  <c r="M186" i="3" s="1"/>
  <c r="L150" i="3"/>
  <c r="M150" i="3" s="1"/>
  <c r="L134" i="3"/>
  <c r="M134" i="3" s="1"/>
  <c r="L46" i="3"/>
  <c r="M46" i="3" s="1"/>
  <c r="L353" i="3"/>
  <c r="M353" i="3" s="1"/>
  <c r="L345" i="3"/>
  <c r="M345" i="3" s="1"/>
  <c r="L147" i="3"/>
  <c r="M147" i="3" s="1"/>
  <c r="L115" i="3"/>
  <c r="M115" i="3" s="1"/>
  <c r="L111" i="3"/>
  <c r="M111" i="3" s="1"/>
  <c r="L20" i="3"/>
  <c r="M20" i="3" s="1"/>
  <c r="L4" i="3"/>
  <c r="L161" i="3"/>
  <c r="M161" i="3" s="1"/>
  <c r="L157" i="3"/>
  <c r="M157" i="3" s="1"/>
  <c r="L97" i="3"/>
  <c r="M97" i="3" s="1"/>
  <c r="L81" i="3"/>
  <c r="M81" i="3" s="1"/>
  <c r="L53" i="3"/>
  <c r="M53" i="3" s="1"/>
  <c r="L182" i="3"/>
  <c r="M182" i="3" s="1"/>
  <c r="L128" i="3"/>
  <c r="M128" i="3" s="1"/>
  <c r="L68" i="3"/>
  <c r="M68" i="3" s="1"/>
  <c r="L192" i="3"/>
  <c r="M192" i="3" s="1"/>
  <c r="L133" i="3"/>
  <c r="M133" i="3" s="1"/>
  <c r="L93" i="3"/>
  <c r="M93" i="3" s="1"/>
  <c r="L77" i="3"/>
  <c r="M77" i="3" s="1"/>
  <c r="L33" i="3"/>
  <c r="M33" i="3" s="1"/>
  <c r="K671" i="3"/>
  <c r="L620" i="3"/>
  <c r="M620" i="3" s="1"/>
  <c r="L594" i="3"/>
  <c r="M594" i="3" s="1"/>
  <c r="L465" i="3"/>
  <c r="M465" i="3" s="1"/>
  <c r="L344" i="3"/>
  <c r="M344" i="3" s="1"/>
  <c r="L389" i="3"/>
  <c r="M389" i="3" s="1"/>
  <c r="L639" i="3"/>
  <c r="M639" i="3" s="1"/>
  <c r="L498" i="3"/>
  <c r="M498" i="3" s="1"/>
  <c r="L223" i="3"/>
  <c r="M223" i="3" s="1"/>
  <c r="L256" i="3"/>
  <c r="M256" i="3" s="1"/>
  <c r="L536" i="3"/>
  <c r="M536" i="3" s="1"/>
  <c r="L294" i="3"/>
  <c r="M294" i="3" s="1"/>
  <c r="L249" i="3"/>
  <c r="M249" i="3" s="1"/>
  <c r="L238" i="3"/>
  <c r="M238" i="3" s="1"/>
  <c r="L230" i="3"/>
  <c r="M230" i="3" s="1"/>
  <c r="L156" i="3"/>
  <c r="M156" i="3" s="1"/>
  <c r="L92" i="3"/>
  <c r="M92" i="3" s="1"/>
  <c r="L206" i="3"/>
  <c r="M206" i="3" s="1"/>
  <c r="AF198" i="4"/>
  <c r="AG178" i="4"/>
  <c r="AH178" i="4" s="1"/>
  <c r="AG177" i="4"/>
  <c r="AH177" i="4" s="1"/>
  <c r="AG176" i="4"/>
  <c r="AH176" i="4" s="1"/>
  <c r="AG175" i="4"/>
  <c r="AH175" i="4" s="1"/>
  <c r="AG174" i="4"/>
  <c r="AH174" i="4" s="1"/>
  <c r="AG173" i="4"/>
  <c r="AH173" i="4" s="1"/>
  <c r="AG172" i="4"/>
  <c r="AH172" i="4" s="1"/>
  <c r="AG171" i="4"/>
  <c r="AH171" i="4" s="1"/>
  <c r="AG170" i="4"/>
  <c r="AH170" i="4" s="1"/>
  <c r="AG169" i="4"/>
  <c r="AH169" i="4" s="1"/>
  <c r="AG168" i="4"/>
  <c r="AH168" i="4" s="1"/>
  <c r="AG167" i="4"/>
  <c r="AH167" i="4" s="1"/>
  <c r="AG165" i="4"/>
  <c r="AH165" i="4" s="1"/>
  <c r="AG186" i="4"/>
  <c r="AH186" i="4" s="1"/>
  <c r="AG182" i="4"/>
  <c r="AH182" i="4" s="1"/>
  <c r="AG163" i="4"/>
  <c r="AH163" i="4" s="1"/>
  <c r="AG162" i="4"/>
  <c r="AH162" i="4" s="1"/>
  <c r="AG156" i="4"/>
  <c r="AH156" i="4" s="1"/>
  <c r="AG189" i="4"/>
  <c r="AH189" i="4" s="1"/>
  <c r="AG185" i="4"/>
  <c r="AH185" i="4" s="1"/>
  <c r="AG181" i="4"/>
  <c r="AH181" i="4" s="1"/>
  <c r="AG183" i="4"/>
  <c r="AH183" i="4" s="1"/>
  <c r="AG184" i="4"/>
  <c r="AH184" i="4" s="1"/>
  <c r="AG147" i="4"/>
  <c r="AH147" i="4" s="1"/>
  <c r="AG180" i="4"/>
  <c r="AH180" i="4" s="1"/>
  <c r="AG150" i="4"/>
  <c r="AH150" i="4" s="1"/>
  <c r="AG128" i="4"/>
  <c r="AH128" i="4" s="1"/>
  <c r="AG179" i="4"/>
  <c r="AH179" i="4" s="1"/>
  <c r="AG103" i="4"/>
  <c r="AH103" i="4" s="1"/>
  <c r="AG146" i="4"/>
  <c r="AH146" i="4" s="1"/>
  <c r="AG131" i="4"/>
  <c r="AH131" i="4" s="1"/>
  <c r="AG108" i="4"/>
  <c r="AH108" i="4" s="1"/>
  <c r="AG127" i="4"/>
  <c r="AH127" i="4" s="1"/>
  <c r="AG64" i="4"/>
  <c r="AH64" i="4" s="1"/>
  <c r="AG62" i="4"/>
  <c r="AH62" i="4" s="1"/>
  <c r="AG60" i="4"/>
  <c r="AH60" i="4" s="1"/>
  <c r="AG56" i="4"/>
  <c r="AH56" i="4" s="1"/>
  <c r="AG48" i="4"/>
  <c r="AH48" i="4" s="1"/>
  <c r="AG140" i="4"/>
  <c r="AH140" i="4" s="1"/>
  <c r="AG91" i="4"/>
  <c r="AH91" i="4" s="1"/>
  <c r="AG81" i="4"/>
  <c r="AH81" i="4" s="1"/>
  <c r="AG79" i="4"/>
  <c r="AH79" i="4" s="1"/>
  <c r="AG77" i="4"/>
  <c r="AH77" i="4" s="1"/>
  <c r="AG75" i="4"/>
  <c r="AH75" i="4" s="1"/>
  <c r="AG73" i="4"/>
  <c r="AH73" i="4" s="1"/>
  <c r="AG71" i="4"/>
  <c r="AH71" i="4" s="1"/>
  <c r="AG69" i="4"/>
  <c r="AH69" i="4" s="1"/>
  <c r="AG57" i="4"/>
  <c r="AH57" i="4" s="1"/>
  <c r="AG53" i="4"/>
  <c r="AH53" i="4" s="1"/>
  <c r="AG45" i="4"/>
  <c r="AH45" i="4" s="1"/>
  <c r="AG65" i="4"/>
  <c r="AH65" i="4" s="1"/>
  <c r="AG63" i="4"/>
  <c r="AH63" i="4" s="1"/>
  <c r="AG61" i="4"/>
  <c r="AH61" i="4" s="1"/>
  <c r="AG59" i="4"/>
  <c r="AH59" i="4" s="1"/>
  <c r="AG58" i="4"/>
  <c r="AH58" i="4" s="1"/>
  <c r="AG54" i="4"/>
  <c r="AH54" i="4" s="1"/>
  <c r="AG46" i="4"/>
  <c r="AH46" i="4" s="1"/>
  <c r="AG82" i="4"/>
  <c r="AH82" i="4" s="1"/>
  <c r="AG78" i="4"/>
  <c r="AH78" i="4" s="1"/>
  <c r="AG74" i="4"/>
  <c r="AH74" i="4" s="1"/>
  <c r="AG70" i="4"/>
  <c r="AH70" i="4" s="1"/>
  <c r="AG51" i="4"/>
  <c r="AH51" i="4" s="1"/>
  <c r="AG44" i="4"/>
  <c r="AH44" i="4" s="1"/>
  <c r="AG37" i="4"/>
  <c r="AH37" i="4" s="1"/>
  <c r="AG24" i="4"/>
  <c r="AH24" i="4" s="1"/>
  <c r="AG20" i="4"/>
  <c r="AH20" i="4" s="1"/>
  <c r="AG106" i="4"/>
  <c r="AH106" i="4" s="1"/>
  <c r="AG55" i="4"/>
  <c r="AH55" i="4" s="1"/>
  <c r="AG43" i="4"/>
  <c r="AH43" i="4" s="1"/>
  <c r="AG40" i="4"/>
  <c r="AH40" i="4" s="1"/>
  <c r="AG36" i="4"/>
  <c r="AH36" i="4" s="1"/>
  <c r="AG33" i="4"/>
  <c r="AH33" i="4" s="1"/>
  <c r="AG31" i="4"/>
  <c r="AH31" i="4" s="1"/>
  <c r="AG29" i="4"/>
  <c r="AH29" i="4" s="1"/>
  <c r="AG21" i="4"/>
  <c r="AH21" i="4" s="1"/>
  <c r="AG80" i="4"/>
  <c r="AH80" i="4" s="1"/>
  <c r="AG76" i="4"/>
  <c r="AH76" i="4" s="1"/>
  <c r="AG72" i="4"/>
  <c r="AH72" i="4" s="1"/>
  <c r="AG68" i="4"/>
  <c r="AH68" i="4" s="1"/>
  <c r="AG39" i="4"/>
  <c r="AH39" i="4" s="1"/>
  <c r="AG35" i="4"/>
  <c r="AH35" i="4" s="1"/>
  <c r="AG25" i="4"/>
  <c r="AH25" i="4" s="1"/>
  <c r="AG23" i="4"/>
  <c r="AH23" i="4" s="1"/>
  <c r="AG22" i="4"/>
  <c r="AH22" i="4" s="1"/>
  <c r="AG18" i="4"/>
  <c r="AH18" i="4" s="1"/>
  <c r="AG14" i="4"/>
  <c r="AH14" i="4" s="1"/>
  <c r="AG38" i="4"/>
  <c r="AH38" i="4" s="1"/>
  <c r="AG19" i="4"/>
  <c r="AH19" i="4" s="1"/>
  <c r="AG34" i="4"/>
  <c r="AH34" i="4" s="1"/>
  <c r="AG47" i="4"/>
  <c r="AH47" i="4" s="1"/>
  <c r="AG32" i="4"/>
  <c r="AH32" i="4" s="1"/>
  <c r="AG15" i="4"/>
  <c r="AH15" i="4" s="1"/>
  <c r="AG30" i="4"/>
  <c r="AH30" i="4" s="1"/>
  <c r="AG28" i="4"/>
  <c r="AH28" i="4" s="1"/>
  <c r="M4" i="3" l="1"/>
  <c r="M642" i="3" s="1"/>
  <c r="N668" i="3"/>
  <c r="N666" i="3"/>
  <c r="N664" i="3"/>
  <c r="N662" i="3"/>
  <c r="N660" i="3"/>
  <c r="N658" i="3"/>
  <c r="N656" i="3"/>
  <c r="N654" i="3"/>
  <c r="N645" i="3"/>
  <c r="N648" i="3"/>
  <c r="N647" i="3"/>
  <c r="N651" i="3"/>
  <c r="N653" i="3"/>
  <c r="N665" i="3"/>
  <c r="N657" i="3"/>
  <c r="N649" i="3"/>
  <c r="N652" i="3"/>
  <c r="N646" i="3"/>
  <c r="N669" i="3"/>
  <c r="N663" i="3"/>
  <c r="N655" i="3"/>
  <c r="N650" i="3"/>
  <c r="N667" i="3"/>
  <c r="N661" i="3"/>
  <c r="N659" i="3"/>
  <c r="P14" i="4"/>
  <c r="AC193" i="4"/>
  <c r="AH193" i="4"/>
  <c r="AH198" i="4" s="1"/>
  <c r="Q193" i="4"/>
  <c r="O631" i="3" l="1"/>
  <c r="P631" i="3" s="1"/>
  <c r="O607" i="3"/>
  <c r="P607" i="3" s="1"/>
  <c r="O545" i="3"/>
  <c r="P545" i="3" s="1"/>
  <c r="O541" i="3"/>
  <c r="P541" i="3" s="1"/>
  <c r="O592" i="3"/>
  <c r="P592" i="3" s="1"/>
  <c r="O495" i="3"/>
  <c r="P495" i="3" s="1"/>
  <c r="O475" i="3"/>
  <c r="P475" i="3" s="1"/>
  <c r="O588" i="3"/>
  <c r="P588" i="3" s="1"/>
  <c r="O570" i="3"/>
  <c r="P570" i="3" s="1"/>
  <c r="O513" i="3"/>
  <c r="P513" i="3" s="1"/>
  <c r="O430" i="3"/>
  <c r="P430" i="3" s="1"/>
  <c r="O414" i="3"/>
  <c r="P414" i="3" s="1"/>
  <c r="O394" i="3"/>
  <c r="P394" i="3" s="1"/>
  <c r="O390" i="3"/>
  <c r="P390" i="3" s="1"/>
  <c r="O358" i="3"/>
  <c r="P358" i="3" s="1"/>
  <c r="O350" i="3"/>
  <c r="P350" i="3" s="1"/>
  <c r="O342" i="3"/>
  <c r="P342" i="3" s="1"/>
  <c r="O314" i="3"/>
  <c r="P314" i="3" s="1"/>
  <c r="O534" i="3"/>
  <c r="P534" i="3" s="1"/>
  <c r="O455" i="3"/>
  <c r="P455" i="3" s="1"/>
  <c r="O423" i="3"/>
  <c r="P423" i="3" s="1"/>
  <c r="O407" i="3"/>
  <c r="P407" i="3" s="1"/>
  <c r="O387" i="3"/>
  <c r="P387" i="3" s="1"/>
  <c r="O582" i="3"/>
  <c r="P582" i="3" s="1"/>
  <c r="O529" i="3"/>
  <c r="P529" i="3" s="1"/>
  <c r="O501" i="3"/>
  <c r="P501" i="3" s="1"/>
  <c r="O485" i="3"/>
  <c r="P485" i="3" s="1"/>
  <c r="O469" i="3"/>
  <c r="P469" i="3" s="1"/>
  <c r="O400" i="3"/>
  <c r="P400" i="3" s="1"/>
  <c r="O380" i="3"/>
  <c r="P380" i="3" s="1"/>
  <c r="O240" i="3"/>
  <c r="P240" i="3" s="1"/>
  <c r="O204" i="3"/>
  <c r="P204" i="3" s="1"/>
  <c r="O176" i="3"/>
  <c r="P176" i="3" s="1"/>
  <c r="O522" i="3"/>
  <c r="P522" i="3" s="1"/>
  <c r="O496" i="3"/>
  <c r="P496" i="3" s="1"/>
  <c r="O480" i="3"/>
  <c r="P480" i="3" s="1"/>
  <c r="O464" i="3"/>
  <c r="P464" i="3" s="1"/>
  <c r="O437" i="3"/>
  <c r="P437" i="3" s="1"/>
  <c r="O257" i="3"/>
  <c r="P257" i="3" s="1"/>
  <c r="O237" i="3"/>
  <c r="P237" i="3" s="1"/>
  <c r="O233" i="3"/>
  <c r="P233" i="3" s="1"/>
  <c r="O229" i="3"/>
  <c r="P229" i="3" s="1"/>
  <c r="O221" i="3"/>
  <c r="P221" i="3" s="1"/>
  <c r="O209" i="3"/>
  <c r="P209" i="3" s="1"/>
  <c r="O205" i="3"/>
  <c r="P205" i="3" s="1"/>
  <c r="O364" i="3"/>
  <c r="P364" i="3" s="1"/>
  <c r="O274" i="3"/>
  <c r="P274" i="3" s="1"/>
  <c r="O270" i="3"/>
  <c r="P270" i="3" s="1"/>
  <c r="O266" i="3"/>
  <c r="P266" i="3" s="1"/>
  <c r="O262" i="3"/>
  <c r="P262" i="3" s="1"/>
  <c r="O556" i="3"/>
  <c r="P556" i="3" s="1"/>
  <c r="O292" i="3"/>
  <c r="P292" i="3" s="1"/>
  <c r="O155" i="3"/>
  <c r="P155" i="3" s="1"/>
  <c r="O127" i="3"/>
  <c r="P127" i="3" s="1"/>
  <c r="O123" i="3"/>
  <c r="P123" i="3" s="1"/>
  <c r="O119" i="3"/>
  <c r="P119" i="3" s="1"/>
  <c r="O91" i="3"/>
  <c r="P91" i="3" s="1"/>
  <c r="O75" i="3"/>
  <c r="P75" i="3" s="1"/>
  <c r="O31" i="3"/>
  <c r="P31" i="3" s="1"/>
  <c r="O372" i="3"/>
  <c r="P372" i="3" s="1"/>
  <c r="O332" i="3"/>
  <c r="P332" i="3" s="1"/>
  <c r="O271" i="3"/>
  <c r="P271" i="3" s="1"/>
  <c r="O255" i="3"/>
  <c r="P255" i="3" s="1"/>
  <c r="O247" i="3"/>
  <c r="P247" i="3" s="1"/>
  <c r="O190" i="3"/>
  <c r="P190" i="3" s="1"/>
  <c r="O166" i="3"/>
  <c r="P166" i="3" s="1"/>
  <c r="O160" i="3"/>
  <c r="P160" i="3" s="1"/>
  <c r="O144" i="3"/>
  <c r="P144" i="3" s="1"/>
  <c r="O104" i="3"/>
  <c r="P104" i="3" s="1"/>
  <c r="O96" i="3"/>
  <c r="P96" i="3" s="1"/>
  <c r="O80" i="3"/>
  <c r="P80" i="3" s="1"/>
  <c r="O76" i="3"/>
  <c r="P76" i="3" s="1"/>
  <c r="O60" i="3"/>
  <c r="P60" i="3" s="1"/>
  <c r="O52" i="3"/>
  <c r="P52" i="3" s="1"/>
  <c r="O44" i="3"/>
  <c r="P44" i="3" s="1"/>
  <c r="O28" i="3"/>
  <c r="P28" i="3" s="1"/>
  <c r="O110" i="3"/>
  <c r="P110" i="3" s="1"/>
  <c r="O10" i="3"/>
  <c r="P10" i="3" s="1"/>
  <c r="O210" i="3"/>
  <c r="P210" i="3" s="1"/>
  <c r="O185" i="3"/>
  <c r="P185" i="3" s="1"/>
  <c r="O149" i="3"/>
  <c r="P149" i="3" s="1"/>
  <c r="O145" i="3"/>
  <c r="P145" i="3" s="1"/>
  <c r="O125" i="3"/>
  <c r="P125" i="3" s="1"/>
  <c r="O109" i="3"/>
  <c r="P109" i="3" s="1"/>
  <c r="O105" i="3"/>
  <c r="P105" i="3" s="1"/>
  <c r="O101" i="3"/>
  <c r="P101" i="3" s="1"/>
  <c r="O259" i="3"/>
  <c r="P259" i="3" s="1"/>
  <c r="O215" i="3"/>
  <c r="P215" i="3" s="1"/>
  <c r="O170" i="3"/>
  <c r="P170" i="3" s="1"/>
  <c r="O38" i="3"/>
  <c r="P38" i="3" s="1"/>
  <c r="O18" i="3"/>
  <c r="P18" i="3" s="1"/>
  <c r="O574" i="3"/>
  <c r="P574" i="3" s="1"/>
  <c r="O443" i="3"/>
  <c r="P443" i="3" s="1"/>
  <c r="O373" i="3"/>
  <c r="P373" i="3" s="1"/>
  <c r="O562" i="3"/>
  <c r="P562" i="3" s="1"/>
  <c r="O65" i="3"/>
  <c r="P65" i="3" s="1"/>
  <c r="AC198" i="4"/>
  <c r="AD189" i="4"/>
  <c r="AE189" i="4" s="1"/>
  <c r="AD185" i="4"/>
  <c r="AE185" i="4" s="1"/>
  <c r="AD183" i="4"/>
  <c r="AE183" i="4" s="1"/>
  <c r="AD181" i="4"/>
  <c r="AE181" i="4" s="1"/>
  <c r="AD179" i="4"/>
  <c r="AE179" i="4" s="1"/>
  <c r="AD177" i="4"/>
  <c r="AE177" i="4" s="1"/>
  <c r="AD186" i="4"/>
  <c r="AE186" i="4" s="1"/>
  <c r="AD184" i="4"/>
  <c r="AE184" i="4" s="1"/>
  <c r="AD182" i="4"/>
  <c r="AE182" i="4" s="1"/>
  <c r="AD180" i="4"/>
  <c r="AE180" i="4" s="1"/>
  <c r="AD175" i="4"/>
  <c r="AE175" i="4" s="1"/>
  <c r="AD176" i="4"/>
  <c r="AE176" i="4" s="1"/>
  <c r="AD174" i="4"/>
  <c r="AE174" i="4" s="1"/>
  <c r="AD170" i="4"/>
  <c r="AE170" i="4" s="1"/>
  <c r="AD156" i="4"/>
  <c r="AE156" i="4" s="1"/>
  <c r="AD173" i="4"/>
  <c r="AE173" i="4" s="1"/>
  <c r="AD168" i="4"/>
  <c r="AE168" i="4" s="1"/>
  <c r="AD167" i="4"/>
  <c r="AE167" i="4" s="1"/>
  <c r="AD163" i="4"/>
  <c r="AE163" i="4" s="1"/>
  <c r="AD162" i="4"/>
  <c r="AE162" i="4" s="1"/>
  <c r="AD150" i="4"/>
  <c r="AE150" i="4" s="1"/>
  <c r="AD146" i="4"/>
  <c r="AE146" i="4" s="1"/>
  <c r="AD140" i="4"/>
  <c r="AE140" i="4" s="1"/>
  <c r="AD131" i="4"/>
  <c r="AE131" i="4" s="1"/>
  <c r="AD169" i="4"/>
  <c r="AE169" i="4" s="1"/>
  <c r="AD165" i="4"/>
  <c r="AE165" i="4" s="1"/>
  <c r="AD147" i="4"/>
  <c r="AE147" i="4" s="1"/>
  <c r="AD178" i="4"/>
  <c r="AE178" i="4" s="1"/>
  <c r="AD172" i="4"/>
  <c r="AE172" i="4" s="1"/>
  <c r="AD128" i="4"/>
  <c r="AE128" i="4" s="1"/>
  <c r="AD127" i="4"/>
  <c r="AE127" i="4" s="1"/>
  <c r="AD106" i="4"/>
  <c r="AE106" i="4" s="1"/>
  <c r="AD91" i="4"/>
  <c r="AE91" i="4" s="1"/>
  <c r="AD82" i="4"/>
  <c r="AE82" i="4" s="1"/>
  <c r="AD81" i="4"/>
  <c r="AE81" i="4" s="1"/>
  <c r="AD80" i="4"/>
  <c r="AE80" i="4" s="1"/>
  <c r="AD79" i="4"/>
  <c r="AE79" i="4" s="1"/>
  <c r="AD78" i="4"/>
  <c r="AE78" i="4" s="1"/>
  <c r="AD77" i="4"/>
  <c r="AE77" i="4" s="1"/>
  <c r="AD76" i="4"/>
  <c r="AE76" i="4" s="1"/>
  <c r="AD75" i="4"/>
  <c r="AE75" i="4" s="1"/>
  <c r="AD74" i="4"/>
  <c r="AE74" i="4" s="1"/>
  <c r="AD73" i="4"/>
  <c r="AE73" i="4" s="1"/>
  <c r="AD72" i="4"/>
  <c r="AE72" i="4" s="1"/>
  <c r="AD71" i="4"/>
  <c r="AE71" i="4" s="1"/>
  <c r="AD70" i="4"/>
  <c r="AE70" i="4" s="1"/>
  <c r="AD69" i="4"/>
  <c r="AE69" i="4" s="1"/>
  <c r="AD68" i="4"/>
  <c r="AE68" i="4" s="1"/>
  <c r="AD65" i="4"/>
  <c r="AE65" i="4" s="1"/>
  <c r="AD64" i="4"/>
  <c r="AE64" i="4" s="1"/>
  <c r="AD63" i="4"/>
  <c r="AE63" i="4" s="1"/>
  <c r="AD62" i="4"/>
  <c r="AE62" i="4" s="1"/>
  <c r="AD61" i="4"/>
  <c r="AE61" i="4" s="1"/>
  <c r="AD60" i="4"/>
  <c r="AE60" i="4" s="1"/>
  <c r="AD59" i="4"/>
  <c r="AE59" i="4" s="1"/>
  <c r="AD103" i="4"/>
  <c r="AE103" i="4" s="1"/>
  <c r="AD171" i="4"/>
  <c r="AE171" i="4" s="1"/>
  <c r="AD108" i="4"/>
  <c r="AE108" i="4" s="1"/>
  <c r="AD58" i="4"/>
  <c r="AE58" i="4" s="1"/>
  <c r="AD54" i="4"/>
  <c r="AE54" i="4" s="1"/>
  <c r="AD46" i="4"/>
  <c r="AE46" i="4" s="1"/>
  <c r="AD55" i="4"/>
  <c r="AE55" i="4" s="1"/>
  <c r="AD51" i="4"/>
  <c r="AE51" i="4" s="1"/>
  <c r="AD47" i="4"/>
  <c r="AE47" i="4" s="1"/>
  <c r="AD44" i="4"/>
  <c r="AE44" i="4" s="1"/>
  <c r="AD43" i="4"/>
  <c r="AE43" i="4" s="1"/>
  <c r="AD40" i="4"/>
  <c r="AE40" i="4" s="1"/>
  <c r="AD39" i="4"/>
  <c r="AE39" i="4" s="1"/>
  <c r="AD38" i="4"/>
  <c r="AE38" i="4" s="1"/>
  <c r="AD37" i="4"/>
  <c r="AE37" i="4" s="1"/>
  <c r="AD36" i="4"/>
  <c r="AE36" i="4" s="1"/>
  <c r="AD35" i="4"/>
  <c r="AE35" i="4" s="1"/>
  <c r="AD34" i="4"/>
  <c r="AE34" i="4" s="1"/>
  <c r="AD33" i="4"/>
  <c r="AE33" i="4" s="1"/>
  <c r="AD32" i="4"/>
  <c r="AE32" i="4" s="1"/>
  <c r="AD31" i="4"/>
  <c r="AE31" i="4" s="1"/>
  <c r="AD30" i="4"/>
  <c r="AE30" i="4" s="1"/>
  <c r="AD29" i="4"/>
  <c r="AE29" i="4" s="1"/>
  <c r="AD28" i="4"/>
  <c r="AE28" i="4" s="1"/>
  <c r="AD25" i="4"/>
  <c r="AE25" i="4" s="1"/>
  <c r="AD24" i="4"/>
  <c r="AE24" i="4" s="1"/>
  <c r="AD23" i="4"/>
  <c r="AE23" i="4" s="1"/>
  <c r="AD56" i="4"/>
  <c r="AE56" i="4" s="1"/>
  <c r="AD48" i="4"/>
  <c r="AE48" i="4" s="1"/>
  <c r="AD57" i="4"/>
  <c r="AE57" i="4" s="1"/>
  <c r="AD45" i="4"/>
  <c r="AE45" i="4" s="1"/>
  <c r="AD19" i="4"/>
  <c r="AE19" i="4" s="1"/>
  <c r="AD15" i="4"/>
  <c r="AE15" i="4" s="1"/>
  <c r="AD20" i="4"/>
  <c r="AE20" i="4" s="1"/>
  <c r="AD53" i="4"/>
  <c r="AE53" i="4" s="1"/>
  <c r="AD21" i="4"/>
  <c r="AE21" i="4" s="1"/>
  <c r="AD18" i="4"/>
  <c r="AE18" i="4" s="1"/>
  <c r="AD14" i="4"/>
  <c r="AE14" i="4" s="1"/>
  <c r="AD22" i="4"/>
  <c r="AE22" i="4" s="1"/>
  <c r="O615" i="3"/>
  <c r="P615" i="3" s="1"/>
  <c r="O616" i="3"/>
  <c r="P616" i="3" s="1"/>
  <c r="O578" i="3"/>
  <c r="P578" i="3" s="1"/>
  <c r="O625" i="3"/>
  <c r="P625" i="3" s="1"/>
  <c r="O604" i="3"/>
  <c r="P604" i="3" s="1"/>
  <c r="O596" i="3"/>
  <c r="P596" i="3" s="1"/>
  <c r="O584" i="3"/>
  <c r="P584" i="3" s="1"/>
  <c r="O531" i="3"/>
  <c r="P531" i="3" s="1"/>
  <c r="O487" i="3"/>
  <c r="P487" i="3" s="1"/>
  <c r="O446" i="3"/>
  <c r="P446" i="3" s="1"/>
  <c r="O374" i="3"/>
  <c r="P374" i="3" s="1"/>
  <c r="O366" i="3"/>
  <c r="P366" i="3" s="1"/>
  <c r="O322" i="3"/>
  <c r="P322" i="3" s="1"/>
  <c r="O518" i="3"/>
  <c r="P518" i="3" s="1"/>
  <c r="O466" i="3"/>
  <c r="P466" i="3" s="1"/>
  <c r="O395" i="3"/>
  <c r="P395" i="3" s="1"/>
  <c r="O333" i="3"/>
  <c r="P333" i="3" s="1"/>
  <c r="O192" i="3"/>
  <c r="P192" i="3" s="1"/>
  <c r="O457" i="3"/>
  <c r="P457" i="3" s="1"/>
  <c r="O401" i="3"/>
  <c r="P401" i="3" s="1"/>
  <c r="O352" i="3"/>
  <c r="P352" i="3" s="1"/>
  <c r="O281" i="3"/>
  <c r="P281" i="3" s="1"/>
  <c r="O241" i="3"/>
  <c r="P241" i="3" s="1"/>
  <c r="O353" i="3"/>
  <c r="P353" i="3" s="1"/>
  <c r="O345" i="3"/>
  <c r="P345" i="3" s="1"/>
  <c r="O323" i="3"/>
  <c r="P323" i="3" s="1"/>
  <c r="O250" i="3"/>
  <c r="P250" i="3" s="1"/>
  <c r="O171" i="3"/>
  <c r="P171" i="3" s="1"/>
  <c r="O147" i="3"/>
  <c r="P147" i="3" s="1"/>
  <c r="O115" i="3"/>
  <c r="P115" i="3" s="1"/>
  <c r="O111" i="3"/>
  <c r="P111" i="3" s="1"/>
  <c r="O486" i="3"/>
  <c r="P486" i="3" s="1"/>
  <c r="O182" i="3"/>
  <c r="P182" i="3" s="1"/>
  <c r="O128" i="3"/>
  <c r="P128" i="3" s="1"/>
  <c r="O68" i="3"/>
  <c r="P68" i="3" s="1"/>
  <c r="O20" i="3"/>
  <c r="P20" i="3" s="1"/>
  <c r="O4" i="3"/>
  <c r="O33" i="3"/>
  <c r="P33" i="3" s="1"/>
  <c r="O150" i="3"/>
  <c r="P150" i="3" s="1"/>
  <c r="O134" i="3"/>
  <c r="P134" i="3" s="1"/>
  <c r="O191" i="3"/>
  <c r="P191" i="3" s="1"/>
  <c r="O161" i="3"/>
  <c r="P161" i="3" s="1"/>
  <c r="O157" i="3"/>
  <c r="P157" i="3" s="1"/>
  <c r="O133" i="3"/>
  <c r="P133" i="3" s="1"/>
  <c r="O97" i="3"/>
  <c r="P97" i="3" s="1"/>
  <c r="O93" i="3"/>
  <c r="P93" i="3" s="1"/>
  <c r="O81" i="3"/>
  <c r="P81" i="3" s="1"/>
  <c r="O77" i="3"/>
  <c r="P77" i="3" s="1"/>
  <c r="O53" i="3"/>
  <c r="P53" i="3" s="1"/>
  <c r="O186" i="3"/>
  <c r="P186" i="3" s="1"/>
  <c r="O46" i="3"/>
  <c r="P46" i="3" s="1"/>
  <c r="N671" i="3"/>
  <c r="O599" i="3"/>
  <c r="P599" i="3" s="1"/>
  <c r="O555" i="3"/>
  <c r="P555" i="3" s="1"/>
  <c r="O479" i="3"/>
  <c r="P479" i="3" s="1"/>
  <c r="O454" i="3"/>
  <c r="P454" i="3" s="1"/>
  <c r="O426" i="3"/>
  <c r="P426" i="3" s="1"/>
  <c r="O422" i="3"/>
  <c r="P422" i="3" s="1"/>
  <c r="O406" i="3"/>
  <c r="P406" i="3" s="1"/>
  <c r="O386" i="3"/>
  <c r="P386" i="3" s="1"/>
  <c r="O330" i="3"/>
  <c r="P330" i="3" s="1"/>
  <c r="O306" i="3"/>
  <c r="P306" i="3" s="1"/>
  <c r="O298" i="3"/>
  <c r="P298" i="3" s="1"/>
  <c r="O290" i="3"/>
  <c r="P290" i="3" s="1"/>
  <c r="O484" i="3"/>
  <c r="P484" i="3" s="1"/>
  <c r="O468" i="3"/>
  <c r="P468" i="3" s="1"/>
  <c r="O463" i="3"/>
  <c r="P463" i="3" s="1"/>
  <c r="O435" i="3"/>
  <c r="P435" i="3" s="1"/>
  <c r="O399" i="3"/>
  <c r="P399" i="3" s="1"/>
  <c r="O379" i="3"/>
  <c r="P379" i="3" s="1"/>
  <c r="O371" i="3"/>
  <c r="P371" i="3" s="1"/>
  <c r="O363" i="3"/>
  <c r="P363" i="3" s="1"/>
  <c r="O493" i="3"/>
  <c r="P493" i="3" s="1"/>
  <c r="O436" i="3"/>
  <c r="P436" i="3" s="1"/>
  <c r="O429" i="3"/>
  <c r="P429" i="3" s="1"/>
  <c r="O357" i="3"/>
  <c r="P357" i="3" s="1"/>
  <c r="O349" i="3"/>
  <c r="P349" i="3" s="1"/>
  <c r="O341" i="3"/>
  <c r="P341" i="3" s="1"/>
  <c r="O303" i="3"/>
  <c r="P303" i="3" s="1"/>
  <c r="O264" i="3"/>
  <c r="P264" i="3" s="1"/>
  <c r="O228" i="3"/>
  <c r="P228" i="3" s="1"/>
  <c r="O220" i="3"/>
  <c r="P220" i="3" s="1"/>
  <c r="O208" i="3"/>
  <c r="P208" i="3" s="1"/>
  <c r="O180" i="3"/>
  <c r="P180" i="3" s="1"/>
  <c r="O494" i="3"/>
  <c r="P494" i="3" s="1"/>
  <c r="O453" i="3"/>
  <c r="P453" i="3" s="1"/>
  <c r="O393" i="3"/>
  <c r="P393" i="3" s="1"/>
  <c r="O312" i="3"/>
  <c r="P312" i="3" s="1"/>
  <c r="O277" i="3"/>
  <c r="P277" i="3" s="1"/>
  <c r="O261" i="3"/>
  <c r="P261" i="3" s="1"/>
  <c r="O201" i="3"/>
  <c r="P201" i="3" s="1"/>
  <c r="O630" i="3"/>
  <c r="P630" i="3" s="1"/>
  <c r="O413" i="3"/>
  <c r="P413" i="3" s="1"/>
  <c r="O331" i="3"/>
  <c r="P331" i="3" s="1"/>
  <c r="O291" i="3"/>
  <c r="P291" i="3" s="1"/>
  <c r="O258" i="3"/>
  <c r="P258" i="3" s="1"/>
  <c r="O254" i="3"/>
  <c r="P254" i="3" s="1"/>
  <c r="O246" i="3"/>
  <c r="P246" i="3" s="1"/>
  <c r="O428" i="3"/>
  <c r="P428" i="3" s="1"/>
  <c r="O189" i="3"/>
  <c r="P189" i="3" s="1"/>
  <c r="O165" i="3"/>
  <c r="P165" i="3" s="1"/>
  <c r="O159" i="3"/>
  <c r="P159" i="3" s="1"/>
  <c r="O143" i="3"/>
  <c r="P143" i="3" s="1"/>
  <c r="O103" i="3"/>
  <c r="P103" i="3" s="1"/>
  <c r="O95" i="3"/>
  <c r="P95" i="3" s="1"/>
  <c r="O79" i="3"/>
  <c r="P79" i="3" s="1"/>
  <c r="O59" i="3"/>
  <c r="P59" i="3" s="1"/>
  <c r="O51" i="3"/>
  <c r="P51" i="3" s="1"/>
  <c r="O43" i="3"/>
  <c r="P43" i="3" s="1"/>
  <c r="O27" i="3"/>
  <c r="P27" i="3" s="1"/>
  <c r="O112" i="3"/>
  <c r="P112" i="3" s="1"/>
  <c r="O108" i="3"/>
  <c r="P108" i="3" s="1"/>
  <c r="O100" i="3"/>
  <c r="P100" i="3" s="1"/>
  <c r="O37" i="3"/>
  <c r="P37" i="3" s="1"/>
  <c r="O154" i="3"/>
  <c r="P154" i="3" s="1"/>
  <c r="O142" i="3"/>
  <c r="P142" i="3" s="1"/>
  <c r="O90" i="3"/>
  <c r="P90" i="3" s="1"/>
  <c r="O26" i="3"/>
  <c r="P26" i="3" s="1"/>
  <c r="O202" i="3"/>
  <c r="P202" i="3" s="1"/>
  <c r="O175" i="3"/>
  <c r="P175" i="3" s="1"/>
  <c r="O89" i="3"/>
  <c r="P89" i="3" s="1"/>
  <c r="O17" i="3"/>
  <c r="P17" i="3" s="1"/>
  <c r="O9" i="3"/>
  <c r="P9" i="3" s="1"/>
  <c r="O203" i="3"/>
  <c r="P203" i="3" s="1"/>
  <c r="O130" i="3"/>
  <c r="P130" i="3" s="1"/>
  <c r="O118" i="3"/>
  <c r="P118" i="3" s="1"/>
  <c r="O74" i="3"/>
  <c r="P74" i="3" s="1"/>
  <c r="O635" i="3"/>
  <c r="P635" i="3" s="1"/>
  <c r="O560" i="3"/>
  <c r="P560" i="3" s="1"/>
  <c r="O441" i="3"/>
  <c r="P441" i="3" s="1"/>
  <c r="O63" i="3"/>
  <c r="P63" i="3" s="1"/>
  <c r="O628" i="3"/>
  <c r="P628" i="3" s="1"/>
  <c r="O568" i="3"/>
  <c r="P568" i="3" s="1"/>
  <c r="O467" i="3"/>
  <c r="P467" i="3" s="1"/>
  <c r="O580" i="3"/>
  <c r="P580" i="3" s="1"/>
  <c r="O533" i="3"/>
  <c r="P533" i="3" s="1"/>
  <c r="O517" i="3"/>
  <c r="P517" i="3" s="1"/>
  <c r="O410" i="3"/>
  <c r="P410" i="3" s="1"/>
  <c r="O302" i="3"/>
  <c r="P302" i="3" s="1"/>
  <c r="O528" i="3"/>
  <c r="P528" i="3" s="1"/>
  <c r="O520" i="3"/>
  <c r="P520" i="3" s="1"/>
  <c r="O500" i="3"/>
  <c r="P500" i="3" s="1"/>
  <c r="O482" i="3"/>
  <c r="P482" i="3" s="1"/>
  <c r="O383" i="3"/>
  <c r="P383" i="3" s="1"/>
  <c r="O552" i="3"/>
  <c r="P552" i="3" s="1"/>
  <c r="O548" i="3"/>
  <c r="P548" i="3" s="1"/>
  <c r="O392" i="3"/>
  <c r="P392" i="3" s="1"/>
  <c r="O369" i="3"/>
  <c r="P369" i="3" s="1"/>
  <c r="O327" i="3"/>
  <c r="P327" i="3" s="1"/>
  <c r="O252" i="3"/>
  <c r="P252" i="3" s="1"/>
  <c r="O244" i="3"/>
  <c r="P244" i="3" s="1"/>
  <c r="O184" i="3"/>
  <c r="P184" i="3" s="1"/>
  <c r="O510" i="3"/>
  <c r="P510" i="3" s="1"/>
  <c r="O478" i="3"/>
  <c r="P478" i="3" s="1"/>
  <c r="O449" i="3"/>
  <c r="P449" i="3" s="1"/>
  <c r="O433" i="3"/>
  <c r="P433" i="3" s="1"/>
  <c r="O404" i="3"/>
  <c r="P404" i="3" s="1"/>
  <c r="O397" i="3"/>
  <c r="P397" i="3" s="1"/>
  <c r="O377" i="3"/>
  <c r="P377" i="3" s="1"/>
  <c r="O197" i="3"/>
  <c r="P197" i="3" s="1"/>
  <c r="O538" i="3"/>
  <c r="P538" i="3" s="1"/>
  <c r="O420" i="3"/>
  <c r="P420" i="3" s="1"/>
  <c r="O355" i="3"/>
  <c r="P355" i="3" s="1"/>
  <c r="O347" i="3"/>
  <c r="P347" i="3" s="1"/>
  <c r="O339" i="3"/>
  <c r="P339" i="3" s="1"/>
  <c r="O286" i="3"/>
  <c r="P286" i="3" s="1"/>
  <c r="O504" i="3"/>
  <c r="P504" i="3" s="1"/>
  <c r="O139" i="3"/>
  <c r="P139" i="3" s="1"/>
  <c r="O35" i="3"/>
  <c r="P35" i="3" s="1"/>
  <c r="O23" i="3"/>
  <c r="P23" i="3" s="1"/>
  <c r="O15" i="3"/>
  <c r="P15" i="3" s="1"/>
  <c r="O7" i="3"/>
  <c r="P7" i="3" s="1"/>
  <c r="O361" i="3"/>
  <c r="P361" i="3" s="1"/>
  <c r="O41" i="3"/>
  <c r="P41" i="3" s="1"/>
  <c r="O618" i="3"/>
  <c r="P618" i="3" s="1"/>
  <c r="O198" i="3"/>
  <c r="P198" i="3" s="1"/>
  <c r="O153" i="3"/>
  <c r="P153" i="3" s="1"/>
  <c r="O85" i="3"/>
  <c r="P85" i="3" s="1"/>
  <c r="O57" i="3"/>
  <c r="P57" i="3" s="1"/>
  <c r="O49" i="3"/>
  <c r="P49" i="3" s="1"/>
  <c r="O30" i="3"/>
  <c r="P30" i="3" s="1"/>
  <c r="O611" i="3"/>
  <c r="P611" i="3" s="1"/>
  <c r="O595" i="3"/>
  <c r="P595" i="3" s="1"/>
  <c r="O591" i="3"/>
  <c r="P591" i="3" s="1"/>
  <c r="O567" i="3"/>
  <c r="P567" i="3" s="1"/>
  <c r="O622" i="3"/>
  <c r="P622" i="3" s="1"/>
  <c r="O601" i="3"/>
  <c r="P601" i="3" s="1"/>
  <c r="O613" i="3"/>
  <c r="P613" i="3" s="1"/>
  <c r="O612" i="3"/>
  <c r="P612" i="3" s="1"/>
  <c r="O605" i="3"/>
  <c r="P605" i="3" s="1"/>
  <c r="O602" i="3"/>
  <c r="P602" i="3" s="1"/>
  <c r="O621" i="3"/>
  <c r="P621" i="3" s="1"/>
  <c r="O586" i="3"/>
  <c r="P586" i="3" s="1"/>
  <c r="O338" i="3"/>
  <c r="P338" i="3" s="1"/>
  <c r="O318" i="3"/>
  <c r="P318" i="3" s="1"/>
  <c r="O598" i="3"/>
  <c r="P598" i="3" s="1"/>
  <c r="O577" i="3"/>
  <c r="P577" i="3" s="1"/>
  <c r="O301" i="3"/>
  <c r="P301" i="3" s="1"/>
  <c r="O284" i="3"/>
  <c r="P284" i="3" s="1"/>
  <c r="O280" i="3"/>
  <c r="P280" i="3" s="1"/>
  <c r="O276" i="3"/>
  <c r="P276" i="3" s="1"/>
  <c r="O268" i="3"/>
  <c r="P268" i="3" s="1"/>
  <c r="O260" i="3"/>
  <c r="P260" i="3" s="1"/>
  <c r="O232" i="3"/>
  <c r="P232" i="3" s="1"/>
  <c r="O196" i="3"/>
  <c r="P196" i="3" s="1"/>
  <c r="O188" i="3"/>
  <c r="P188" i="3" s="1"/>
  <c r="O168" i="3"/>
  <c r="P168" i="3" s="1"/>
  <c r="O164" i="3"/>
  <c r="P164" i="3" s="1"/>
  <c r="O304" i="3"/>
  <c r="P304" i="3" s="1"/>
  <c r="O296" i="3"/>
  <c r="P296" i="3" s="1"/>
  <c r="O285" i="3"/>
  <c r="P285" i="3" s="1"/>
  <c r="O273" i="3"/>
  <c r="P273" i="3" s="1"/>
  <c r="O269" i="3"/>
  <c r="P269" i="3" s="1"/>
  <c r="O265" i="3"/>
  <c r="P265" i="3" s="1"/>
  <c r="O225" i="3"/>
  <c r="P225" i="3" s="1"/>
  <c r="O217" i="3"/>
  <c r="P217" i="3" s="1"/>
  <c r="O213" i="3"/>
  <c r="P213" i="3" s="1"/>
  <c r="O337" i="3"/>
  <c r="P337" i="3" s="1"/>
  <c r="O315" i="3"/>
  <c r="P315" i="3" s="1"/>
  <c r="O313" i="3"/>
  <c r="P313" i="3" s="1"/>
  <c r="O307" i="3"/>
  <c r="P307" i="3" s="1"/>
  <c r="O305" i="3"/>
  <c r="P305" i="3" s="1"/>
  <c r="O299" i="3"/>
  <c r="P299" i="3" s="1"/>
  <c r="O297" i="3"/>
  <c r="P297" i="3" s="1"/>
  <c r="O278" i="3"/>
  <c r="P278" i="3" s="1"/>
  <c r="O234" i="3"/>
  <c r="P234" i="3" s="1"/>
  <c r="O316" i="3"/>
  <c r="P316" i="3" s="1"/>
  <c r="O308" i="3"/>
  <c r="P308" i="3" s="1"/>
  <c r="O187" i="3"/>
  <c r="P187" i="3" s="1"/>
  <c r="O181" i="3"/>
  <c r="P181" i="3" s="1"/>
  <c r="O173" i="3"/>
  <c r="P173" i="3" s="1"/>
  <c r="O131" i="3"/>
  <c r="P131" i="3" s="1"/>
  <c r="O83" i="3"/>
  <c r="P83" i="3" s="1"/>
  <c r="O71" i="3"/>
  <c r="P71" i="3" s="1"/>
  <c r="O624" i="3"/>
  <c r="P624" i="3" s="1"/>
  <c r="O279" i="3"/>
  <c r="P279" i="3" s="1"/>
  <c r="O263" i="3"/>
  <c r="P263" i="3" s="1"/>
  <c r="O239" i="3"/>
  <c r="P239" i="3" s="1"/>
  <c r="O152" i="3"/>
  <c r="P152" i="3" s="1"/>
  <c r="O148" i="3"/>
  <c r="P148" i="3" s="1"/>
  <c r="O132" i="3"/>
  <c r="P132" i="3" s="1"/>
  <c r="O124" i="3"/>
  <c r="P124" i="3" s="1"/>
  <c r="O120" i="3"/>
  <c r="P120" i="3" s="1"/>
  <c r="O116" i="3"/>
  <c r="P116" i="3" s="1"/>
  <c r="O84" i="3"/>
  <c r="P84" i="3" s="1"/>
  <c r="O158" i="3"/>
  <c r="P158" i="3" s="1"/>
  <c r="O126" i="3"/>
  <c r="P126" i="3" s="1"/>
  <c r="O106" i="3"/>
  <c r="P106" i="3" s="1"/>
  <c r="O94" i="3"/>
  <c r="P94" i="3" s="1"/>
  <c r="O22" i="3"/>
  <c r="P22" i="3" s="1"/>
  <c r="O610" i="3"/>
  <c r="P610" i="3" s="1"/>
  <c r="O194" i="3"/>
  <c r="P194" i="3" s="1"/>
  <c r="O183" i="3"/>
  <c r="P183" i="3" s="1"/>
  <c r="O137" i="3"/>
  <c r="P137" i="3" s="1"/>
  <c r="O129" i="3"/>
  <c r="P129" i="3" s="1"/>
  <c r="O121" i="3"/>
  <c r="P121" i="3" s="1"/>
  <c r="O113" i="3"/>
  <c r="P113" i="3" s="1"/>
  <c r="O275" i="3"/>
  <c r="P275" i="3" s="1"/>
  <c r="O267" i="3"/>
  <c r="P267" i="3" s="1"/>
  <c r="O243" i="3"/>
  <c r="P243" i="3" s="1"/>
  <c r="O211" i="3"/>
  <c r="P211" i="3" s="1"/>
  <c r="O207" i="3"/>
  <c r="P207" i="3" s="1"/>
  <c r="O195" i="3"/>
  <c r="P195" i="3" s="1"/>
  <c r="O178" i="3"/>
  <c r="P178" i="3" s="1"/>
  <c r="O138" i="3"/>
  <c r="P138" i="3" s="1"/>
  <c r="O122" i="3"/>
  <c r="P122" i="3" s="1"/>
  <c r="O114" i="3"/>
  <c r="P114" i="3" s="1"/>
  <c r="O102" i="3"/>
  <c r="P102" i="3" s="1"/>
  <c r="O98" i="3"/>
  <c r="P98" i="3" s="1"/>
  <c r="O78" i="3"/>
  <c r="P78" i="3" s="1"/>
  <c r="O619" i="3"/>
  <c r="P619" i="3" s="1"/>
  <c r="O583" i="3"/>
  <c r="P583" i="3" s="1"/>
  <c r="O575" i="3"/>
  <c r="P575" i="3" s="1"/>
  <c r="O614" i="3"/>
  <c r="P614" i="3" s="1"/>
  <c r="O609" i="3"/>
  <c r="P609" i="3" s="1"/>
  <c r="O593" i="3"/>
  <c r="P593" i="3" s="1"/>
  <c r="O535" i="3"/>
  <c r="P535" i="3" s="1"/>
  <c r="O523" i="3"/>
  <c r="P523" i="3" s="1"/>
  <c r="O471" i="3"/>
  <c r="P471" i="3" s="1"/>
  <c r="O638" i="3"/>
  <c r="P638" i="3" s="1"/>
  <c r="O608" i="3"/>
  <c r="P608" i="3" s="1"/>
  <c r="O589" i="3"/>
  <c r="P589" i="3" s="1"/>
  <c r="O564" i="3"/>
  <c r="P564" i="3" s="1"/>
  <c r="O505" i="3"/>
  <c r="P505" i="3" s="1"/>
  <c r="O497" i="3"/>
  <c r="P497" i="3" s="1"/>
  <c r="O526" i="3"/>
  <c r="P526" i="3" s="1"/>
  <c r="O514" i="3"/>
  <c r="P514" i="3" s="1"/>
  <c r="O508" i="3"/>
  <c r="P508" i="3" s="1"/>
  <c r="O359" i="3"/>
  <c r="P359" i="3" s="1"/>
  <c r="O600" i="3"/>
  <c r="P600" i="3" s="1"/>
  <c r="O542" i="3"/>
  <c r="P542" i="3" s="1"/>
  <c r="O456" i="3"/>
  <c r="P456" i="3" s="1"/>
  <c r="O388" i="3"/>
  <c r="P388" i="3" s="1"/>
  <c r="O351" i="3"/>
  <c r="P351" i="3" s="1"/>
  <c r="O343" i="3"/>
  <c r="P343" i="3" s="1"/>
  <c r="O293" i="3"/>
  <c r="P293" i="3" s="1"/>
  <c r="O248" i="3"/>
  <c r="P248" i="3" s="1"/>
  <c r="O416" i="3"/>
  <c r="P416" i="3" s="1"/>
  <c r="O470" i="3"/>
  <c r="P470" i="3" s="1"/>
  <c r="O222" i="3"/>
  <c r="P222" i="3" s="1"/>
  <c r="O502" i="3"/>
  <c r="P502" i="3" s="1"/>
  <c r="O19" i="3"/>
  <c r="P19" i="3" s="1"/>
  <c r="O546" i="3"/>
  <c r="P546" i="3" s="1"/>
  <c r="O365" i="3"/>
  <c r="P365" i="3" s="1"/>
  <c r="O146" i="3"/>
  <c r="P146" i="3" s="1"/>
  <c r="O66" i="3"/>
  <c r="P66" i="3" s="1"/>
  <c r="O639" i="3"/>
  <c r="P639" i="3" s="1"/>
  <c r="O594" i="3"/>
  <c r="P594" i="3" s="1"/>
  <c r="O465" i="3"/>
  <c r="P465" i="3" s="1"/>
  <c r="O294" i="3"/>
  <c r="P294" i="3" s="1"/>
  <c r="O536" i="3"/>
  <c r="P536" i="3" s="1"/>
  <c r="O498" i="3"/>
  <c r="P498" i="3" s="1"/>
  <c r="O620" i="3"/>
  <c r="P620" i="3" s="1"/>
  <c r="O256" i="3"/>
  <c r="P256" i="3" s="1"/>
  <c r="O389" i="3"/>
  <c r="P389" i="3" s="1"/>
  <c r="O344" i="3"/>
  <c r="P344" i="3" s="1"/>
  <c r="O249" i="3"/>
  <c r="P249" i="3" s="1"/>
  <c r="O238" i="3"/>
  <c r="P238" i="3" s="1"/>
  <c r="O230" i="3"/>
  <c r="P230" i="3" s="1"/>
  <c r="O223" i="3"/>
  <c r="P223" i="3" s="1"/>
  <c r="O156" i="3"/>
  <c r="P156" i="3" s="1"/>
  <c r="O92" i="3"/>
  <c r="P92" i="3" s="1"/>
  <c r="O206" i="3"/>
  <c r="P206" i="3" s="1"/>
  <c r="O573" i="3"/>
  <c r="P573" i="3" s="1"/>
  <c r="O561" i="3"/>
  <c r="P561" i="3" s="1"/>
  <c r="O442" i="3"/>
  <c r="P442" i="3" s="1"/>
  <c r="O415" i="3"/>
  <c r="P415" i="3" s="1"/>
  <c r="O636" i="3"/>
  <c r="P636" i="3" s="1"/>
  <c r="O64" i="3"/>
  <c r="P64" i="3" s="1"/>
  <c r="O572" i="3"/>
  <c r="P572" i="3" s="1"/>
  <c r="O634" i="3"/>
  <c r="P634" i="3" s="1"/>
  <c r="O559" i="3"/>
  <c r="P559" i="3" s="1"/>
  <c r="O530" i="3"/>
  <c r="P530" i="3" s="1"/>
  <c r="O440" i="3"/>
  <c r="P440" i="3" s="1"/>
  <c r="O45" i="3"/>
  <c r="P45" i="3" s="1"/>
  <c r="O62" i="3"/>
  <c r="P62" i="3" s="1"/>
  <c r="O571" i="3"/>
  <c r="P571" i="3" s="1"/>
  <c r="O633" i="3"/>
  <c r="P633" i="3" s="1"/>
  <c r="O549" i="3"/>
  <c r="P549" i="3" s="1"/>
  <c r="O439" i="3"/>
  <c r="P439" i="3" s="1"/>
  <c r="O558" i="3"/>
  <c r="P558" i="3" s="1"/>
  <c r="O61" i="3"/>
  <c r="P61" i="3" s="1"/>
  <c r="O627" i="3"/>
  <c r="P627" i="3" s="1"/>
  <c r="O525" i="3"/>
  <c r="P525" i="3" s="1"/>
  <c r="O473" i="3"/>
  <c r="P473" i="3" s="1"/>
  <c r="O382" i="3"/>
  <c r="P382" i="3" s="1"/>
  <c r="O326" i="3"/>
  <c r="P326" i="3" s="1"/>
  <c r="O544" i="3"/>
  <c r="P544" i="3" s="1"/>
  <c r="O490" i="3"/>
  <c r="P490" i="3" s="1"/>
  <c r="O419" i="3"/>
  <c r="P419" i="3" s="1"/>
  <c r="O403" i="3"/>
  <c r="P403" i="3" s="1"/>
  <c r="O551" i="3"/>
  <c r="P551" i="3" s="1"/>
  <c r="O432" i="3"/>
  <c r="P432" i="3" s="1"/>
  <c r="O376" i="3"/>
  <c r="P376" i="3" s="1"/>
  <c r="O460" i="3"/>
  <c r="P460" i="3" s="1"/>
  <c r="O461" i="3"/>
  <c r="P461" i="3" s="1"/>
  <c r="O409" i="3"/>
  <c r="P409" i="3" s="1"/>
  <c r="O368" i="3"/>
  <c r="P368" i="3" s="1"/>
  <c r="O56" i="3"/>
  <c r="P56" i="3" s="1"/>
  <c r="O48" i="3"/>
  <c r="P48" i="3" s="1"/>
  <c r="O40" i="3"/>
  <c r="P40" i="3" s="1"/>
  <c r="O5" i="3"/>
  <c r="P5" i="3" s="1"/>
  <c r="O424" i="3"/>
  <c r="P424" i="3" s="1"/>
  <c r="Q198" i="4"/>
  <c r="R189" i="4"/>
  <c r="S189" i="4" s="1"/>
  <c r="R185" i="4"/>
  <c r="S185" i="4" s="1"/>
  <c r="R183" i="4"/>
  <c r="S183" i="4" s="1"/>
  <c r="R181" i="4"/>
  <c r="S181" i="4" s="1"/>
  <c r="R177" i="4"/>
  <c r="S177" i="4" s="1"/>
  <c r="R186" i="4"/>
  <c r="S186" i="4" s="1"/>
  <c r="R184" i="4"/>
  <c r="S184" i="4" s="1"/>
  <c r="R182" i="4"/>
  <c r="S182" i="4" s="1"/>
  <c r="R179" i="4"/>
  <c r="S179" i="4" s="1"/>
  <c r="R180" i="4"/>
  <c r="S180" i="4" s="1"/>
  <c r="R178" i="4"/>
  <c r="S178" i="4" s="1"/>
  <c r="R174" i="4"/>
  <c r="S174" i="4" s="1"/>
  <c r="R173" i="4"/>
  <c r="S173" i="4" s="1"/>
  <c r="R172" i="4"/>
  <c r="S172" i="4" s="1"/>
  <c r="R171" i="4"/>
  <c r="S171" i="4" s="1"/>
  <c r="R170" i="4"/>
  <c r="S170" i="4" s="1"/>
  <c r="R169" i="4"/>
  <c r="S169" i="4" s="1"/>
  <c r="R168" i="4"/>
  <c r="S168" i="4" s="1"/>
  <c r="R167" i="4"/>
  <c r="S167" i="4" s="1"/>
  <c r="R176" i="4"/>
  <c r="S176" i="4" s="1"/>
  <c r="R147" i="4"/>
  <c r="S147" i="4" s="1"/>
  <c r="R146" i="4"/>
  <c r="S146" i="4" s="1"/>
  <c r="R140" i="4"/>
  <c r="S140" i="4" s="1"/>
  <c r="R131" i="4"/>
  <c r="S131" i="4" s="1"/>
  <c r="R156" i="4"/>
  <c r="S156" i="4" s="1"/>
  <c r="R175" i="4"/>
  <c r="S175" i="4" s="1"/>
  <c r="R165" i="4"/>
  <c r="S165" i="4" s="1"/>
  <c r="R128" i="4"/>
  <c r="S128" i="4" s="1"/>
  <c r="R163" i="4"/>
  <c r="S163" i="4" s="1"/>
  <c r="R162" i="4"/>
  <c r="S162" i="4" s="1"/>
  <c r="R108" i="4"/>
  <c r="S108" i="4" s="1"/>
  <c r="R91" i="4"/>
  <c r="S91" i="4" s="1"/>
  <c r="R82" i="4"/>
  <c r="S82" i="4" s="1"/>
  <c r="R81" i="4"/>
  <c r="S81" i="4" s="1"/>
  <c r="R80" i="4"/>
  <c r="S80" i="4" s="1"/>
  <c r="R79" i="4"/>
  <c r="S79" i="4" s="1"/>
  <c r="R78" i="4"/>
  <c r="S78" i="4" s="1"/>
  <c r="R77" i="4"/>
  <c r="S77" i="4" s="1"/>
  <c r="R76" i="4"/>
  <c r="S76" i="4" s="1"/>
  <c r="R75" i="4"/>
  <c r="S75" i="4" s="1"/>
  <c r="R74" i="4"/>
  <c r="S74" i="4" s="1"/>
  <c r="R73" i="4"/>
  <c r="S73" i="4" s="1"/>
  <c r="R72" i="4"/>
  <c r="S72" i="4" s="1"/>
  <c r="R71" i="4"/>
  <c r="S71" i="4" s="1"/>
  <c r="R70" i="4"/>
  <c r="S70" i="4" s="1"/>
  <c r="R69" i="4"/>
  <c r="S69" i="4" s="1"/>
  <c r="R68" i="4"/>
  <c r="S68" i="4" s="1"/>
  <c r="R65" i="4"/>
  <c r="S65" i="4" s="1"/>
  <c r="R64" i="4"/>
  <c r="S64" i="4" s="1"/>
  <c r="R63" i="4"/>
  <c r="S63" i="4" s="1"/>
  <c r="R62" i="4"/>
  <c r="S62" i="4" s="1"/>
  <c r="R61" i="4"/>
  <c r="S61" i="4" s="1"/>
  <c r="R60" i="4"/>
  <c r="S60" i="4" s="1"/>
  <c r="R59" i="4"/>
  <c r="S59" i="4" s="1"/>
  <c r="R150" i="4"/>
  <c r="S150" i="4" s="1"/>
  <c r="R127" i="4"/>
  <c r="S127" i="4" s="1"/>
  <c r="R106" i="4"/>
  <c r="S106" i="4" s="1"/>
  <c r="R103" i="4"/>
  <c r="S103" i="4" s="1"/>
  <c r="R56" i="4"/>
  <c r="S56" i="4" s="1"/>
  <c r="R48" i="4"/>
  <c r="S48" i="4" s="1"/>
  <c r="R57" i="4"/>
  <c r="S57" i="4" s="1"/>
  <c r="R53" i="4"/>
  <c r="S53" i="4" s="1"/>
  <c r="R45" i="4"/>
  <c r="S45" i="4" s="1"/>
  <c r="R44" i="4"/>
  <c r="S44" i="4" s="1"/>
  <c r="R43" i="4"/>
  <c r="S43" i="4" s="1"/>
  <c r="R40" i="4"/>
  <c r="S40" i="4" s="1"/>
  <c r="R39" i="4"/>
  <c r="S39" i="4" s="1"/>
  <c r="R38" i="4"/>
  <c r="S38" i="4" s="1"/>
  <c r="R37" i="4"/>
  <c r="S37" i="4" s="1"/>
  <c r="R36" i="4"/>
  <c r="S36" i="4" s="1"/>
  <c r="R35" i="4"/>
  <c r="S35" i="4" s="1"/>
  <c r="R34" i="4"/>
  <c r="S34" i="4" s="1"/>
  <c r="R33" i="4"/>
  <c r="S33" i="4" s="1"/>
  <c r="R32" i="4"/>
  <c r="S32" i="4" s="1"/>
  <c r="R31" i="4"/>
  <c r="S31" i="4" s="1"/>
  <c r="R30" i="4"/>
  <c r="S30" i="4" s="1"/>
  <c r="R29" i="4"/>
  <c r="S29" i="4" s="1"/>
  <c r="R28" i="4"/>
  <c r="S28" i="4" s="1"/>
  <c r="R25" i="4"/>
  <c r="S25" i="4" s="1"/>
  <c r="R24" i="4"/>
  <c r="S24" i="4" s="1"/>
  <c r="R23" i="4"/>
  <c r="S23" i="4" s="1"/>
  <c r="R58" i="4"/>
  <c r="S58" i="4" s="1"/>
  <c r="R54" i="4"/>
  <c r="S54" i="4" s="1"/>
  <c r="R46" i="4"/>
  <c r="S46" i="4" s="1"/>
  <c r="R21" i="4"/>
  <c r="S21" i="4" s="1"/>
  <c r="R47" i="4"/>
  <c r="S47" i="4" s="1"/>
  <c r="R22" i="4"/>
  <c r="S22" i="4" s="1"/>
  <c r="R18" i="4"/>
  <c r="S18" i="4" s="1"/>
  <c r="R14" i="4"/>
  <c r="R51" i="4"/>
  <c r="S51" i="4" s="1"/>
  <c r="R19" i="4"/>
  <c r="S19" i="4" s="1"/>
  <c r="R15" i="4"/>
  <c r="S15" i="4" s="1"/>
  <c r="R55" i="4"/>
  <c r="S55" i="4" s="1"/>
  <c r="R20" i="4"/>
  <c r="S20" i="4" s="1"/>
  <c r="P193" i="4"/>
  <c r="P198" i="4" s="1"/>
  <c r="O623" i="3"/>
  <c r="P623" i="3" s="1"/>
  <c r="O579" i="3"/>
  <c r="P579" i="3" s="1"/>
  <c r="O585" i="3"/>
  <c r="P585" i="3" s="1"/>
  <c r="O566" i="3"/>
  <c r="P566" i="3" s="1"/>
  <c r="O640" i="3"/>
  <c r="P640" i="3" s="1"/>
  <c r="O626" i="3"/>
  <c r="P626" i="3" s="1"/>
  <c r="O547" i="3"/>
  <c r="P547" i="3" s="1"/>
  <c r="O527" i="3"/>
  <c r="P527" i="3" s="1"/>
  <c r="O519" i="3"/>
  <c r="P519" i="3" s="1"/>
  <c r="O503" i="3"/>
  <c r="P503" i="3" s="1"/>
  <c r="O499" i="3"/>
  <c r="P499" i="3" s="1"/>
  <c r="O489" i="3"/>
  <c r="P489" i="3" s="1"/>
  <c r="O481" i="3"/>
  <c r="P481" i="3" s="1"/>
  <c r="O458" i="3"/>
  <c r="P458" i="3" s="1"/>
  <c r="O418" i="3"/>
  <c r="P418" i="3" s="1"/>
  <c r="O402" i="3"/>
  <c r="P402" i="3" s="1"/>
  <c r="O354" i="3"/>
  <c r="P354" i="3" s="1"/>
  <c r="O346" i="3"/>
  <c r="P346" i="3" s="1"/>
  <c r="O334" i="3"/>
  <c r="P334" i="3" s="1"/>
  <c r="O617" i="3"/>
  <c r="P617" i="3" s="1"/>
  <c r="O543" i="3"/>
  <c r="P543" i="3" s="1"/>
  <c r="O506" i="3"/>
  <c r="P506" i="3" s="1"/>
  <c r="O476" i="3"/>
  <c r="P476" i="3" s="1"/>
  <c r="O459" i="3"/>
  <c r="P459" i="3" s="1"/>
  <c r="O447" i="3"/>
  <c r="P447" i="3" s="1"/>
  <c r="O431" i="3"/>
  <c r="P431" i="3" s="1"/>
  <c r="O427" i="3"/>
  <c r="P427" i="3" s="1"/>
  <c r="O391" i="3"/>
  <c r="P391" i="3" s="1"/>
  <c r="O375" i="3"/>
  <c r="P375" i="3" s="1"/>
  <c r="O367" i="3"/>
  <c r="P367" i="3" s="1"/>
  <c r="O590" i="3"/>
  <c r="P590" i="3" s="1"/>
  <c r="O550" i="3"/>
  <c r="P550" i="3" s="1"/>
  <c r="O537" i="3"/>
  <c r="P537" i="3" s="1"/>
  <c r="O509" i="3"/>
  <c r="P509" i="3" s="1"/>
  <c r="O477" i="3"/>
  <c r="P477" i="3" s="1"/>
  <c r="O597" i="3"/>
  <c r="P597" i="3" s="1"/>
  <c r="O532" i="3"/>
  <c r="P532" i="3" s="1"/>
  <c r="O448" i="3"/>
  <c r="P448" i="3" s="1"/>
  <c r="O425" i="3"/>
  <c r="P425" i="3" s="1"/>
  <c r="O396" i="3"/>
  <c r="P396" i="3" s="1"/>
  <c r="O335" i="3"/>
  <c r="P335" i="3" s="1"/>
  <c r="O325" i="3"/>
  <c r="P325" i="3" s="1"/>
  <c r="O311" i="3"/>
  <c r="P311" i="3" s="1"/>
  <c r="O295" i="3"/>
  <c r="P295" i="3" s="1"/>
  <c r="O272" i="3"/>
  <c r="P272" i="3" s="1"/>
  <c r="O224" i="3"/>
  <c r="P224" i="3" s="1"/>
  <c r="O216" i="3"/>
  <c r="P216" i="3" s="1"/>
  <c r="O172" i="3"/>
  <c r="P172" i="3" s="1"/>
  <c r="O524" i="3"/>
  <c r="P524" i="3" s="1"/>
  <c r="O408" i="3"/>
  <c r="P408" i="3" s="1"/>
  <c r="O381" i="3"/>
  <c r="P381" i="3" s="1"/>
  <c r="O336" i="3"/>
  <c r="P336" i="3" s="1"/>
  <c r="O193" i="3"/>
  <c r="P193" i="3" s="1"/>
  <c r="O472" i="3"/>
  <c r="P472" i="3" s="1"/>
  <c r="O360" i="3"/>
  <c r="P360" i="3" s="1"/>
  <c r="O282" i="3"/>
  <c r="P282" i="3" s="1"/>
  <c r="O242" i="3"/>
  <c r="P242" i="3" s="1"/>
  <c r="O300" i="3"/>
  <c r="P300" i="3" s="1"/>
  <c r="O163" i="3"/>
  <c r="P163" i="3" s="1"/>
  <c r="O151" i="3"/>
  <c r="P151" i="3" s="1"/>
  <c r="O135" i="3"/>
  <c r="P135" i="3" s="1"/>
  <c r="O55" i="3"/>
  <c r="P55" i="3" s="1"/>
  <c r="O47" i="3"/>
  <c r="P47" i="3" s="1"/>
  <c r="O39" i="3"/>
  <c r="P39" i="3" s="1"/>
  <c r="O516" i="3"/>
  <c r="P516" i="3" s="1"/>
  <c r="O488" i="3"/>
  <c r="P488" i="3" s="1"/>
  <c r="O324" i="3"/>
  <c r="P324" i="3" s="1"/>
  <c r="O231" i="3"/>
  <c r="P231" i="3" s="1"/>
  <c r="O136" i="3"/>
  <c r="P136" i="3" s="1"/>
  <c r="O32" i="3"/>
  <c r="P32" i="3" s="1"/>
  <c r="O12" i="3"/>
  <c r="P12" i="3" s="1"/>
  <c r="O29" i="3"/>
  <c r="P29" i="3" s="1"/>
  <c r="O21" i="3"/>
  <c r="P21" i="3" s="1"/>
  <c r="O14" i="3"/>
  <c r="P14" i="3" s="1"/>
  <c r="O177" i="3"/>
  <c r="P177" i="3" s="1"/>
  <c r="O167" i="3"/>
  <c r="P167" i="3" s="1"/>
  <c r="O69" i="3"/>
  <c r="P69" i="3" s="1"/>
  <c r="O283" i="3"/>
  <c r="P283" i="3" s="1"/>
  <c r="O251" i="3"/>
  <c r="P251" i="3" s="1"/>
  <c r="O162" i="3"/>
  <c r="P162" i="3" s="1"/>
  <c r="O82" i="3"/>
  <c r="P82" i="3" s="1"/>
  <c r="O70" i="3"/>
  <c r="P70" i="3" s="1"/>
  <c r="O54" i="3"/>
  <c r="P54" i="3" s="1"/>
  <c r="O34" i="3"/>
  <c r="P34" i="3" s="1"/>
  <c r="O6" i="3"/>
  <c r="P6" i="3" s="1"/>
  <c r="O603" i="3"/>
  <c r="P603" i="3" s="1"/>
  <c r="O587" i="3"/>
  <c r="P587" i="3" s="1"/>
  <c r="O553" i="3"/>
  <c r="P553" i="3" s="1"/>
  <c r="O606" i="3"/>
  <c r="P606" i="3" s="1"/>
  <c r="O539" i="3"/>
  <c r="P539" i="3" s="1"/>
  <c r="O511" i="3"/>
  <c r="P511" i="3" s="1"/>
  <c r="O491" i="3"/>
  <c r="P491" i="3" s="1"/>
  <c r="O483" i="3"/>
  <c r="P483" i="3" s="1"/>
  <c r="O581" i="3"/>
  <c r="P581" i="3" s="1"/>
  <c r="O462" i="3"/>
  <c r="P462" i="3" s="1"/>
  <c r="O450" i="3"/>
  <c r="P450" i="3" s="1"/>
  <c r="O434" i="3"/>
  <c r="P434" i="3" s="1"/>
  <c r="O398" i="3"/>
  <c r="P398" i="3" s="1"/>
  <c r="O378" i="3"/>
  <c r="P378" i="3" s="1"/>
  <c r="O370" i="3"/>
  <c r="P370" i="3" s="1"/>
  <c r="O362" i="3"/>
  <c r="P362" i="3" s="1"/>
  <c r="O492" i="3"/>
  <c r="P492" i="3" s="1"/>
  <c r="O474" i="3"/>
  <c r="P474" i="3" s="1"/>
  <c r="O451" i="3"/>
  <c r="P451" i="3" s="1"/>
  <c r="O411" i="3"/>
  <c r="P411" i="3" s="1"/>
  <c r="O629" i="3"/>
  <c r="P629" i="3" s="1"/>
  <c r="O521" i="3"/>
  <c r="P521" i="3" s="1"/>
  <c r="O384" i="3"/>
  <c r="P384" i="3" s="1"/>
  <c r="O309" i="3"/>
  <c r="P309" i="3" s="1"/>
  <c r="O288" i="3"/>
  <c r="P288" i="3" s="1"/>
  <c r="O212" i="3"/>
  <c r="P212" i="3" s="1"/>
  <c r="O569" i="3"/>
  <c r="P569" i="3" s="1"/>
  <c r="O328" i="3"/>
  <c r="P328" i="3" s="1"/>
  <c r="O253" i="3"/>
  <c r="P253" i="3" s="1"/>
  <c r="O245" i="3"/>
  <c r="P245" i="3" s="1"/>
  <c r="O405" i="3"/>
  <c r="P405" i="3" s="1"/>
  <c r="O329" i="3"/>
  <c r="P329" i="3" s="1"/>
  <c r="O321" i="3"/>
  <c r="P321" i="3" s="1"/>
  <c r="O226" i="3"/>
  <c r="P226" i="3" s="1"/>
  <c r="O179" i="3"/>
  <c r="P179" i="3" s="1"/>
  <c r="O107" i="3"/>
  <c r="P107" i="3" s="1"/>
  <c r="O99" i="3"/>
  <c r="P99" i="3" s="1"/>
  <c r="O87" i="3"/>
  <c r="P87" i="3" s="1"/>
  <c r="O356" i="3"/>
  <c r="P356" i="3" s="1"/>
  <c r="O348" i="3"/>
  <c r="P348" i="3" s="1"/>
  <c r="O340" i="3"/>
  <c r="P340" i="3" s="1"/>
  <c r="O287" i="3"/>
  <c r="P287" i="3" s="1"/>
  <c r="O174" i="3"/>
  <c r="P174" i="3" s="1"/>
  <c r="O140" i="3"/>
  <c r="P140" i="3" s="1"/>
  <c r="O72" i="3"/>
  <c r="P72" i="3" s="1"/>
  <c r="O36" i="3"/>
  <c r="P36" i="3" s="1"/>
  <c r="O24" i="3"/>
  <c r="P24" i="3" s="1"/>
  <c r="O16" i="3"/>
  <c r="P16" i="3" s="1"/>
  <c r="O8" i="3"/>
  <c r="P8" i="3" s="1"/>
  <c r="O86" i="3"/>
  <c r="P86" i="3" s="1"/>
  <c r="O42" i="3"/>
  <c r="P42" i="3" s="1"/>
  <c r="O218" i="3"/>
  <c r="P218" i="3" s="1"/>
  <c r="O214" i="3"/>
  <c r="P214" i="3" s="1"/>
  <c r="O169" i="3"/>
  <c r="P169" i="3" s="1"/>
  <c r="O141" i="3"/>
  <c r="P141" i="3" s="1"/>
  <c r="O117" i="3"/>
  <c r="P117" i="3" s="1"/>
  <c r="O73" i="3"/>
  <c r="P73" i="3" s="1"/>
  <c r="O13" i="3"/>
  <c r="P13" i="3" s="1"/>
  <c r="O421" i="3"/>
  <c r="P421" i="3" s="1"/>
  <c r="O235" i="3"/>
  <c r="P235" i="3" s="1"/>
  <c r="O199" i="3"/>
  <c r="P199" i="3" s="1"/>
  <c r="O58" i="3"/>
  <c r="P58" i="3" s="1"/>
  <c r="O50" i="3"/>
  <c r="P50" i="3" s="1"/>
  <c r="O557" i="3"/>
  <c r="P557" i="3" s="1"/>
  <c r="O632" i="3"/>
  <c r="P632" i="3" s="1"/>
  <c r="O438" i="3"/>
  <c r="P438" i="3" s="1"/>
  <c r="O11" i="3"/>
  <c r="P11" i="3" s="1"/>
  <c r="O507" i="3"/>
  <c r="P507" i="3" s="1"/>
  <c r="O554" i="3"/>
  <c r="P554" i="3" s="1"/>
  <c r="O310" i="3"/>
  <c r="P310" i="3" s="1"/>
  <c r="O540" i="3"/>
  <c r="P540" i="3" s="1"/>
  <c r="O452" i="3"/>
  <c r="P452" i="3" s="1"/>
  <c r="O236" i="3"/>
  <c r="P236" i="3" s="1"/>
  <c r="O200" i="3"/>
  <c r="P200" i="3" s="1"/>
  <c r="O512" i="3"/>
  <c r="P512" i="3" s="1"/>
  <c r="O412" i="3"/>
  <c r="P412" i="3" s="1"/>
  <c r="O385" i="3"/>
  <c r="P385" i="3" s="1"/>
  <c r="O289" i="3"/>
  <c r="P289" i="3" s="1"/>
  <c r="O88" i="3"/>
  <c r="P88" i="3" s="1"/>
  <c r="O319" i="3"/>
  <c r="P319" i="3" s="1"/>
  <c r="O25" i="3"/>
  <c r="P25" i="3" s="1"/>
  <c r="O227" i="3"/>
  <c r="P227" i="3" s="1"/>
  <c r="O219" i="3"/>
  <c r="P219" i="3" s="1"/>
  <c r="O563" i="3"/>
  <c r="P563" i="3" s="1"/>
  <c r="O637" i="3"/>
  <c r="P637" i="3" s="1"/>
  <c r="O444" i="3"/>
  <c r="P444" i="3" s="1"/>
  <c r="S14" i="4" l="1"/>
  <c r="Z193" i="4"/>
  <c r="P4" i="3"/>
  <c r="P642" i="3" s="1"/>
  <c r="Q665" i="3"/>
  <c r="Q657" i="3"/>
  <c r="Q649" i="3"/>
  <c r="AI653" i="3"/>
  <c r="Q648" i="3"/>
  <c r="Q646" i="3"/>
  <c r="Q651" i="3"/>
  <c r="AI667" i="3"/>
  <c r="Q667" i="3"/>
  <c r="AI652" i="3"/>
  <c r="Q668" i="3"/>
  <c r="AI645" i="3"/>
  <c r="AI662" i="3"/>
  <c r="AI654" i="3"/>
  <c r="AI646" i="3"/>
  <c r="AI651" i="3"/>
  <c r="AI649" i="3"/>
  <c r="AI660" i="3"/>
  <c r="AI647" i="3"/>
  <c r="Q664" i="3"/>
  <c r="AI663" i="3"/>
  <c r="Q666" i="3"/>
  <c r="AI655" i="3"/>
  <c r="AI665" i="3"/>
  <c r="Q654" i="3"/>
  <c r="AI669" i="3"/>
  <c r="Q655" i="3"/>
  <c r="Q658" i="3"/>
  <c r="AI668" i="3"/>
  <c r="Q660" i="3"/>
  <c r="AI664" i="3"/>
  <c r="AI656" i="3"/>
  <c r="AI648" i="3"/>
  <c r="AI657" i="3"/>
  <c r="AI661" i="3"/>
  <c r="Q669" i="3"/>
  <c r="Q659" i="3"/>
  <c r="Q661" i="3"/>
  <c r="Q653" i="3"/>
  <c r="Q645" i="3"/>
  <c r="Q662" i="3"/>
  <c r="AI659" i="3"/>
  <c r="AI666" i="3"/>
  <c r="AI658" i="3"/>
  <c r="AI650" i="3"/>
  <c r="Q656" i="3"/>
  <c r="Q663" i="3"/>
  <c r="Q647" i="3"/>
  <c r="Q650" i="3"/>
  <c r="Q652" i="3"/>
  <c r="T193" i="4"/>
  <c r="AE193" i="4"/>
  <c r="AE198" i="4" s="1"/>
  <c r="AJ560" i="3" l="1"/>
  <c r="AK560" i="3" s="1"/>
  <c r="AJ635" i="3"/>
  <c r="AK635" i="3" s="1"/>
  <c r="AJ441" i="3"/>
  <c r="AK441" i="3" s="1"/>
  <c r="AJ63" i="3"/>
  <c r="AK63" i="3" s="1"/>
  <c r="R558" i="3"/>
  <c r="S558" i="3" s="1"/>
  <c r="R633" i="3"/>
  <c r="S633" i="3" s="1"/>
  <c r="R571" i="3"/>
  <c r="S571" i="3" s="1"/>
  <c r="R549" i="3"/>
  <c r="S549" i="3" s="1"/>
  <c r="R439" i="3"/>
  <c r="S439" i="3" s="1"/>
  <c r="R61" i="3"/>
  <c r="S61" i="3" s="1"/>
  <c r="AJ621" i="3"/>
  <c r="AK621" i="3" s="1"/>
  <c r="AJ613" i="3"/>
  <c r="AK613" i="3" s="1"/>
  <c r="AJ605" i="3"/>
  <c r="AK605" i="3" s="1"/>
  <c r="AJ601" i="3"/>
  <c r="AK601" i="3" s="1"/>
  <c r="AJ577" i="3"/>
  <c r="AK577" i="3" s="1"/>
  <c r="AJ622" i="3"/>
  <c r="AK622" i="3" s="1"/>
  <c r="AJ591" i="3"/>
  <c r="AK591" i="3" s="1"/>
  <c r="AJ624" i="3"/>
  <c r="AK624" i="3" s="1"/>
  <c r="AJ598" i="3"/>
  <c r="AK598" i="3" s="1"/>
  <c r="AJ567" i="3"/>
  <c r="AK567" i="3" s="1"/>
  <c r="AJ316" i="3"/>
  <c r="AK316" i="3" s="1"/>
  <c r="AJ308" i="3"/>
  <c r="AK308" i="3" s="1"/>
  <c r="AJ304" i="3"/>
  <c r="AK304" i="3" s="1"/>
  <c r="AJ296" i="3"/>
  <c r="AK296" i="3" s="1"/>
  <c r="AJ611" i="3"/>
  <c r="AK611" i="3" s="1"/>
  <c r="AJ602" i="3"/>
  <c r="AK602" i="3" s="1"/>
  <c r="AJ595" i="3"/>
  <c r="AK595" i="3" s="1"/>
  <c r="AJ318" i="3"/>
  <c r="AK318" i="3" s="1"/>
  <c r="AJ301" i="3"/>
  <c r="AK301" i="3" s="1"/>
  <c r="AJ279" i="3"/>
  <c r="AK279" i="3" s="1"/>
  <c r="AJ275" i="3"/>
  <c r="AK275" i="3" s="1"/>
  <c r="AJ267" i="3"/>
  <c r="AK267" i="3" s="1"/>
  <c r="AJ263" i="3"/>
  <c r="AK263" i="3" s="1"/>
  <c r="AJ243" i="3"/>
  <c r="AK243" i="3" s="1"/>
  <c r="AJ239" i="3"/>
  <c r="AK239" i="3" s="1"/>
  <c r="AJ211" i="3"/>
  <c r="AK211" i="3" s="1"/>
  <c r="AJ207" i="3"/>
  <c r="AK207" i="3" s="1"/>
  <c r="AJ195" i="3"/>
  <c r="AK195" i="3" s="1"/>
  <c r="AJ187" i="3"/>
  <c r="AK187" i="3" s="1"/>
  <c r="AJ183" i="3"/>
  <c r="AK183" i="3" s="1"/>
  <c r="AJ284" i="3"/>
  <c r="AK284" i="3" s="1"/>
  <c r="AJ280" i="3"/>
  <c r="AK280" i="3" s="1"/>
  <c r="AJ276" i="3"/>
  <c r="AK276" i="3" s="1"/>
  <c r="AJ268" i="3"/>
  <c r="AK268" i="3" s="1"/>
  <c r="AJ260" i="3"/>
  <c r="AK260" i="3" s="1"/>
  <c r="AJ232" i="3"/>
  <c r="AK232" i="3" s="1"/>
  <c r="AJ196" i="3"/>
  <c r="AK196" i="3" s="1"/>
  <c r="AJ610" i="3"/>
  <c r="AK610" i="3" s="1"/>
  <c r="AJ586" i="3"/>
  <c r="AK586" i="3" s="1"/>
  <c r="AJ337" i="3"/>
  <c r="AK337" i="3" s="1"/>
  <c r="AJ313" i="3"/>
  <c r="AK313" i="3" s="1"/>
  <c r="AJ305" i="3"/>
  <c r="AK305" i="3" s="1"/>
  <c r="AJ297" i="3"/>
  <c r="AK297" i="3" s="1"/>
  <c r="AJ285" i="3"/>
  <c r="AK285" i="3" s="1"/>
  <c r="AJ273" i="3"/>
  <c r="AK273" i="3" s="1"/>
  <c r="AJ269" i="3"/>
  <c r="AK269" i="3" s="1"/>
  <c r="AJ265" i="3"/>
  <c r="AK265" i="3" s="1"/>
  <c r="AJ225" i="3"/>
  <c r="AK225" i="3" s="1"/>
  <c r="AJ188" i="3"/>
  <c r="AK188" i="3" s="1"/>
  <c r="AJ181" i="3"/>
  <c r="AK181" i="3" s="1"/>
  <c r="AJ173" i="3"/>
  <c r="AK173" i="3" s="1"/>
  <c r="AJ164" i="3"/>
  <c r="AK164" i="3" s="1"/>
  <c r="AJ158" i="3"/>
  <c r="AK158" i="3" s="1"/>
  <c r="AJ138" i="3"/>
  <c r="AK138" i="3" s="1"/>
  <c r="AJ126" i="3"/>
  <c r="AK126" i="3" s="1"/>
  <c r="AJ122" i="3"/>
  <c r="AK122" i="3" s="1"/>
  <c r="AJ114" i="3"/>
  <c r="AK114" i="3" s="1"/>
  <c r="AJ106" i="3"/>
  <c r="AK106" i="3" s="1"/>
  <c r="AJ102" i="3"/>
  <c r="AK102" i="3" s="1"/>
  <c r="AJ98" i="3"/>
  <c r="AK98" i="3" s="1"/>
  <c r="AJ94" i="3"/>
  <c r="AK94" i="3" s="1"/>
  <c r="AJ78" i="3"/>
  <c r="AK78" i="3" s="1"/>
  <c r="AJ22" i="3"/>
  <c r="AK22" i="3" s="1"/>
  <c r="AJ612" i="3"/>
  <c r="AK612" i="3" s="1"/>
  <c r="AJ234" i="3"/>
  <c r="AK234" i="3" s="1"/>
  <c r="AJ217" i="3"/>
  <c r="AK217" i="3" s="1"/>
  <c r="AJ213" i="3"/>
  <c r="AK213" i="3" s="1"/>
  <c r="AJ194" i="3"/>
  <c r="AK194" i="3" s="1"/>
  <c r="AJ131" i="3"/>
  <c r="AK131" i="3" s="1"/>
  <c r="AJ83" i="3"/>
  <c r="AK83" i="3" s="1"/>
  <c r="AJ71" i="3"/>
  <c r="AK71" i="3" s="1"/>
  <c r="AJ137" i="3"/>
  <c r="AK137" i="3" s="1"/>
  <c r="AJ129" i="3"/>
  <c r="AK129" i="3" s="1"/>
  <c r="AJ121" i="3"/>
  <c r="AK121" i="3" s="1"/>
  <c r="AJ113" i="3"/>
  <c r="AK113" i="3" s="1"/>
  <c r="AJ315" i="3"/>
  <c r="AK315" i="3" s="1"/>
  <c r="AJ307" i="3"/>
  <c r="AK307" i="3" s="1"/>
  <c r="AJ299" i="3"/>
  <c r="AK299" i="3" s="1"/>
  <c r="AJ168" i="3"/>
  <c r="AK168" i="3" s="1"/>
  <c r="AJ152" i="3"/>
  <c r="AK152" i="3" s="1"/>
  <c r="AJ148" i="3"/>
  <c r="AK148" i="3" s="1"/>
  <c r="AJ132" i="3"/>
  <c r="AK132" i="3" s="1"/>
  <c r="AJ124" i="3"/>
  <c r="AK124" i="3" s="1"/>
  <c r="AJ120" i="3"/>
  <c r="AK120" i="3" s="1"/>
  <c r="AJ116" i="3"/>
  <c r="AK116" i="3" s="1"/>
  <c r="AJ84" i="3"/>
  <c r="AK84" i="3" s="1"/>
  <c r="AJ338" i="3"/>
  <c r="AK338" i="3" s="1"/>
  <c r="AJ278" i="3"/>
  <c r="AK278" i="3" s="1"/>
  <c r="AJ178" i="3"/>
  <c r="AK178" i="3" s="1"/>
  <c r="AJ639" i="3"/>
  <c r="AK639" i="3" s="1"/>
  <c r="AJ465" i="3"/>
  <c r="AK465" i="3" s="1"/>
  <c r="AJ344" i="3"/>
  <c r="AK344" i="3" s="1"/>
  <c r="AJ498" i="3"/>
  <c r="AK498" i="3" s="1"/>
  <c r="AJ389" i="3"/>
  <c r="AK389" i="3" s="1"/>
  <c r="AJ620" i="3"/>
  <c r="AK620" i="3" s="1"/>
  <c r="AJ536" i="3"/>
  <c r="AK536" i="3" s="1"/>
  <c r="AJ223" i="3"/>
  <c r="AK223" i="3" s="1"/>
  <c r="AJ294" i="3"/>
  <c r="AK294" i="3" s="1"/>
  <c r="AJ256" i="3"/>
  <c r="AK256" i="3" s="1"/>
  <c r="AJ594" i="3"/>
  <c r="AK594" i="3" s="1"/>
  <c r="AJ249" i="3"/>
  <c r="AK249" i="3" s="1"/>
  <c r="AJ206" i="3"/>
  <c r="AK206" i="3" s="1"/>
  <c r="AJ156" i="3"/>
  <c r="AK156" i="3" s="1"/>
  <c r="AJ92" i="3"/>
  <c r="AK92" i="3" s="1"/>
  <c r="AJ238" i="3"/>
  <c r="AK238" i="3" s="1"/>
  <c r="AJ230" i="3"/>
  <c r="AK230" i="3" s="1"/>
  <c r="R632" i="3"/>
  <c r="S632" i="3" s="1"/>
  <c r="R557" i="3"/>
  <c r="S557" i="3" s="1"/>
  <c r="R438" i="3"/>
  <c r="S438" i="3" s="1"/>
  <c r="R11" i="3"/>
  <c r="S11" i="3" s="1"/>
  <c r="R636" i="3"/>
  <c r="S636" i="3" s="1"/>
  <c r="R573" i="3"/>
  <c r="S573" i="3" s="1"/>
  <c r="R415" i="3"/>
  <c r="S415" i="3" s="1"/>
  <c r="R561" i="3"/>
  <c r="S561" i="3" s="1"/>
  <c r="R442" i="3"/>
  <c r="S442" i="3" s="1"/>
  <c r="R64" i="3"/>
  <c r="S64" i="3" s="1"/>
  <c r="R554" i="3"/>
  <c r="S554" i="3" s="1"/>
  <c r="R540" i="3"/>
  <c r="S540" i="3" s="1"/>
  <c r="R512" i="3"/>
  <c r="S512" i="3" s="1"/>
  <c r="R319" i="3"/>
  <c r="S319" i="3" s="1"/>
  <c r="R507" i="3"/>
  <c r="S507" i="3" s="1"/>
  <c r="R452" i="3"/>
  <c r="S452" i="3" s="1"/>
  <c r="R412" i="3"/>
  <c r="S412" i="3" s="1"/>
  <c r="R385" i="3"/>
  <c r="S385" i="3" s="1"/>
  <c r="R310" i="3"/>
  <c r="S310" i="3" s="1"/>
  <c r="R227" i="3"/>
  <c r="S227" i="3" s="1"/>
  <c r="R219" i="3"/>
  <c r="S219" i="3" s="1"/>
  <c r="R236" i="3"/>
  <c r="S236" i="3" s="1"/>
  <c r="R289" i="3"/>
  <c r="S289" i="3" s="1"/>
  <c r="R25" i="3"/>
  <c r="S25" i="3" s="1"/>
  <c r="R200" i="3"/>
  <c r="S200" i="3" s="1"/>
  <c r="R88" i="3"/>
  <c r="S88" i="3" s="1"/>
  <c r="AJ627" i="3"/>
  <c r="AK627" i="3" s="1"/>
  <c r="AJ551" i="3"/>
  <c r="AK551" i="3" s="1"/>
  <c r="AJ525" i="3"/>
  <c r="AK525" i="3" s="1"/>
  <c r="AJ473" i="3"/>
  <c r="AK473" i="3" s="1"/>
  <c r="AJ460" i="3"/>
  <c r="AK460" i="3" s="1"/>
  <c r="AJ432" i="3"/>
  <c r="AK432" i="3" s="1"/>
  <c r="AJ424" i="3"/>
  <c r="AK424" i="3" s="1"/>
  <c r="AJ376" i="3"/>
  <c r="AK376" i="3" s="1"/>
  <c r="AJ368" i="3"/>
  <c r="AK368" i="3" s="1"/>
  <c r="AJ490" i="3"/>
  <c r="AK490" i="3" s="1"/>
  <c r="AJ461" i="3"/>
  <c r="AK461" i="3" s="1"/>
  <c r="AJ409" i="3"/>
  <c r="AK409" i="3" s="1"/>
  <c r="AJ544" i="3"/>
  <c r="AK544" i="3" s="1"/>
  <c r="AJ382" i="3"/>
  <c r="AK382" i="3" s="1"/>
  <c r="AJ403" i="3"/>
  <c r="AK403" i="3" s="1"/>
  <c r="AJ326" i="3"/>
  <c r="AK326" i="3" s="1"/>
  <c r="AJ419" i="3"/>
  <c r="AK419" i="3" s="1"/>
  <c r="AJ40" i="3"/>
  <c r="AK40" i="3" s="1"/>
  <c r="AJ5" i="3"/>
  <c r="AK5" i="3" s="1"/>
  <c r="AJ56" i="3"/>
  <c r="AK56" i="3" s="1"/>
  <c r="AJ48" i="3"/>
  <c r="AK48" i="3" s="1"/>
  <c r="AJ599" i="3"/>
  <c r="AK599" i="3" s="1"/>
  <c r="AJ555" i="3"/>
  <c r="AK555" i="3" s="1"/>
  <c r="AJ493" i="3"/>
  <c r="AK493" i="3" s="1"/>
  <c r="AJ479" i="3"/>
  <c r="AK479" i="3" s="1"/>
  <c r="AJ436" i="3"/>
  <c r="AK436" i="3" s="1"/>
  <c r="AJ428" i="3"/>
  <c r="AK428" i="3" s="1"/>
  <c r="AJ312" i="3"/>
  <c r="AK312" i="3" s="1"/>
  <c r="AJ453" i="3"/>
  <c r="AK453" i="3" s="1"/>
  <c r="AJ429" i="3"/>
  <c r="AK429" i="3" s="1"/>
  <c r="AJ413" i="3"/>
  <c r="AK413" i="3" s="1"/>
  <c r="AJ393" i="3"/>
  <c r="AK393" i="3" s="1"/>
  <c r="AJ484" i="3"/>
  <c r="AK484" i="3" s="1"/>
  <c r="AJ468" i="3"/>
  <c r="AK468" i="3" s="1"/>
  <c r="AJ454" i="3"/>
  <c r="AK454" i="3" s="1"/>
  <c r="AJ435" i="3"/>
  <c r="AK435" i="3" s="1"/>
  <c r="AJ399" i="3"/>
  <c r="AK399" i="3" s="1"/>
  <c r="AJ386" i="3"/>
  <c r="AK386" i="3" s="1"/>
  <c r="AJ379" i="3"/>
  <c r="AK379" i="3" s="1"/>
  <c r="AJ357" i="3"/>
  <c r="AK357" i="3" s="1"/>
  <c r="AJ349" i="3"/>
  <c r="AK349" i="3" s="1"/>
  <c r="AJ341" i="3"/>
  <c r="AK341" i="3" s="1"/>
  <c r="AJ203" i="3"/>
  <c r="AK203" i="3" s="1"/>
  <c r="AJ175" i="3"/>
  <c r="AK175" i="3" s="1"/>
  <c r="AJ630" i="3"/>
  <c r="AK630" i="3" s="1"/>
  <c r="AJ463" i="3"/>
  <c r="AK463" i="3" s="1"/>
  <c r="AJ406" i="3"/>
  <c r="AK406" i="3" s="1"/>
  <c r="AJ303" i="3"/>
  <c r="AK303" i="3" s="1"/>
  <c r="AJ264" i="3"/>
  <c r="AK264" i="3" s="1"/>
  <c r="AJ228" i="3"/>
  <c r="AK228" i="3" s="1"/>
  <c r="AJ220" i="3"/>
  <c r="AK220" i="3" s="1"/>
  <c r="AJ208" i="3"/>
  <c r="AK208" i="3" s="1"/>
  <c r="AJ422" i="3"/>
  <c r="AK422" i="3" s="1"/>
  <c r="AJ363" i="3"/>
  <c r="AK363" i="3" s="1"/>
  <c r="AJ277" i="3"/>
  <c r="AK277" i="3" s="1"/>
  <c r="AJ261" i="3"/>
  <c r="AK261" i="3" s="1"/>
  <c r="AJ189" i="3"/>
  <c r="AK189" i="3" s="1"/>
  <c r="AJ180" i="3"/>
  <c r="AK180" i="3" s="1"/>
  <c r="AJ165" i="3"/>
  <c r="AK165" i="3" s="1"/>
  <c r="AJ154" i="3"/>
  <c r="AK154" i="3" s="1"/>
  <c r="AJ142" i="3"/>
  <c r="AK142" i="3" s="1"/>
  <c r="AJ130" i="3"/>
  <c r="AK130" i="3" s="1"/>
  <c r="AJ118" i="3"/>
  <c r="AK118" i="3" s="1"/>
  <c r="AJ90" i="3"/>
  <c r="AK90" i="3" s="1"/>
  <c r="AJ74" i="3"/>
  <c r="AK74" i="3" s="1"/>
  <c r="AJ26" i="3"/>
  <c r="AK26" i="3" s="1"/>
  <c r="AJ426" i="3"/>
  <c r="AK426" i="3" s="1"/>
  <c r="AJ258" i="3"/>
  <c r="AK258" i="3" s="1"/>
  <c r="AJ202" i="3"/>
  <c r="AK202" i="3" s="1"/>
  <c r="AJ201" i="3"/>
  <c r="AK201" i="3" s="1"/>
  <c r="AJ159" i="3"/>
  <c r="AK159" i="3" s="1"/>
  <c r="AJ143" i="3"/>
  <c r="AK143" i="3" s="1"/>
  <c r="AJ103" i="3"/>
  <c r="AK103" i="3" s="1"/>
  <c r="AJ95" i="3"/>
  <c r="AK95" i="3" s="1"/>
  <c r="AJ79" i="3"/>
  <c r="AK79" i="3" s="1"/>
  <c r="AJ59" i="3"/>
  <c r="AK59" i="3" s="1"/>
  <c r="AJ51" i="3"/>
  <c r="AK51" i="3" s="1"/>
  <c r="AJ43" i="3"/>
  <c r="AK43" i="3" s="1"/>
  <c r="AJ27" i="3"/>
  <c r="AK27" i="3" s="1"/>
  <c r="AJ89" i="3"/>
  <c r="AK89" i="3" s="1"/>
  <c r="AJ37" i="3"/>
  <c r="AK37" i="3" s="1"/>
  <c r="AJ17" i="3"/>
  <c r="AK17" i="3" s="1"/>
  <c r="AJ9" i="3"/>
  <c r="AK9" i="3" s="1"/>
  <c r="AJ494" i="3"/>
  <c r="AK494" i="3" s="1"/>
  <c r="AJ306" i="3"/>
  <c r="AK306" i="3" s="1"/>
  <c r="AJ298" i="3"/>
  <c r="AK298" i="3" s="1"/>
  <c r="AJ291" i="3"/>
  <c r="AK291" i="3" s="1"/>
  <c r="AJ290" i="3"/>
  <c r="AK290" i="3" s="1"/>
  <c r="AJ112" i="3"/>
  <c r="AK112" i="3" s="1"/>
  <c r="AJ108" i="3"/>
  <c r="AK108" i="3" s="1"/>
  <c r="AJ100" i="3"/>
  <c r="AK100" i="3" s="1"/>
  <c r="AJ371" i="3"/>
  <c r="AK371" i="3" s="1"/>
  <c r="AJ331" i="3"/>
  <c r="AK331" i="3" s="1"/>
  <c r="AJ330" i="3"/>
  <c r="AK330" i="3" s="1"/>
  <c r="AJ254" i="3"/>
  <c r="AK254" i="3" s="1"/>
  <c r="AJ246" i="3"/>
  <c r="AK246" i="3" s="1"/>
  <c r="AJ632" i="3"/>
  <c r="AK632" i="3" s="1"/>
  <c r="AJ557" i="3"/>
  <c r="AK557" i="3" s="1"/>
  <c r="AJ438" i="3"/>
  <c r="AK438" i="3" s="1"/>
  <c r="AJ11" i="3"/>
  <c r="AK11" i="3" s="1"/>
  <c r="AJ607" i="3"/>
  <c r="AK607" i="3" s="1"/>
  <c r="AJ592" i="3"/>
  <c r="AK592" i="3" s="1"/>
  <c r="AJ582" i="3"/>
  <c r="AK582" i="3" s="1"/>
  <c r="AJ545" i="3"/>
  <c r="AK545" i="3" s="1"/>
  <c r="AJ529" i="3"/>
  <c r="AK529" i="3" s="1"/>
  <c r="AJ513" i="3"/>
  <c r="AK513" i="3" s="1"/>
  <c r="AJ501" i="3"/>
  <c r="AK501" i="3" s="1"/>
  <c r="AJ485" i="3"/>
  <c r="AK485" i="3" s="1"/>
  <c r="AJ469" i="3"/>
  <c r="AK469" i="3" s="1"/>
  <c r="AJ588" i="3"/>
  <c r="AK588" i="3" s="1"/>
  <c r="AJ496" i="3"/>
  <c r="AK496" i="3" s="1"/>
  <c r="AJ495" i="3"/>
  <c r="AK495" i="3" s="1"/>
  <c r="AJ480" i="3"/>
  <c r="AK480" i="3" s="1"/>
  <c r="AJ464" i="3"/>
  <c r="AK464" i="3" s="1"/>
  <c r="AJ400" i="3"/>
  <c r="AK400" i="3" s="1"/>
  <c r="AJ380" i="3"/>
  <c r="AK380" i="3" s="1"/>
  <c r="AJ372" i="3"/>
  <c r="AK372" i="3" s="1"/>
  <c r="AJ364" i="3"/>
  <c r="AK364" i="3" s="1"/>
  <c r="AJ332" i="3"/>
  <c r="AK332" i="3" s="1"/>
  <c r="AJ292" i="3"/>
  <c r="AK292" i="3" s="1"/>
  <c r="AJ631" i="3"/>
  <c r="AK631" i="3" s="1"/>
  <c r="AJ556" i="3"/>
  <c r="AK556" i="3" s="1"/>
  <c r="AJ534" i="3"/>
  <c r="AK534" i="3" s="1"/>
  <c r="AJ437" i="3"/>
  <c r="AK437" i="3" s="1"/>
  <c r="AJ475" i="3"/>
  <c r="AK475" i="3" s="1"/>
  <c r="AJ541" i="3"/>
  <c r="AK541" i="3" s="1"/>
  <c r="AJ455" i="3"/>
  <c r="AK455" i="3" s="1"/>
  <c r="AJ394" i="3"/>
  <c r="AK394" i="3" s="1"/>
  <c r="AJ390" i="3"/>
  <c r="AK390" i="3" s="1"/>
  <c r="AJ387" i="3"/>
  <c r="AK387" i="3" s="1"/>
  <c r="AJ271" i="3"/>
  <c r="AK271" i="3" s="1"/>
  <c r="AJ259" i="3"/>
  <c r="AK259" i="3" s="1"/>
  <c r="AJ255" i="3"/>
  <c r="AK255" i="3" s="1"/>
  <c r="AJ247" i="3"/>
  <c r="AK247" i="3" s="1"/>
  <c r="AJ215" i="3"/>
  <c r="AK215" i="3" s="1"/>
  <c r="AJ570" i="3"/>
  <c r="AK570" i="3" s="1"/>
  <c r="AJ414" i="3"/>
  <c r="AK414" i="3" s="1"/>
  <c r="AJ407" i="3"/>
  <c r="AK407" i="3" s="1"/>
  <c r="AJ350" i="3"/>
  <c r="AK350" i="3" s="1"/>
  <c r="AJ342" i="3"/>
  <c r="AK342" i="3" s="1"/>
  <c r="AJ240" i="3"/>
  <c r="AK240" i="3" s="1"/>
  <c r="AJ204" i="3"/>
  <c r="AK204" i="3" s="1"/>
  <c r="AJ423" i="3"/>
  <c r="AK423" i="3" s="1"/>
  <c r="AJ358" i="3"/>
  <c r="AK358" i="3" s="1"/>
  <c r="AJ257" i="3"/>
  <c r="AK257" i="3" s="1"/>
  <c r="AJ237" i="3"/>
  <c r="AK237" i="3" s="1"/>
  <c r="AJ233" i="3"/>
  <c r="AK233" i="3" s="1"/>
  <c r="AJ229" i="3"/>
  <c r="AK229" i="3" s="1"/>
  <c r="AJ221" i="3"/>
  <c r="AK221" i="3" s="1"/>
  <c r="AJ110" i="3"/>
  <c r="AK110" i="3" s="1"/>
  <c r="AJ38" i="3"/>
  <c r="AK38" i="3" s="1"/>
  <c r="AJ18" i="3"/>
  <c r="AK18" i="3" s="1"/>
  <c r="AJ10" i="3"/>
  <c r="AK10" i="3" s="1"/>
  <c r="AJ522" i="3"/>
  <c r="AK522" i="3" s="1"/>
  <c r="AJ430" i="3"/>
  <c r="AK430" i="3" s="1"/>
  <c r="AJ274" i="3"/>
  <c r="AK274" i="3" s="1"/>
  <c r="AJ266" i="3"/>
  <c r="AK266" i="3" s="1"/>
  <c r="AJ210" i="3"/>
  <c r="AK210" i="3" s="1"/>
  <c r="AJ209" i="3"/>
  <c r="AK209" i="3" s="1"/>
  <c r="AJ205" i="3"/>
  <c r="AK205" i="3" s="1"/>
  <c r="AJ190" i="3"/>
  <c r="AK190" i="3" s="1"/>
  <c r="AJ166" i="3"/>
  <c r="AK166" i="3" s="1"/>
  <c r="AJ155" i="3"/>
  <c r="AK155" i="3" s="1"/>
  <c r="AJ127" i="3"/>
  <c r="AK127" i="3" s="1"/>
  <c r="AJ123" i="3"/>
  <c r="AK123" i="3" s="1"/>
  <c r="AJ119" i="3"/>
  <c r="AK119" i="3" s="1"/>
  <c r="AJ91" i="3"/>
  <c r="AK91" i="3" s="1"/>
  <c r="AJ75" i="3"/>
  <c r="AK75" i="3" s="1"/>
  <c r="AJ31" i="3"/>
  <c r="AK31" i="3" s="1"/>
  <c r="AJ44" i="3"/>
  <c r="AK44" i="3" s="1"/>
  <c r="AJ149" i="3"/>
  <c r="AK149" i="3" s="1"/>
  <c r="AJ145" i="3"/>
  <c r="AK145" i="3" s="1"/>
  <c r="AJ101" i="3"/>
  <c r="AK101" i="3" s="1"/>
  <c r="AJ314" i="3"/>
  <c r="AK314" i="3" s="1"/>
  <c r="AJ185" i="3"/>
  <c r="AK185" i="3" s="1"/>
  <c r="AJ176" i="3"/>
  <c r="AK176" i="3" s="1"/>
  <c r="AJ160" i="3"/>
  <c r="AK160" i="3" s="1"/>
  <c r="AJ144" i="3"/>
  <c r="AK144" i="3" s="1"/>
  <c r="AJ104" i="3"/>
  <c r="AK104" i="3" s="1"/>
  <c r="AJ96" i="3"/>
  <c r="AK96" i="3" s="1"/>
  <c r="AJ80" i="3"/>
  <c r="AK80" i="3" s="1"/>
  <c r="AJ76" i="3"/>
  <c r="AK76" i="3" s="1"/>
  <c r="AJ60" i="3"/>
  <c r="AK60" i="3" s="1"/>
  <c r="AJ52" i="3"/>
  <c r="AK52" i="3" s="1"/>
  <c r="AJ28" i="3"/>
  <c r="AK28" i="3" s="1"/>
  <c r="AJ270" i="3"/>
  <c r="AK270" i="3" s="1"/>
  <c r="AJ262" i="3"/>
  <c r="AK262" i="3" s="1"/>
  <c r="AJ170" i="3"/>
  <c r="AK170" i="3" s="1"/>
  <c r="AJ125" i="3"/>
  <c r="AK125" i="3" s="1"/>
  <c r="AJ109" i="3"/>
  <c r="AK109" i="3" s="1"/>
  <c r="AJ105" i="3"/>
  <c r="AK105" i="3" s="1"/>
  <c r="R620" i="3"/>
  <c r="S620" i="3" s="1"/>
  <c r="R594" i="3"/>
  <c r="S594" i="3" s="1"/>
  <c r="R536" i="3"/>
  <c r="S536" i="3" s="1"/>
  <c r="R498" i="3"/>
  <c r="S498" i="3" s="1"/>
  <c r="R639" i="3"/>
  <c r="S639" i="3" s="1"/>
  <c r="R389" i="3"/>
  <c r="S389" i="3" s="1"/>
  <c r="R344" i="3"/>
  <c r="S344" i="3" s="1"/>
  <c r="R294" i="3"/>
  <c r="S294" i="3" s="1"/>
  <c r="R238" i="3"/>
  <c r="S238" i="3" s="1"/>
  <c r="R230" i="3"/>
  <c r="S230" i="3" s="1"/>
  <c r="R206" i="3"/>
  <c r="S206" i="3" s="1"/>
  <c r="R223" i="3"/>
  <c r="S223" i="3" s="1"/>
  <c r="R465" i="3"/>
  <c r="S465" i="3" s="1"/>
  <c r="R256" i="3"/>
  <c r="S256" i="3" s="1"/>
  <c r="R249" i="3"/>
  <c r="S249" i="3" s="1"/>
  <c r="R156" i="3"/>
  <c r="S156" i="3" s="1"/>
  <c r="R92" i="3"/>
  <c r="S92" i="3" s="1"/>
  <c r="AJ573" i="3"/>
  <c r="AK573" i="3" s="1"/>
  <c r="AJ561" i="3"/>
  <c r="AK561" i="3" s="1"/>
  <c r="AJ636" i="3"/>
  <c r="AK636" i="3" s="1"/>
  <c r="AJ442" i="3"/>
  <c r="AK442" i="3" s="1"/>
  <c r="AJ415" i="3"/>
  <c r="AK415" i="3" s="1"/>
  <c r="AJ64" i="3"/>
  <c r="AK64" i="3" s="1"/>
  <c r="AJ625" i="3"/>
  <c r="AK625" i="3" s="1"/>
  <c r="AJ584" i="3"/>
  <c r="AK584" i="3" s="1"/>
  <c r="AJ578" i="3"/>
  <c r="AK578" i="3" s="1"/>
  <c r="AI671" i="3"/>
  <c r="AJ616" i="3"/>
  <c r="AK616" i="3" s="1"/>
  <c r="AJ531" i="3"/>
  <c r="AK531" i="3" s="1"/>
  <c r="AJ487" i="3"/>
  <c r="AK487" i="3" s="1"/>
  <c r="AJ352" i="3"/>
  <c r="AK352" i="3" s="1"/>
  <c r="AJ518" i="3"/>
  <c r="AK518" i="3" s="1"/>
  <c r="AJ466" i="3"/>
  <c r="AK466" i="3" s="1"/>
  <c r="AJ457" i="3"/>
  <c r="AK457" i="3" s="1"/>
  <c r="AJ401" i="3"/>
  <c r="AK401" i="3" s="1"/>
  <c r="AJ596" i="3"/>
  <c r="AK596" i="3" s="1"/>
  <c r="AJ615" i="3"/>
  <c r="AK615" i="3" s="1"/>
  <c r="AJ446" i="3"/>
  <c r="AK446" i="3" s="1"/>
  <c r="AJ395" i="3"/>
  <c r="AK395" i="3" s="1"/>
  <c r="AJ333" i="3"/>
  <c r="AK333" i="3" s="1"/>
  <c r="AJ191" i="3"/>
  <c r="AK191" i="3" s="1"/>
  <c r="AJ171" i="3"/>
  <c r="AK171" i="3" s="1"/>
  <c r="AJ486" i="3"/>
  <c r="AK486" i="3" s="1"/>
  <c r="AJ366" i="3"/>
  <c r="AK366" i="3" s="1"/>
  <c r="AJ353" i="3"/>
  <c r="AK353" i="3" s="1"/>
  <c r="AJ345" i="3"/>
  <c r="AK345" i="3" s="1"/>
  <c r="AJ281" i="3"/>
  <c r="AK281" i="3" s="1"/>
  <c r="AJ241" i="3"/>
  <c r="AK241" i="3" s="1"/>
  <c r="AJ150" i="3"/>
  <c r="AK150" i="3" s="1"/>
  <c r="AJ134" i="3"/>
  <c r="AK134" i="3" s="1"/>
  <c r="AJ46" i="3"/>
  <c r="AK46" i="3" s="1"/>
  <c r="AJ604" i="3"/>
  <c r="AK604" i="3" s="1"/>
  <c r="AJ250" i="3"/>
  <c r="AK250" i="3" s="1"/>
  <c r="AJ182" i="3"/>
  <c r="AK182" i="3" s="1"/>
  <c r="AJ147" i="3"/>
  <c r="AK147" i="3" s="1"/>
  <c r="AJ115" i="3"/>
  <c r="AK115" i="3" s="1"/>
  <c r="AJ111" i="3"/>
  <c r="AK111" i="3" s="1"/>
  <c r="AJ157" i="3"/>
  <c r="AK157" i="3" s="1"/>
  <c r="AJ133" i="3"/>
  <c r="AK133" i="3" s="1"/>
  <c r="AJ97" i="3"/>
  <c r="AK97" i="3" s="1"/>
  <c r="AJ81" i="3"/>
  <c r="AK81" i="3" s="1"/>
  <c r="AJ77" i="3"/>
  <c r="AK77" i="3" s="1"/>
  <c r="AJ53" i="3"/>
  <c r="AK53" i="3" s="1"/>
  <c r="AJ374" i="3"/>
  <c r="AK374" i="3" s="1"/>
  <c r="AJ192" i="3"/>
  <c r="AK192" i="3" s="1"/>
  <c r="AJ161" i="3"/>
  <c r="AK161" i="3" s="1"/>
  <c r="AJ128" i="3"/>
  <c r="AK128" i="3" s="1"/>
  <c r="AJ68" i="3"/>
  <c r="AK68" i="3" s="1"/>
  <c r="AJ20" i="3"/>
  <c r="AK20" i="3" s="1"/>
  <c r="AJ4" i="3"/>
  <c r="AK4" i="3" s="1"/>
  <c r="AJ323" i="3"/>
  <c r="AK323" i="3" s="1"/>
  <c r="AJ322" i="3"/>
  <c r="AK322" i="3" s="1"/>
  <c r="AJ186" i="3"/>
  <c r="AK186" i="3" s="1"/>
  <c r="AJ93" i="3"/>
  <c r="AK93" i="3" s="1"/>
  <c r="AJ33" i="3"/>
  <c r="AK33" i="3" s="1"/>
  <c r="R560" i="3"/>
  <c r="S560" i="3" s="1"/>
  <c r="R635" i="3"/>
  <c r="S635" i="3" s="1"/>
  <c r="R441" i="3"/>
  <c r="S441" i="3" s="1"/>
  <c r="R63" i="3"/>
  <c r="S63" i="3" s="1"/>
  <c r="T198" i="4"/>
  <c r="U178" i="4"/>
  <c r="V178" i="4" s="1"/>
  <c r="U180" i="4"/>
  <c r="V180" i="4" s="1"/>
  <c r="U177" i="4"/>
  <c r="V177" i="4" s="1"/>
  <c r="U176" i="4"/>
  <c r="V176" i="4" s="1"/>
  <c r="U175" i="4"/>
  <c r="V175" i="4" s="1"/>
  <c r="U174" i="4"/>
  <c r="V174" i="4" s="1"/>
  <c r="U173" i="4"/>
  <c r="V173" i="4" s="1"/>
  <c r="U172" i="4"/>
  <c r="V172" i="4" s="1"/>
  <c r="U171" i="4"/>
  <c r="V171" i="4" s="1"/>
  <c r="U170" i="4"/>
  <c r="V170" i="4" s="1"/>
  <c r="U169" i="4"/>
  <c r="V169" i="4" s="1"/>
  <c r="U168" i="4"/>
  <c r="V168" i="4" s="1"/>
  <c r="U167" i="4"/>
  <c r="V167" i="4" s="1"/>
  <c r="U184" i="4"/>
  <c r="V184" i="4" s="1"/>
  <c r="U165" i="4"/>
  <c r="V165" i="4" s="1"/>
  <c r="U163" i="4"/>
  <c r="V163" i="4" s="1"/>
  <c r="U162" i="4"/>
  <c r="V162" i="4" s="1"/>
  <c r="U156" i="4"/>
  <c r="V156" i="4" s="1"/>
  <c r="U183" i="4"/>
  <c r="V183" i="4" s="1"/>
  <c r="U179" i="4"/>
  <c r="V179" i="4" s="1"/>
  <c r="U181" i="4"/>
  <c r="V181" i="4" s="1"/>
  <c r="U182" i="4"/>
  <c r="V182" i="4" s="1"/>
  <c r="U150" i="4"/>
  <c r="V150" i="4" s="1"/>
  <c r="U185" i="4"/>
  <c r="V185" i="4" s="1"/>
  <c r="U147" i="4"/>
  <c r="V147" i="4" s="1"/>
  <c r="U189" i="4"/>
  <c r="V189" i="4" s="1"/>
  <c r="U186" i="4"/>
  <c r="V186" i="4" s="1"/>
  <c r="U131" i="4"/>
  <c r="V131" i="4" s="1"/>
  <c r="U106" i="4"/>
  <c r="V106" i="4" s="1"/>
  <c r="U146" i="4"/>
  <c r="V146" i="4" s="1"/>
  <c r="U140" i="4"/>
  <c r="V140" i="4" s="1"/>
  <c r="U103" i="4"/>
  <c r="V103" i="4" s="1"/>
  <c r="U64" i="4"/>
  <c r="V64" i="4" s="1"/>
  <c r="U62" i="4"/>
  <c r="V62" i="4" s="1"/>
  <c r="U60" i="4"/>
  <c r="V60" i="4" s="1"/>
  <c r="U58" i="4"/>
  <c r="V58" i="4" s="1"/>
  <c r="U54" i="4"/>
  <c r="V54" i="4" s="1"/>
  <c r="U46" i="4"/>
  <c r="V46" i="4" s="1"/>
  <c r="U128" i="4"/>
  <c r="V128" i="4" s="1"/>
  <c r="U127" i="4"/>
  <c r="V127" i="4" s="1"/>
  <c r="U108" i="4"/>
  <c r="V108" i="4" s="1"/>
  <c r="U91" i="4"/>
  <c r="V91" i="4" s="1"/>
  <c r="U81" i="4"/>
  <c r="V81" i="4" s="1"/>
  <c r="U79" i="4"/>
  <c r="V79" i="4" s="1"/>
  <c r="U77" i="4"/>
  <c r="V77" i="4" s="1"/>
  <c r="U75" i="4"/>
  <c r="V75" i="4" s="1"/>
  <c r="U73" i="4"/>
  <c r="V73" i="4" s="1"/>
  <c r="U71" i="4"/>
  <c r="V71" i="4" s="1"/>
  <c r="U69" i="4"/>
  <c r="V69" i="4" s="1"/>
  <c r="U55" i="4"/>
  <c r="V55" i="4" s="1"/>
  <c r="U51" i="4"/>
  <c r="V51" i="4" s="1"/>
  <c r="U47" i="4"/>
  <c r="V47" i="4" s="1"/>
  <c r="U65" i="4"/>
  <c r="V65" i="4" s="1"/>
  <c r="U63" i="4"/>
  <c r="V63" i="4" s="1"/>
  <c r="U61" i="4"/>
  <c r="V61" i="4" s="1"/>
  <c r="U59" i="4"/>
  <c r="V59" i="4" s="1"/>
  <c r="U56" i="4"/>
  <c r="V56" i="4" s="1"/>
  <c r="U48" i="4"/>
  <c r="V48" i="4" s="1"/>
  <c r="U39" i="4"/>
  <c r="V39" i="4" s="1"/>
  <c r="U24" i="4"/>
  <c r="V24" i="4" s="1"/>
  <c r="U22" i="4"/>
  <c r="V22" i="4" s="1"/>
  <c r="U18" i="4"/>
  <c r="V18" i="4" s="1"/>
  <c r="U14" i="4"/>
  <c r="V14" i="4" s="1"/>
  <c r="U82" i="4"/>
  <c r="V82" i="4" s="1"/>
  <c r="U78" i="4"/>
  <c r="V78" i="4" s="1"/>
  <c r="U74" i="4"/>
  <c r="V74" i="4" s="1"/>
  <c r="U70" i="4"/>
  <c r="V70" i="4" s="1"/>
  <c r="U57" i="4"/>
  <c r="V57" i="4" s="1"/>
  <c r="U45" i="4"/>
  <c r="V45" i="4" s="1"/>
  <c r="U38" i="4"/>
  <c r="V38" i="4" s="1"/>
  <c r="U35" i="4"/>
  <c r="V35" i="4" s="1"/>
  <c r="U33" i="4"/>
  <c r="V33" i="4" s="1"/>
  <c r="U31" i="4"/>
  <c r="V31" i="4" s="1"/>
  <c r="U29" i="4"/>
  <c r="V29" i="4" s="1"/>
  <c r="U19" i="4"/>
  <c r="V19" i="4" s="1"/>
  <c r="U15" i="4"/>
  <c r="V15" i="4" s="1"/>
  <c r="U44" i="4"/>
  <c r="V44" i="4" s="1"/>
  <c r="U37" i="4"/>
  <c r="V37" i="4" s="1"/>
  <c r="U25" i="4"/>
  <c r="V25" i="4" s="1"/>
  <c r="U23" i="4"/>
  <c r="V23" i="4" s="1"/>
  <c r="U20" i="4"/>
  <c r="V20" i="4" s="1"/>
  <c r="U76" i="4"/>
  <c r="V76" i="4" s="1"/>
  <c r="U68" i="4"/>
  <c r="V68" i="4" s="1"/>
  <c r="U40" i="4"/>
  <c r="V40" i="4" s="1"/>
  <c r="U36" i="4"/>
  <c r="V36" i="4" s="1"/>
  <c r="U32" i="4"/>
  <c r="V32" i="4" s="1"/>
  <c r="U28" i="4"/>
  <c r="V28" i="4" s="1"/>
  <c r="U21" i="4"/>
  <c r="V21" i="4" s="1"/>
  <c r="U80" i="4"/>
  <c r="V80" i="4" s="1"/>
  <c r="U53" i="4"/>
  <c r="V53" i="4" s="1"/>
  <c r="U43" i="4"/>
  <c r="V43" i="4" s="1"/>
  <c r="U34" i="4"/>
  <c r="V34" i="4" s="1"/>
  <c r="U72" i="4"/>
  <c r="V72" i="4" s="1"/>
  <c r="U30" i="4"/>
  <c r="V30" i="4" s="1"/>
  <c r="R628" i="3"/>
  <c r="S628" i="3" s="1"/>
  <c r="R580" i="3"/>
  <c r="S580" i="3" s="1"/>
  <c r="R568" i="3"/>
  <c r="S568" i="3" s="1"/>
  <c r="R538" i="3"/>
  <c r="S538" i="3" s="1"/>
  <c r="R618" i="3"/>
  <c r="S618" i="3" s="1"/>
  <c r="R548" i="3"/>
  <c r="S548" i="3" s="1"/>
  <c r="R528" i="3"/>
  <c r="S528" i="3" s="1"/>
  <c r="R520" i="3"/>
  <c r="S520" i="3" s="1"/>
  <c r="R504" i="3"/>
  <c r="S504" i="3" s="1"/>
  <c r="R500" i="3"/>
  <c r="S500" i="3" s="1"/>
  <c r="R482" i="3"/>
  <c r="S482" i="3" s="1"/>
  <c r="R383" i="3"/>
  <c r="S383" i="3" s="1"/>
  <c r="R355" i="3"/>
  <c r="S355" i="3" s="1"/>
  <c r="R347" i="3"/>
  <c r="S347" i="3" s="1"/>
  <c r="R339" i="3"/>
  <c r="S339" i="3" s="1"/>
  <c r="R327" i="3"/>
  <c r="S327" i="3" s="1"/>
  <c r="R552" i="3"/>
  <c r="S552" i="3" s="1"/>
  <c r="R467" i="3"/>
  <c r="S467" i="3" s="1"/>
  <c r="R420" i="3"/>
  <c r="S420" i="3" s="1"/>
  <c r="R404" i="3"/>
  <c r="S404" i="3" s="1"/>
  <c r="R392" i="3"/>
  <c r="S392" i="3" s="1"/>
  <c r="R510" i="3"/>
  <c r="S510" i="3" s="1"/>
  <c r="R478" i="3"/>
  <c r="S478" i="3" s="1"/>
  <c r="R533" i="3"/>
  <c r="S533" i="3" s="1"/>
  <c r="R449" i="3"/>
  <c r="S449" i="3" s="1"/>
  <c r="R433" i="3"/>
  <c r="S433" i="3" s="1"/>
  <c r="R397" i="3"/>
  <c r="S397" i="3" s="1"/>
  <c r="R377" i="3"/>
  <c r="S377" i="3" s="1"/>
  <c r="R302" i="3"/>
  <c r="S302" i="3" s="1"/>
  <c r="R286" i="3"/>
  <c r="S286" i="3" s="1"/>
  <c r="R198" i="3"/>
  <c r="S198" i="3" s="1"/>
  <c r="R410" i="3"/>
  <c r="S410" i="3" s="1"/>
  <c r="R361" i="3"/>
  <c r="S361" i="3" s="1"/>
  <c r="R252" i="3"/>
  <c r="S252" i="3" s="1"/>
  <c r="R244" i="3"/>
  <c r="S244" i="3" s="1"/>
  <c r="R153" i="3"/>
  <c r="S153" i="3" s="1"/>
  <c r="R85" i="3"/>
  <c r="S85" i="3" s="1"/>
  <c r="R57" i="3"/>
  <c r="S57" i="3" s="1"/>
  <c r="R49" i="3"/>
  <c r="S49" i="3" s="1"/>
  <c r="R41" i="3"/>
  <c r="S41" i="3" s="1"/>
  <c r="R184" i="3"/>
  <c r="S184" i="3" s="1"/>
  <c r="R30" i="3"/>
  <c r="S30" i="3" s="1"/>
  <c r="R35" i="3"/>
  <c r="S35" i="3" s="1"/>
  <c r="R7" i="3"/>
  <c r="S7" i="3" s="1"/>
  <c r="R369" i="3"/>
  <c r="S369" i="3" s="1"/>
  <c r="R197" i="3"/>
  <c r="S197" i="3" s="1"/>
  <c r="R139" i="3"/>
  <c r="S139" i="3" s="1"/>
  <c r="R23" i="3"/>
  <c r="S23" i="3" s="1"/>
  <c r="R15" i="3"/>
  <c r="S15" i="3" s="1"/>
  <c r="R517" i="3"/>
  <c r="S517" i="3" s="1"/>
  <c r="R574" i="3"/>
  <c r="S574" i="3" s="1"/>
  <c r="R562" i="3"/>
  <c r="S562" i="3" s="1"/>
  <c r="R443" i="3"/>
  <c r="S443" i="3" s="1"/>
  <c r="R65" i="3"/>
  <c r="S65" i="3" s="1"/>
  <c r="R373" i="3"/>
  <c r="S373" i="3" s="1"/>
  <c r="AJ633" i="3"/>
  <c r="AK633" i="3" s="1"/>
  <c r="AJ571" i="3"/>
  <c r="AK571" i="3" s="1"/>
  <c r="AJ558" i="3"/>
  <c r="AK558" i="3" s="1"/>
  <c r="AJ439" i="3"/>
  <c r="AK439" i="3" s="1"/>
  <c r="AJ549" i="3"/>
  <c r="AK549" i="3" s="1"/>
  <c r="AJ61" i="3"/>
  <c r="AK61" i="3" s="1"/>
  <c r="R616" i="3"/>
  <c r="S616" i="3" s="1"/>
  <c r="R604" i="3"/>
  <c r="S604" i="3" s="1"/>
  <c r="R596" i="3"/>
  <c r="S596" i="3" s="1"/>
  <c r="R584" i="3"/>
  <c r="S584" i="3" s="1"/>
  <c r="R615" i="3"/>
  <c r="S615" i="3" s="1"/>
  <c r="R578" i="3"/>
  <c r="S578" i="3" s="1"/>
  <c r="R625" i="3"/>
  <c r="S625" i="3" s="1"/>
  <c r="R518" i="3"/>
  <c r="S518" i="3" s="1"/>
  <c r="R466" i="3"/>
  <c r="S466" i="3" s="1"/>
  <c r="R395" i="3"/>
  <c r="S395" i="3" s="1"/>
  <c r="R323" i="3"/>
  <c r="S323" i="3" s="1"/>
  <c r="R486" i="3"/>
  <c r="S486" i="3" s="1"/>
  <c r="R531" i="3"/>
  <c r="S531" i="3" s="1"/>
  <c r="R457" i="3"/>
  <c r="S457" i="3" s="1"/>
  <c r="R401" i="3"/>
  <c r="S401" i="3" s="1"/>
  <c r="R374" i="3"/>
  <c r="S374" i="3" s="1"/>
  <c r="R352" i="3"/>
  <c r="S352" i="3" s="1"/>
  <c r="R250" i="3"/>
  <c r="S250" i="3" s="1"/>
  <c r="R186" i="3"/>
  <c r="S186" i="3" s="1"/>
  <c r="R182" i="3"/>
  <c r="S182" i="3" s="1"/>
  <c r="R446" i="3"/>
  <c r="S446" i="3" s="1"/>
  <c r="R353" i="3"/>
  <c r="S353" i="3" s="1"/>
  <c r="R345" i="3"/>
  <c r="S345" i="3" s="1"/>
  <c r="R322" i="3"/>
  <c r="S322" i="3" s="1"/>
  <c r="R281" i="3"/>
  <c r="S281" i="3" s="1"/>
  <c r="R241" i="3"/>
  <c r="S241" i="3" s="1"/>
  <c r="R191" i="3"/>
  <c r="S191" i="3" s="1"/>
  <c r="R157" i="3"/>
  <c r="S157" i="3" s="1"/>
  <c r="R133" i="3"/>
  <c r="S133" i="3" s="1"/>
  <c r="R97" i="3"/>
  <c r="S97" i="3" s="1"/>
  <c r="R93" i="3"/>
  <c r="S93" i="3" s="1"/>
  <c r="R81" i="3"/>
  <c r="S81" i="3" s="1"/>
  <c r="R77" i="3"/>
  <c r="S77" i="3" s="1"/>
  <c r="R53" i="3"/>
  <c r="S53" i="3" s="1"/>
  <c r="R33" i="3"/>
  <c r="S33" i="3" s="1"/>
  <c r="R333" i="3"/>
  <c r="S333" i="3" s="1"/>
  <c r="R192" i="3"/>
  <c r="S192" i="3" s="1"/>
  <c r="R161" i="3"/>
  <c r="S161" i="3" s="1"/>
  <c r="R150" i="3"/>
  <c r="S150" i="3" s="1"/>
  <c r="R134" i="3"/>
  <c r="S134" i="3" s="1"/>
  <c r="R46" i="3"/>
  <c r="S46" i="3" s="1"/>
  <c r="R128" i="3"/>
  <c r="S128" i="3" s="1"/>
  <c r="R20" i="3"/>
  <c r="S20" i="3" s="1"/>
  <c r="R366" i="3"/>
  <c r="S366" i="3" s="1"/>
  <c r="R171" i="3"/>
  <c r="S171" i="3" s="1"/>
  <c r="R147" i="3"/>
  <c r="S147" i="3" s="1"/>
  <c r="R115" i="3"/>
  <c r="S115" i="3" s="1"/>
  <c r="R111" i="3"/>
  <c r="S111" i="3" s="1"/>
  <c r="R487" i="3"/>
  <c r="S487" i="3" s="1"/>
  <c r="R68" i="3"/>
  <c r="S68" i="3" s="1"/>
  <c r="R4" i="3"/>
  <c r="Q671" i="3"/>
  <c r="AJ554" i="3"/>
  <c r="AK554" i="3" s="1"/>
  <c r="AJ540" i="3"/>
  <c r="AK540" i="3" s="1"/>
  <c r="AJ512" i="3"/>
  <c r="AK512" i="3" s="1"/>
  <c r="AJ452" i="3"/>
  <c r="AK452" i="3" s="1"/>
  <c r="AJ412" i="3"/>
  <c r="AK412" i="3" s="1"/>
  <c r="AJ385" i="3"/>
  <c r="AK385" i="3" s="1"/>
  <c r="AJ507" i="3"/>
  <c r="AK507" i="3" s="1"/>
  <c r="AJ319" i="3"/>
  <c r="AK319" i="3" s="1"/>
  <c r="AJ227" i="3"/>
  <c r="AK227" i="3" s="1"/>
  <c r="AJ219" i="3"/>
  <c r="AK219" i="3" s="1"/>
  <c r="AJ310" i="3"/>
  <c r="AK310" i="3" s="1"/>
  <c r="AJ236" i="3"/>
  <c r="AK236" i="3" s="1"/>
  <c r="AJ200" i="3"/>
  <c r="AK200" i="3" s="1"/>
  <c r="AJ289" i="3"/>
  <c r="AK289" i="3" s="1"/>
  <c r="AJ88" i="3"/>
  <c r="AK88" i="3" s="1"/>
  <c r="AJ25" i="3"/>
  <c r="AK25" i="3" s="1"/>
  <c r="AJ538" i="3"/>
  <c r="AK538" i="3" s="1"/>
  <c r="AJ533" i="3"/>
  <c r="AK533" i="3" s="1"/>
  <c r="AJ517" i="3"/>
  <c r="AK517" i="3" s="1"/>
  <c r="AJ580" i="3"/>
  <c r="AK580" i="3" s="1"/>
  <c r="AJ552" i="3"/>
  <c r="AK552" i="3" s="1"/>
  <c r="AJ548" i="3"/>
  <c r="AK548" i="3" s="1"/>
  <c r="AJ504" i="3"/>
  <c r="AK504" i="3" s="1"/>
  <c r="AJ420" i="3"/>
  <c r="AK420" i="3" s="1"/>
  <c r="AJ404" i="3"/>
  <c r="AK404" i="3" s="1"/>
  <c r="AJ392" i="3"/>
  <c r="AK392" i="3" s="1"/>
  <c r="AJ628" i="3"/>
  <c r="AK628" i="3" s="1"/>
  <c r="AJ482" i="3"/>
  <c r="AK482" i="3" s="1"/>
  <c r="AJ449" i="3"/>
  <c r="AK449" i="3" s="1"/>
  <c r="AJ433" i="3"/>
  <c r="AK433" i="3" s="1"/>
  <c r="AJ397" i="3"/>
  <c r="AK397" i="3" s="1"/>
  <c r="AJ377" i="3"/>
  <c r="AK377" i="3" s="1"/>
  <c r="AJ369" i="3"/>
  <c r="AK369" i="3" s="1"/>
  <c r="AJ361" i="3"/>
  <c r="AK361" i="3" s="1"/>
  <c r="AJ568" i="3"/>
  <c r="AK568" i="3" s="1"/>
  <c r="AJ528" i="3"/>
  <c r="AK528" i="3" s="1"/>
  <c r="AJ520" i="3"/>
  <c r="AK520" i="3" s="1"/>
  <c r="AJ500" i="3"/>
  <c r="AK500" i="3" s="1"/>
  <c r="AJ383" i="3"/>
  <c r="AK383" i="3" s="1"/>
  <c r="AJ410" i="3"/>
  <c r="AK410" i="3" s="1"/>
  <c r="AJ327" i="3"/>
  <c r="AK327" i="3" s="1"/>
  <c r="AJ302" i="3"/>
  <c r="AK302" i="3" s="1"/>
  <c r="AJ252" i="3"/>
  <c r="AK252" i="3" s="1"/>
  <c r="AJ244" i="3"/>
  <c r="AK244" i="3" s="1"/>
  <c r="AJ618" i="3"/>
  <c r="AK618" i="3" s="1"/>
  <c r="AJ467" i="3"/>
  <c r="AK467" i="3" s="1"/>
  <c r="AJ510" i="3"/>
  <c r="AK510" i="3" s="1"/>
  <c r="AJ30" i="3"/>
  <c r="AK30" i="3" s="1"/>
  <c r="AJ198" i="3"/>
  <c r="AK198" i="3" s="1"/>
  <c r="AJ197" i="3"/>
  <c r="AK197" i="3" s="1"/>
  <c r="AJ139" i="3"/>
  <c r="AK139" i="3" s="1"/>
  <c r="AJ35" i="3"/>
  <c r="AK35" i="3" s="1"/>
  <c r="AJ23" i="3"/>
  <c r="AK23" i="3" s="1"/>
  <c r="AJ15" i="3"/>
  <c r="AK15" i="3" s="1"/>
  <c r="AJ7" i="3"/>
  <c r="AK7" i="3" s="1"/>
  <c r="AJ153" i="3"/>
  <c r="AK153" i="3" s="1"/>
  <c r="AJ85" i="3"/>
  <c r="AK85" i="3" s="1"/>
  <c r="AJ57" i="3"/>
  <c r="AK57" i="3" s="1"/>
  <c r="AJ49" i="3"/>
  <c r="AK49" i="3" s="1"/>
  <c r="AJ184" i="3"/>
  <c r="AK184" i="3" s="1"/>
  <c r="AJ478" i="3"/>
  <c r="AK478" i="3" s="1"/>
  <c r="AJ355" i="3"/>
  <c r="AK355" i="3" s="1"/>
  <c r="AJ347" i="3"/>
  <c r="AK347" i="3" s="1"/>
  <c r="AJ339" i="3"/>
  <c r="AK339" i="3" s="1"/>
  <c r="AJ286" i="3"/>
  <c r="AK286" i="3" s="1"/>
  <c r="AJ41" i="3"/>
  <c r="AK41" i="3" s="1"/>
  <c r="AJ609" i="3"/>
  <c r="AK609" i="3" s="1"/>
  <c r="AJ593" i="3"/>
  <c r="AK593" i="3" s="1"/>
  <c r="AJ589" i="3"/>
  <c r="AK589" i="3" s="1"/>
  <c r="AJ614" i="3"/>
  <c r="AK614" i="3" s="1"/>
  <c r="AJ608" i="3"/>
  <c r="AK608" i="3" s="1"/>
  <c r="AJ600" i="3"/>
  <c r="AK600" i="3" s="1"/>
  <c r="AJ583" i="3"/>
  <c r="AK583" i="3" s="1"/>
  <c r="AJ638" i="3"/>
  <c r="AK638" i="3" s="1"/>
  <c r="AJ546" i="3"/>
  <c r="AK546" i="3" s="1"/>
  <c r="AJ505" i="3"/>
  <c r="AK505" i="3" s="1"/>
  <c r="AJ497" i="3"/>
  <c r="AK497" i="3" s="1"/>
  <c r="AJ564" i="3"/>
  <c r="AK564" i="3" s="1"/>
  <c r="AJ523" i="3"/>
  <c r="AK523" i="3" s="1"/>
  <c r="AJ471" i="3"/>
  <c r="AK471" i="3" s="1"/>
  <c r="AJ456" i="3"/>
  <c r="AK456" i="3" s="1"/>
  <c r="AJ416" i="3"/>
  <c r="AK416" i="3" s="1"/>
  <c r="AJ388" i="3"/>
  <c r="AK388" i="3" s="1"/>
  <c r="AJ619" i="3"/>
  <c r="AK619" i="3" s="1"/>
  <c r="AJ575" i="3"/>
  <c r="AK575" i="3" s="1"/>
  <c r="AJ542" i="3"/>
  <c r="AK542" i="3" s="1"/>
  <c r="AJ526" i="3"/>
  <c r="AK526" i="3" s="1"/>
  <c r="AJ514" i="3"/>
  <c r="AK514" i="3" s="1"/>
  <c r="AJ365" i="3"/>
  <c r="AK365" i="3" s="1"/>
  <c r="AJ535" i="3"/>
  <c r="AK535" i="3" s="1"/>
  <c r="AJ508" i="3"/>
  <c r="AK508" i="3" s="1"/>
  <c r="AJ470" i="3"/>
  <c r="AK470" i="3" s="1"/>
  <c r="AJ293" i="3"/>
  <c r="AK293" i="3" s="1"/>
  <c r="AJ502" i="3"/>
  <c r="AK502" i="3" s="1"/>
  <c r="AJ351" i="3"/>
  <c r="AK351" i="3" s="1"/>
  <c r="AJ343" i="3"/>
  <c r="AK343" i="3" s="1"/>
  <c r="AJ248" i="3"/>
  <c r="AK248" i="3" s="1"/>
  <c r="AJ359" i="3"/>
  <c r="AK359" i="3" s="1"/>
  <c r="AJ146" i="3"/>
  <c r="AK146" i="3" s="1"/>
  <c r="AJ66" i="3"/>
  <c r="AK66" i="3" s="1"/>
  <c r="AJ19" i="3"/>
  <c r="AK19" i="3" s="1"/>
  <c r="AJ222" i="3"/>
  <c r="AK222" i="3" s="1"/>
  <c r="R624" i="3"/>
  <c r="S624" i="3" s="1"/>
  <c r="R612" i="3"/>
  <c r="S612" i="3" s="1"/>
  <c r="R610" i="3"/>
  <c r="S610" i="3" s="1"/>
  <c r="R602" i="3"/>
  <c r="S602" i="3" s="1"/>
  <c r="R586" i="3"/>
  <c r="S586" i="3" s="1"/>
  <c r="R567" i="3"/>
  <c r="S567" i="3" s="1"/>
  <c r="R611" i="3"/>
  <c r="S611" i="3" s="1"/>
  <c r="R601" i="3"/>
  <c r="S601" i="3" s="1"/>
  <c r="R577" i="3"/>
  <c r="S577" i="3" s="1"/>
  <c r="R613" i="3"/>
  <c r="S613" i="3" s="1"/>
  <c r="R605" i="3"/>
  <c r="S605" i="3" s="1"/>
  <c r="R598" i="3"/>
  <c r="S598" i="3" s="1"/>
  <c r="R315" i="3"/>
  <c r="S315" i="3" s="1"/>
  <c r="R307" i="3"/>
  <c r="S307" i="3" s="1"/>
  <c r="R299" i="3"/>
  <c r="S299" i="3" s="1"/>
  <c r="R622" i="3"/>
  <c r="S622" i="3" s="1"/>
  <c r="R595" i="3"/>
  <c r="S595" i="3" s="1"/>
  <c r="R304" i="3"/>
  <c r="S304" i="3" s="1"/>
  <c r="R296" i="3"/>
  <c r="S296" i="3" s="1"/>
  <c r="R278" i="3"/>
  <c r="S278" i="3" s="1"/>
  <c r="R234" i="3"/>
  <c r="S234" i="3" s="1"/>
  <c r="R194" i="3"/>
  <c r="S194" i="3" s="1"/>
  <c r="R178" i="3"/>
  <c r="S178" i="3" s="1"/>
  <c r="R621" i="3"/>
  <c r="S621" i="3" s="1"/>
  <c r="R337" i="3"/>
  <c r="S337" i="3" s="1"/>
  <c r="R313" i="3"/>
  <c r="S313" i="3" s="1"/>
  <c r="R305" i="3"/>
  <c r="S305" i="3" s="1"/>
  <c r="R297" i="3"/>
  <c r="S297" i="3" s="1"/>
  <c r="R279" i="3"/>
  <c r="S279" i="3" s="1"/>
  <c r="R275" i="3"/>
  <c r="S275" i="3" s="1"/>
  <c r="R267" i="3"/>
  <c r="S267" i="3" s="1"/>
  <c r="R263" i="3"/>
  <c r="S263" i="3" s="1"/>
  <c r="R243" i="3"/>
  <c r="S243" i="3" s="1"/>
  <c r="R239" i="3"/>
  <c r="S239" i="3" s="1"/>
  <c r="R211" i="3"/>
  <c r="S211" i="3" s="1"/>
  <c r="R207" i="3"/>
  <c r="S207" i="3" s="1"/>
  <c r="R195" i="3"/>
  <c r="S195" i="3" s="1"/>
  <c r="R591" i="3"/>
  <c r="S591" i="3" s="1"/>
  <c r="R338" i="3"/>
  <c r="S338" i="3" s="1"/>
  <c r="R316" i="3"/>
  <c r="S316" i="3" s="1"/>
  <c r="R308" i="3"/>
  <c r="S308" i="3" s="1"/>
  <c r="R284" i="3"/>
  <c r="S284" i="3" s="1"/>
  <c r="R280" i="3"/>
  <c r="S280" i="3" s="1"/>
  <c r="R276" i="3"/>
  <c r="S276" i="3" s="1"/>
  <c r="R268" i="3"/>
  <c r="S268" i="3" s="1"/>
  <c r="R260" i="3"/>
  <c r="S260" i="3" s="1"/>
  <c r="R232" i="3"/>
  <c r="S232" i="3" s="1"/>
  <c r="R301" i="3"/>
  <c r="S301" i="3" s="1"/>
  <c r="R273" i="3"/>
  <c r="S273" i="3" s="1"/>
  <c r="R265" i="3"/>
  <c r="S265" i="3" s="1"/>
  <c r="R225" i="3"/>
  <c r="S225" i="3" s="1"/>
  <c r="R183" i="3"/>
  <c r="S183" i="3" s="1"/>
  <c r="R137" i="3"/>
  <c r="S137" i="3" s="1"/>
  <c r="R129" i="3"/>
  <c r="S129" i="3" s="1"/>
  <c r="R121" i="3"/>
  <c r="S121" i="3" s="1"/>
  <c r="R113" i="3"/>
  <c r="S113" i="3" s="1"/>
  <c r="R168" i="3"/>
  <c r="S168" i="3" s="1"/>
  <c r="R158" i="3"/>
  <c r="S158" i="3" s="1"/>
  <c r="R138" i="3"/>
  <c r="S138" i="3" s="1"/>
  <c r="R126" i="3"/>
  <c r="S126" i="3" s="1"/>
  <c r="R122" i="3"/>
  <c r="S122" i="3" s="1"/>
  <c r="R114" i="3"/>
  <c r="S114" i="3" s="1"/>
  <c r="R106" i="3"/>
  <c r="S106" i="3" s="1"/>
  <c r="R102" i="3"/>
  <c r="S102" i="3" s="1"/>
  <c r="R98" i="3"/>
  <c r="S98" i="3" s="1"/>
  <c r="R94" i="3"/>
  <c r="S94" i="3" s="1"/>
  <c r="R78" i="3"/>
  <c r="S78" i="3" s="1"/>
  <c r="R22" i="3"/>
  <c r="S22" i="3" s="1"/>
  <c r="R152" i="3"/>
  <c r="S152" i="3" s="1"/>
  <c r="R148" i="3"/>
  <c r="S148" i="3" s="1"/>
  <c r="R132" i="3"/>
  <c r="S132" i="3" s="1"/>
  <c r="R124" i="3"/>
  <c r="S124" i="3" s="1"/>
  <c r="R116" i="3"/>
  <c r="S116" i="3" s="1"/>
  <c r="R84" i="3"/>
  <c r="S84" i="3" s="1"/>
  <c r="R318" i="3"/>
  <c r="S318" i="3" s="1"/>
  <c r="R285" i="3"/>
  <c r="S285" i="3" s="1"/>
  <c r="R269" i="3"/>
  <c r="S269" i="3" s="1"/>
  <c r="R217" i="3"/>
  <c r="S217" i="3" s="1"/>
  <c r="R213" i="3"/>
  <c r="S213" i="3" s="1"/>
  <c r="R196" i="3"/>
  <c r="S196" i="3" s="1"/>
  <c r="R187" i="3"/>
  <c r="S187" i="3" s="1"/>
  <c r="R131" i="3"/>
  <c r="S131" i="3" s="1"/>
  <c r="R83" i="3"/>
  <c r="S83" i="3" s="1"/>
  <c r="R71" i="3"/>
  <c r="S71" i="3" s="1"/>
  <c r="R188" i="3"/>
  <c r="S188" i="3" s="1"/>
  <c r="R181" i="3"/>
  <c r="S181" i="3" s="1"/>
  <c r="R173" i="3"/>
  <c r="S173" i="3" s="1"/>
  <c r="R164" i="3"/>
  <c r="S164" i="3" s="1"/>
  <c r="R120" i="3"/>
  <c r="S120" i="3" s="1"/>
  <c r="Z198" i="4"/>
  <c r="AA179" i="4"/>
  <c r="AB179" i="4" s="1"/>
  <c r="AA177" i="4"/>
  <c r="AB177" i="4" s="1"/>
  <c r="AA176" i="4"/>
  <c r="AB176" i="4" s="1"/>
  <c r="AA175" i="4"/>
  <c r="AB175" i="4" s="1"/>
  <c r="AA174" i="4"/>
  <c r="AB174" i="4" s="1"/>
  <c r="AA173" i="4"/>
  <c r="AB173" i="4" s="1"/>
  <c r="AA172" i="4"/>
  <c r="AB172" i="4" s="1"/>
  <c r="AA171" i="4"/>
  <c r="AB171" i="4" s="1"/>
  <c r="AA170" i="4"/>
  <c r="AB170" i="4" s="1"/>
  <c r="AA169" i="4"/>
  <c r="AB169" i="4" s="1"/>
  <c r="AA168" i="4"/>
  <c r="AB168" i="4" s="1"/>
  <c r="AA167" i="4"/>
  <c r="AB167" i="4" s="1"/>
  <c r="AA165" i="4"/>
  <c r="AB165" i="4" s="1"/>
  <c r="AA183" i="4"/>
  <c r="AB183" i="4" s="1"/>
  <c r="AA163" i="4"/>
  <c r="AB163" i="4" s="1"/>
  <c r="AA162" i="4"/>
  <c r="AB162" i="4" s="1"/>
  <c r="AA156" i="4"/>
  <c r="AB156" i="4" s="1"/>
  <c r="AA186" i="4"/>
  <c r="AB186" i="4" s="1"/>
  <c r="AA182" i="4"/>
  <c r="AB182" i="4" s="1"/>
  <c r="AA178" i="4"/>
  <c r="AB178" i="4" s="1"/>
  <c r="AA185" i="4"/>
  <c r="AB185" i="4" s="1"/>
  <c r="AA184" i="4"/>
  <c r="AB184" i="4" s="1"/>
  <c r="AA189" i="4"/>
  <c r="AB189" i="4" s="1"/>
  <c r="AA147" i="4"/>
  <c r="AB147" i="4" s="1"/>
  <c r="AA181" i="4"/>
  <c r="AB181" i="4" s="1"/>
  <c r="AA150" i="4"/>
  <c r="AB150" i="4" s="1"/>
  <c r="AA146" i="4"/>
  <c r="AB146" i="4" s="1"/>
  <c r="AA140" i="4"/>
  <c r="AB140" i="4" s="1"/>
  <c r="AA108" i="4"/>
  <c r="AB108" i="4" s="1"/>
  <c r="AA128" i="4"/>
  <c r="AB128" i="4" s="1"/>
  <c r="AA127" i="4"/>
  <c r="AB127" i="4" s="1"/>
  <c r="AA106" i="4"/>
  <c r="AB106" i="4" s="1"/>
  <c r="AA131" i="4"/>
  <c r="AB131" i="4" s="1"/>
  <c r="AA65" i="4"/>
  <c r="AB65" i="4" s="1"/>
  <c r="AA63" i="4"/>
  <c r="AB63" i="4" s="1"/>
  <c r="AA61" i="4"/>
  <c r="AB61" i="4" s="1"/>
  <c r="AA59" i="4"/>
  <c r="AB59" i="4" s="1"/>
  <c r="AA57" i="4"/>
  <c r="AB57" i="4" s="1"/>
  <c r="AA53" i="4"/>
  <c r="AB53" i="4" s="1"/>
  <c r="AA45" i="4"/>
  <c r="AB45" i="4" s="1"/>
  <c r="AA82" i="4"/>
  <c r="AB82" i="4" s="1"/>
  <c r="AA80" i="4"/>
  <c r="AB80" i="4" s="1"/>
  <c r="AA78" i="4"/>
  <c r="AB78" i="4" s="1"/>
  <c r="AA76" i="4"/>
  <c r="AB76" i="4" s="1"/>
  <c r="AA74" i="4"/>
  <c r="AB74" i="4" s="1"/>
  <c r="AA72" i="4"/>
  <c r="AB72" i="4" s="1"/>
  <c r="AA70" i="4"/>
  <c r="AB70" i="4" s="1"/>
  <c r="AA68" i="4"/>
  <c r="AB68" i="4" s="1"/>
  <c r="AA58" i="4"/>
  <c r="AB58" i="4" s="1"/>
  <c r="AA54" i="4"/>
  <c r="AB54" i="4" s="1"/>
  <c r="AA46" i="4"/>
  <c r="AB46" i="4" s="1"/>
  <c r="AA64" i="4"/>
  <c r="AB64" i="4" s="1"/>
  <c r="AA62" i="4"/>
  <c r="AB62" i="4" s="1"/>
  <c r="AA60" i="4"/>
  <c r="AB60" i="4" s="1"/>
  <c r="AA55" i="4"/>
  <c r="AB55" i="4" s="1"/>
  <c r="AA51" i="4"/>
  <c r="AB51" i="4" s="1"/>
  <c r="AA47" i="4"/>
  <c r="AB47" i="4" s="1"/>
  <c r="AA103" i="4"/>
  <c r="AB103" i="4" s="1"/>
  <c r="AA38" i="4"/>
  <c r="AB38" i="4" s="1"/>
  <c r="AA25" i="4"/>
  <c r="AB25" i="4" s="1"/>
  <c r="AA23" i="4"/>
  <c r="AB23" i="4" s="1"/>
  <c r="AA21" i="4"/>
  <c r="AB21" i="4" s="1"/>
  <c r="AA91" i="4"/>
  <c r="AB91" i="4" s="1"/>
  <c r="AA79" i="4"/>
  <c r="AB79" i="4" s="1"/>
  <c r="AA75" i="4"/>
  <c r="AB75" i="4" s="1"/>
  <c r="AA71" i="4"/>
  <c r="AB71" i="4" s="1"/>
  <c r="AA56" i="4"/>
  <c r="AB56" i="4" s="1"/>
  <c r="AA44" i="4"/>
  <c r="AB44" i="4" s="1"/>
  <c r="AA37" i="4"/>
  <c r="AB37" i="4" s="1"/>
  <c r="AA34" i="4"/>
  <c r="AB34" i="4" s="1"/>
  <c r="AA32" i="4"/>
  <c r="AB32" i="4" s="1"/>
  <c r="AA30" i="4"/>
  <c r="AB30" i="4" s="1"/>
  <c r="AA28" i="4"/>
  <c r="AB28" i="4" s="1"/>
  <c r="AA22" i="4"/>
  <c r="AB22" i="4" s="1"/>
  <c r="AA18" i="4"/>
  <c r="AB18" i="4" s="1"/>
  <c r="AA14" i="4"/>
  <c r="AB14" i="4" s="1"/>
  <c r="AA43" i="4"/>
  <c r="AB43" i="4" s="1"/>
  <c r="AA40" i="4"/>
  <c r="AB40" i="4" s="1"/>
  <c r="AA36" i="4"/>
  <c r="AB36" i="4" s="1"/>
  <c r="AA24" i="4"/>
  <c r="AB24" i="4" s="1"/>
  <c r="AA19" i="4"/>
  <c r="AB19" i="4" s="1"/>
  <c r="AA15" i="4"/>
  <c r="AB15" i="4" s="1"/>
  <c r="AA81" i="4"/>
  <c r="AB81" i="4" s="1"/>
  <c r="AA73" i="4"/>
  <c r="AB73" i="4" s="1"/>
  <c r="AA33" i="4"/>
  <c r="AB33" i="4" s="1"/>
  <c r="AA29" i="4"/>
  <c r="AB29" i="4" s="1"/>
  <c r="AA20" i="4"/>
  <c r="AB20" i="4" s="1"/>
  <c r="AA77" i="4"/>
  <c r="AB77" i="4" s="1"/>
  <c r="AA35" i="4"/>
  <c r="AB35" i="4" s="1"/>
  <c r="AA69" i="4"/>
  <c r="AB69" i="4" s="1"/>
  <c r="AA48" i="4"/>
  <c r="AB48" i="4" s="1"/>
  <c r="AA39" i="4"/>
  <c r="AB39" i="4" s="1"/>
  <c r="AA31" i="4"/>
  <c r="AB31" i="4" s="1"/>
  <c r="AA180" i="4"/>
  <c r="AB180" i="4" s="1"/>
  <c r="R627" i="3"/>
  <c r="S627" i="3" s="1"/>
  <c r="R544" i="3"/>
  <c r="S544" i="3" s="1"/>
  <c r="R490" i="3"/>
  <c r="S490" i="3" s="1"/>
  <c r="R419" i="3"/>
  <c r="S419" i="3" s="1"/>
  <c r="R403" i="3"/>
  <c r="S403" i="3" s="1"/>
  <c r="R551" i="3"/>
  <c r="S551" i="3" s="1"/>
  <c r="R460" i="3"/>
  <c r="S460" i="3" s="1"/>
  <c r="R432" i="3"/>
  <c r="S432" i="3" s="1"/>
  <c r="R424" i="3"/>
  <c r="S424" i="3" s="1"/>
  <c r="R376" i="3"/>
  <c r="S376" i="3" s="1"/>
  <c r="R368" i="3"/>
  <c r="S368" i="3" s="1"/>
  <c r="R326" i="3"/>
  <c r="S326" i="3" s="1"/>
  <c r="R461" i="3"/>
  <c r="S461" i="3" s="1"/>
  <c r="R409" i="3"/>
  <c r="S409" i="3" s="1"/>
  <c r="R382" i="3"/>
  <c r="S382" i="3" s="1"/>
  <c r="R525" i="3"/>
  <c r="S525" i="3" s="1"/>
  <c r="R5" i="3"/>
  <c r="S5" i="3" s="1"/>
  <c r="R473" i="3"/>
  <c r="S473" i="3" s="1"/>
  <c r="R56" i="3"/>
  <c r="S56" i="3" s="1"/>
  <c r="R48" i="3"/>
  <c r="S48" i="3" s="1"/>
  <c r="R40" i="3"/>
  <c r="S40" i="3" s="1"/>
  <c r="AJ572" i="3"/>
  <c r="AK572" i="3" s="1"/>
  <c r="AJ559" i="3"/>
  <c r="AK559" i="3" s="1"/>
  <c r="AJ440" i="3"/>
  <c r="AK440" i="3" s="1"/>
  <c r="AJ634" i="3"/>
  <c r="AK634" i="3" s="1"/>
  <c r="AJ530" i="3"/>
  <c r="AK530" i="3" s="1"/>
  <c r="AJ62" i="3"/>
  <c r="AK62" i="3" s="1"/>
  <c r="AJ45" i="3"/>
  <c r="AK45" i="3" s="1"/>
  <c r="R608" i="3"/>
  <c r="S608" i="3" s="1"/>
  <c r="R600" i="3"/>
  <c r="S600" i="3" s="1"/>
  <c r="R564" i="3"/>
  <c r="S564" i="3" s="1"/>
  <c r="R546" i="3"/>
  <c r="S546" i="3" s="1"/>
  <c r="R542" i="3"/>
  <c r="S542" i="3" s="1"/>
  <c r="R619" i="3"/>
  <c r="S619" i="3" s="1"/>
  <c r="R508" i="3"/>
  <c r="S508" i="3" s="1"/>
  <c r="R526" i="3"/>
  <c r="S526" i="3" s="1"/>
  <c r="R514" i="3"/>
  <c r="S514" i="3" s="1"/>
  <c r="R359" i="3"/>
  <c r="S359" i="3" s="1"/>
  <c r="R351" i="3"/>
  <c r="S351" i="3" s="1"/>
  <c r="R343" i="3"/>
  <c r="S343" i="3" s="1"/>
  <c r="R609" i="3"/>
  <c r="S609" i="3" s="1"/>
  <c r="R575" i="3"/>
  <c r="S575" i="3" s="1"/>
  <c r="R535" i="3"/>
  <c r="S535" i="3" s="1"/>
  <c r="R456" i="3"/>
  <c r="S456" i="3" s="1"/>
  <c r="R416" i="3"/>
  <c r="S416" i="3" s="1"/>
  <c r="R388" i="3"/>
  <c r="S388" i="3" s="1"/>
  <c r="R614" i="3"/>
  <c r="S614" i="3" s="1"/>
  <c r="R593" i="3"/>
  <c r="S593" i="3" s="1"/>
  <c r="R502" i="3"/>
  <c r="S502" i="3" s="1"/>
  <c r="R470" i="3"/>
  <c r="S470" i="3" s="1"/>
  <c r="R222" i="3"/>
  <c r="S222" i="3" s="1"/>
  <c r="R523" i="3"/>
  <c r="S523" i="3" s="1"/>
  <c r="R497" i="3"/>
  <c r="S497" i="3" s="1"/>
  <c r="R638" i="3"/>
  <c r="S638" i="3" s="1"/>
  <c r="R589" i="3"/>
  <c r="S589" i="3" s="1"/>
  <c r="R583" i="3"/>
  <c r="S583" i="3" s="1"/>
  <c r="R471" i="3"/>
  <c r="S471" i="3" s="1"/>
  <c r="R365" i="3"/>
  <c r="S365" i="3" s="1"/>
  <c r="R248" i="3"/>
  <c r="S248" i="3" s="1"/>
  <c r="R293" i="3"/>
  <c r="S293" i="3" s="1"/>
  <c r="R146" i="3"/>
  <c r="S146" i="3" s="1"/>
  <c r="R66" i="3"/>
  <c r="S66" i="3" s="1"/>
  <c r="R505" i="3"/>
  <c r="S505" i="3" s="1"/>
  <c r="R19" i="3"/>
  <c r="S19" i="3" s="1"/>
  <c r="R572" i="3"/>
  <c r="S572" i="3" s="1"/>
  <c r="R634" i="3"/>
  <c r="S634" i="3" s="1"/>
  <c r="R559" i="3"/>
  <c r="S559" i="3" s="1"/>
  <c r="R440" i="3"/>
  <c r="S440" i="3" s="1"/>
  <c r="R530" i="3"/>
  <c r="S530" i="3" s="1"/>
  <c r="R45" i="3"/>
  <c r="S45" i="3" s="1"/>
  <c r="R62" i="3"/>
  <c r="S62" i="3" s="1"/>
  <c r="R592" i="3"/>
  <c r="S592" i="3" s="1"/>
  <c r="R588" i="3"/>
  <c r="S588" i="3" s="1"/>
  <c r="R631" i="3"/>
  <c r="S631" i="3" s="1"/>
  <c r="R556" i="3"/>
  <c r="S556" i="3" s="1"/>
  <c r="R496" i="3"/>
  <c r="S496" i="3" s="1"/>
  <c r="R480" i="3"/>
  <c r="S480" i="3" s="1"/>
  <c r="R607" i="3"/>
  <c r="S607" i="3" s="1"/>
  <c r="R545" i="3"/>
  <c r="S545" i="3" s="1"/>
  <c r="R541" i="3"/>
  <c r="S541" i="3" s="1"/>
  <c r="R534" i="3"/>
  <c r="S534" i="3" s="1"/>
  <c r="R455" i="3"/>
  <c r="S455" i="3" s="1"/>
  <c r="R423" i="3"/>
  <c r="S423" i="3" s="1"/>
  <c r="R407" i="3"/>
  <c r="S407" i="3" s="1"/>
  <c r="R387" i="3"/>
  <c r="S387" i="3" s="1"/>
  <c r="R582" i="3"/>
  <c r="S582" i="3" s="1"/>
  <c r="R529" i="3"/>
  <c r="S529" i="3" s="1"/>
  <c r="R501" i="3"/>
  <c r="S501" i="3" s="1"/>
  <c r="R485" i="3"/>
  <c r="S485" i="3" s="1"/>
  <c r="R475" i="3"/>
  <c r="S475" i="3" s="1"/>
  <c r="R469" i="3"/>
  <c r="S469" i="3" s="1"/>
  <c r="R464" i="3"/>
  <c r="S464" i="3" s="1"/>
  <c r="R400" i="3"/>
  <c r="S400" i="3" s="1"/>
  <c r="R380" i="3"/>
  <c r="S380" i="3" s="1"/>
  <c r="R372" i="3"/>
  <c r="S372" i="3" s="1"/>
  <c r="R364" i="3"/>
  <c r="S364" i="3" s="1"/>
  <c r="R522" i="3"/>
  <c r="S522" i="3" s="1"/>
  <c r="R437" i="3"/>
  <c r="S437" i="3" s="1"/>
  <c r="R430" i="3"/>
  <c r="S430" i="3" s="1"/>
  <c r="R358" i="3"/>
  <c r="S358" i="3" s="1"/>
  <c r="R350" i="3"/>
  <c r="S350" i="3" s="1"/>
  <c r="R342" i="3"/>
  <c r="S342" i="3" s="1"/>
  <c r="R274" i="3"/>
  <c r="S274" i="3" s="1"/>
  <c r="R270" i="3"/>
  <c r="S270" i="3" s="1"/>
  <c r="R266" i="3"/>
  <c r="S266" i="3" s="1"/>
  <c r="R262" i="3"/>
  <c r="S262" i="3" s="1"/>
  <c r="R210" i="3"/>
  <c r="S210" i="3" s="1"/>
  <c r="R190" i="3"/>
  <c r="S190" i="3" s="1"/>
  <c r="R170" i="3"/>
  <c r="S170" i="3" s="1"/>
  <c r="R166" i="3"/>
  <c r="S166" i="3" s="1"/>
  <c r="R513" i="3"/>
  <c r="S513" i="3" s="1"/>
  <c r="R495" i="3"/>
  <c r="S495" i="3" s="1"/>
  <c r="R394" i="3"/>
  <c r="S394" i="3" s="1"/>
  <c r="R390" i="3"/>
  <c r="S390" i="3" s="1"/>
  <c r="R271" i="3"/>
  <c r="S271" i="3" s="1"/>
  <c r="R259" i="3"/>
  <c r="S259" i="3" s="1"/>
  <c r="R255" i="3"/>
  <c r="S255" i="3" s="1"/>
  <c r="R247" i="3"/>
  <c r="S247" i="3" s="1"/>
  <c r="R215" i="3"/>
  <c r="S215" i="3" s="1"/>
  <c r="R570" i="3"/>
  <c r="S570" i="3" s="1"/>
  <c r="R414" i="3"/>
  <c r="S414" i="3" s="1"/>
  <c r="R332" i="3"/>
  <c r="S332" i="3" s="1"/>
  <c r="R314" i="3"/>
  <c r="S314" i="3" s="1"/>
  <c r="R292" i="3"/>
  <c r="S292" i="3" s="1"/>
  <c r="R240" i="3"/>
  <c r="S240" i="3" s="1"/>
  <c r="R257" i="3"/>
  <c r="S257" i="3" s="1"/>
  <c r="R233" i="3"/>
  <c r="S233" i="3" s="1"/>
  <c r="R149" i="3"/>
  <c r="S149" i="3" s="1"/>
  <c r="R145" i="3"/>
  <c r="S145" i="3" s="1"/>
  <c r="R125" i="3"/>
  <c r="S125" i="3" s="1"/>
  <c r="R109" i="3"/>
  <c r="S109" i="3" s="1"/>
  <c r="R105" i="3"/>
  <c r="S105" i="3" s="1"/>
  <c r="R101" i="3"/>
  <c r="S101" i="3" s="1"/>
  <c r="R185" i="3"/>
  <c r="S185" i="3" s="1"/>
  <c r="R176" i="3"/>
  <c r="S176" i="3" s="1"/>
  <c r="R110" i="3"/>
  <c r="S110" i="3" s="1"/>
  <c r="R38" i="3"/>
  <c r="S38" i="3" s="1"/>
  <c r="R18" i="3"/>
  <c r="S18" i="3" s="1"/>
  <c r="R10" i="3"/>
  <c r="S10" i="3" s="1"/>
  <c r="R31" i="3"/>
  <c r="S31" i="3" s="1"/>
  <c r="R160" i="3"/>
  <c r="S160" i="3" s="1"/>
  <c r="R144" i="3"/>
  <c r="S144" i="3" s="1"/>
  <c r="R104" i="3"/>
  <c r="S104" i="3" s="1"/>
  <c r="R76" i="3"/>
  <c r="S76" i="3" s="1"/>
  <c r="R60" i="3"/>
  <c r="S60" i="3" s="1"/>
  <c r="R52" i="3"/>
  <c r="S52" i="3" s="1"/>
  <c r="R28" i="3"/>
  <c r="S28" i="3" s="1"/>
  <c r="R237" i="3"/>
  <c r="S237" i="3" s="1"/>
  <c r="R229" i="3"/>
  <c r="S229" i="3" s="1"/>
  <c r="R221" i="3"/>
  <c r="S221" i="3" s="1"/>
  <c r="R209" i="3"/>
  <c r="S209" i="3" s="1"/>
  <c r="R205" i="3"/>
  <c r="S205" i="3" s="1"/>
  <c r="R204" i="3"/>
  <c r="S204" i="3" s="1"/>
  <c r="R155" i="3"/>
  <c r="S155" i="3" s="1"/>
  <c r="R127" i="3"/>
  <c r="S127" i="3" s="1"/>
  <c r="R123" i="3"/>
  <c r="S123" i="3" s="1"/>
  <c r="R119" i="3"/>
  <c r="S119" i="3" s="1"/>
  <c r="R91" i="3"/>
  <c r="S91" i="3" s="1"/>
  <c r="R75" i="3"/>
  <c r="S75" i="3" s="1"/>
  <c r="R96" i="3"/>
  <c r="S96" i="3" s="1"/>
  <c r="R80" i="3"/>
  <c r="S80" i="3" s="1"/>
  <c r="R44" i="3"/>
  <c r="S44" i="3" s="1"/>
  <c r="AJ637" i="3"/>
  <c r="AK637" i="3" s="1"/>
  <c r="AJ563" i="3"/>
  <c r="AK563" i="3" s="1"/>
  <c r="AJ444" i="3"/>
  <c r="AK444" i="3" s="1"/>
  <c r="R629" i="3"/>
  <c r="S629" i="3" s="1"/>
  <c r="R492" i="3"/>
  <c r="S492" i="3" s="1"/>
  <c r="R474" i="3"/>
  <c r="S474" i="3" s="1"/>
  <c r="R451" i="3"/>
  <c r="S451" i="3" s="1"/>
  <c r="R411" i="3"/>
  <c r="S411" i="3" s="1"/>
  <c r="R553" i="3"/>
  <c r="S553" i="3" s="1"/>
  <c r="R521" i="3"/>
  <c r="S521" i="3" s="1"/>
  <c r="R491" i="3"/>
  <c r="S491" i="3" s="1"/>
  <c r="R483" i="3"/>
  <c r="S483" i="3" s="1"/>
  <c r="R384" i="3"/>
  <c r="S384" i="3" s="1"/>
  <c r="R606" i="3"/>
  <c r="S606" i="3" s="1"/>
  <c r="R603" i="3"/>
  <c r="S603" i="3" s="1"/>
  <c r="R569" i="3"/>
  <c r="S569" i="3" s="1"/>
  <c r="R539" i="3"/>
  <c r="S539" i="3" s="1"/>
  <c r="R587" i="3"/>
  <c r="S587" i="3" s="1"/>
  <c r="R370" i="3"/>
  <c r="S370" i="3" s="1"/>
  <c r="R328" i="3"/>
  <c r="S328" i="3" s="1"/>
  <c r="R226" i="3"/>
  <c r="S226" i="3" s="1"/>
  <c r="R218" i="3"/>
  <c r="S218" i="3" s="1"/>
  <c r="R214" i="3"/>
  <c r="S214" i="3" s="1"/>
  <c r="R174" i="3"/>
  <c r="S174" i="3" s="1"/>
  <c r="R511" i="3"/>
  <c r="S511" i="3" s="1"/>
  <c r="R450" i="3"/>
  <c r="S450" i="3" s="1"/>
  <c r="R434" i="3"/>
  <c r="S434" i="3" s="1"/>
  <c r="R405" i="3"/>
  <c r="S405" i="3" s="1"/>
  <c r="R398" i="3"/>
  <c r="S398" i="3" s="1"/>
  <c r="R378" i="3"/>
  <c r="S378" i="3" s="1"/>
  <c r="R329" i="3"/>
  <c r="S329" i="3" s="1"/>
  <c r="R321" i="3"/>
  <c r="S321" i="3" s="1"/>
  <c r="R287" i="3"/>
  <c r="S287" i="3" s="1"/>
  <c r="R235" i="3"/>
  <c r="S235" i="3" s="1"/>
  <c r="R199" i="3"/>
  <c r="S199" i="3" s="1"/>
  <c r="R581" i="3"/>
  <c r="S581" i="3" s="1"/>
  <c r="R462" i="3"/>
  <c r="S462" i="3" s="1"/>
  <c r="R421" i="3"/>
  <c r="S421" i="3" s="1"/>
  <c r="R356" i="3"/>
  <c r="S356" i="3" s="1"/>
  <c r="R348" i="3"/>
  <c r="S348" i="3" s="1"/>
  <c r="R340" i="3"/>
  <c r="S340" i="3" s="1"/>
  <c r="R288" i="3"/>
  <c r="S288" i="3" s="1"/>
  <c r="R309" i="3"/>
  <c r="S309" i="3" s="1"/>
  <c r="R141" i="3"/>
  <c r="S141" i="3" s="1"/>
  <c r="R117" i="3"/>
  <c r="S117" i="3" s="1"/>
  <c r="R73" i="3"/>
  <c r="S73" i="3" s="1"/>
  <c r="R13" i="3"/>
  <c r="S13" i="3" s="1"/>
  <c r="R169" i="3"/>
  <c r="S169" i="3" s="1"/>
  <c r="R86" i="3"/>
  <c r="S86" i="3" s="1"/>
  <c r="R58" i="3"/>
  <c r="S58" i="3" s="1"/>
  <c r="R50" i="3"/>
  <c r="S50" i="3" s="1"/>
  <c r="R42" i="3"/>
  <c r="S42" i="3" s="1"/>
  <c r="R72" i="3"/>
  <c r="S72" i="3" s="1"/>
  <c r="R8" i="3"/>
  <c r="S8" i="3" s="1"/>
  <c r="R362" i="3"/>
  <c r="S362" i="3" s="1"/>
  <c r="R253" i="3"/>
  <c r="S253" i="3" s="1"/>
  <c r="R245" i="3"/>
  <c r="S245" i="3" s="1"/>
  <c r="R212" i="3"/>
  <c r="S212" i="3" s="1"/>
  <c r="R179" i="3"/>
  <c r="S179" i="3" s="1"/>
  <c r="R107" i="3"/>
  <c r="S107" i="3" s="1"/>
  <c r="R99" i="3"/>
  <c r="S99" i="3" s="1"/>
  <c r="R87" i="3"/>
  <c r="S87" i="3" s="1"/>
  <c r="R140" i="3"/>
  <c r="S140" i="3" s="1"/>
  <c r="R36" i="3"/>
  <c r="S36" i="3" s="1"/>
  <c r="R24" i="3"/>
  <c r="S24" i="3" s="1"/>
  <c r="R16" i="3"/>
  <c r="S16" i="3" s="1"/>
  <c r="AJ629" i="3"/>
  <c r="AK629" i="3" s="1"/>
  <c r="AJ581" i="3"/>
  <c r="AK581" i="3" s="1"/>
  <c r="AJ569" i="3"/>
  <c r="AK569" i="3" s="1"/>
  <c r="AJ539" i="3"/>
  <c r="AK539" i="3" s="1"/>
  <c r="AJ587" i="3"/>
  <c r="AK587" i="3" s="1"/>
  <c r="AJ553" i="3"/>
  <c r="AK553" i="3" s="1"/>
  <c r="AJ521" i="3"/>
  <c r="AK521" i="3" s="1"/>
  <c r="AJ511" i="3"/>
  <c r="AK511" i="3" s="1"/>
  <c r="AJ384" i="3"/>
  <c r="AK384" i="3" s="1"/>
  <c r="AJ356" i="3"/>
  <c r="AK356" i="3" s="1"/>
  <c r="AJ348" i="3"/>
  <c r="AK348" i="3" s="1"/>
  <c r="AJ340" i="3"/>
  <c r="AK340" i="3" s="1"/>
  <c r="AJ328" i="3"/>
  <c r="AK328" i="3" s="1"/>
  <c r="AJ474" i="3"/>
  <c r="AK474" i="3" s="1"/>
  <c r="AJ421" i="3"/>
  <c r="AK421" i="3" s="1"/>
  <c r="AJ405" i="3"/>
  <c r="AK405" i="3" s="1"/>
  <c r="AJ606" i="3"/>
  <c r="AK606" i="3" s="1"/>
  <c r="AJ603" i="3"/>
  <c r="AK603" i="3" s="1"/>
  <c r="AJ492" i="3"/>
  <c r="AK492" i="3" s="1"/>
  <c r="AJ491" i="3"/>
  <c r="AK491" i="3" s="1"/>
  <c r="AJ483" i="3"/>
  <c r="AK483" i="3" s="1"/>
  <c r="AJ451" i="3"/>
  <c r="AK451" i="3" s="1"/>
  <c r="AJ450" i="3"/>
  <c r="AK450" i="3" s="1"/>
  <c r="AJ434" i="3"/>
  <c r="AK434" i="3" s="1"/>
  <c r="AJ398" i="3"/>
  <c r="AK398" i="3" s="1"/>
  <c r="AJ378" i="3"/>
  <c r="AK378" i="3" s="1"/>
  <c r="AJ309" i="3"/>
  <c r="AK309" i="3" s="1"/>
  <c r="AJ287" i="3"/>
  <c r="AK287" i="3" s="1"/>
  <c r="AJ235" i="3"/>
  <c r="AK235" i="3" s="1"/>
  <c r="AJ199" i="3"/>
  <c r="AK199" i="3" s="1"/>
  <c r="AJ179" i="3"/>
  <c r="AK179" i="3" s="1"/>
  <c r="AJ462" i="3"/>
  <c r="AK462" i="3" s="1"/>
  <c r="AJ411" i="3"/>
  <c r="AK411" i="3" s="1"/>
  <c r="AJ288" i="3"/>
  <c r="AK288" i="3" s="1"/>
  <c r="AJ212" i="3"/>
  <c r="AK212" i="3" s="1"/>
  <c r="AJ362" i="3"/>
  <c r="AK362" i="3" s="1"/>
  <c r="AJ329" i="3"/>
  <c r="AK329" i="3" s="1"/>
  <c r="AJ321" i="3"/>
  <c r="AK321" i="3" s="1"/>
  <c r="AJ253" i="3"/>
  <c r="AK253" i="3" s="1"/>
  <c r="AJ245" i="3"/>
  <c r="AK245" i="3" s="1"/>
  <c r="AJ86" i="3"/>
  <c r="AK86" i="3" s="1"/>
  <c r="AJ58" i="3"/>
  <c r="AK58" i="3" s="1"/>
  <c r="AJ50" i="3"/>
  <c r="AK50" i="3" s="1"/>
  <c r="AJ42" i="3"/>
  <c r="AK42" i="3" s="1"/>
  <c r="AJ226" i="3"/>
  <c r="AK226" i="3" s="1"/>
  <c r="AJ218" i="3"/>
  <c r="AK218" i="3" s="1"/>
  <c r="AJ214" i="3"/>
  <c r="AK214" i="3" s="1"/>
  <c r="AJ174" i="3"/>
  <c r="AK174" i="3" s="1"/>
  <c r="AJ107" i="3"/>
  <c r="AK107" i="3" s="1"/>
  <c r="AJ99" i="3"/>
  <c r="AK99" i="3" s="1"/>
  <c r="AJ87" i="3"/>
  <c r="AK87" i="3" s="1"/>
  <c r="AJ36" i="3"/>
  <c r="AK36" i="3" s="1"/>
  <c r="AJ24" i="3"/>
  <c r="AK24" i="3" s="1"/>
  <c r="AJ16" i="3"/>
  <c r="AK16" i="3" s="1"/>
  <c r="AJ141" i="3"/>
  <c r="AK141" i="3" s="1"/>
  <c r="AJ117" i="3"/>
  <c r="AK117" i="3" s="1"/>
  <c r="AJ73" i="3"/>
  <c r="AK73" i="3" s="1"/>
  <c r="AJ370" i="3"/>
  <c r="AK370" i="3" s="1"/>
  <c r="AJ169" i="3"/>
  <c r="AK169" i="3" s="1"/>
  <c r="AJ140" i="3"/>
  <c r="AK140" i="3" s="1"/>
  <c r="AJ72" i="3"/>
  <c r="AK72" i="3" s="1"/>
  <c r="AJ8" i="3"/>
  <c r="AK8" i="3" s="1"/>
  <c r="AJ13" i="3"/>
  <c r="AK13" i="3" s="1"/>
  <c r="AJ562" i="3"/>
  <c r="AK562" i="3" s="1"/>
  <c r="AJ574" i="3"/>
  <c r="AK574" i="3" s="1"/>
  <c r="AJ373" i="3"/>
  <c r="AK373" i="3" s="1"/>
  <c r="AJ443" i="3"/>
  <c r="AK443" i="3" s="1"/>
  <c r="AJ65" i="3"/>
  <c r="AK65" i="3" s="1"/>
  <c r="R563" i="3"/>
  <c r="S563" i="3" s="1"/>
  <c r="R637" i="3"/>
  <c r="S637" i="3" s="1"/>
  <c r="R444" i="3"/>
  <c r="S444" i="3" s="1"/>
  <c r="AJ617" i="3"/>
  <c r="AK617" i="3" s="1"/>
  <c r="AJ597" i="3"/>
  <c r="AK597" i="3" s="1"/>
  <c r="AJ585" i="3"/>
  <c r="AK585" i="3" s="1"/>
  <c r="AJ640" i="3"/>
  <c r="AK640" i="3" s="1"/>
  <c r="AJ566" i="3"/>
  <c r="AK566" i="3" s="1"/>
  <c r="AJ547" i="3"/>
  <c r="AK547" i="3" s="1"/>
  <c r="AJ543" i="3"/>
  <c r="AK543" i="3" s="1"/>
  <c r="AJ623" i="3"/>
  <c r="AK623" i="3" s="1"/>
  <c r="AJ590" i="3"/>
  <c r="AK590" i="3" s="1"/>
  <c r="AJ537" i="3"/>
  <c r="AK537" i="3" s="1"/>
  <c r="AJ509" i="3"/>
  <c r="AK509" i="3" s="1"/>
  <c r="AJ489" i="3"/>
  <c r="AK489" i="3" s="1"/>
  <c r="AJ481" i="3"/>
  <c r="AK481" i="3" s="1"/>
  <c r="AJ477" i="3"/>
  <c r="AK477" i="3" s="1"/>
  <c r="AJ532" i="3"/>
  <c r="AK532" i="3" s="1"/>
  <c r="AJ524" i="3"/>
  <c r="AK524" i="3" s="1"/>
  <c r="AJ516" i="3"/>
  <c r="AK516" i="3" s="1"/>
  <c r="AJ503" i="3"/>
  <c r="AK503" i="3" s="1"/>
  <c r="AJ488" i="3"/>
  <c r="AK488" i="3" s="1"/>
  <c r="AJ472" i="3"/>
  <c r="AK472" i="3" s="1"/>
  <c r="AJ448" i="3"/>
  <c r="AK448" i="3" s="1"/>
  <c r="AJ408" i="3"/>
  <c r="AK408" i="3" s="1"/>
  <c r="AJ396" i="3"/>
  <c r="AK396" i="3" s="1"/>
  <c r="AJ360" i="3"/>
  <c r="AK360" i="3" s="1"/>
  <c r="AJ336" i="3"/>
  <c r="AK336" i="3" s="1"/>
  <c r="AJ324" i="3"/>
  <c r="AK324" i="3" s="1"/>
  <c r="AJ300" i="3"/>
  <c r="AK300" i="3" s="1"/>
  <c r="AJ550" i="3"/>
  <c r="AK550" i="3" s="1"/>
  <c r="AJ506" i="3"/>
  <c r="AK506" i="3" s="1"/>
  <c r="AJ425" i="3"/>
  <c r="AK425" i="3" s="1"/>
  <c r="AJ381" i="3"/>
  <c r="AK381" i="3" s="1"/>
  <c r="AJ626" i="3"/>
  <c r="AK626" i="3" s="1"/>
  <c r="AJ579" i="3"/>
  <c r="AK579" i="3" s="1"/>
  <c r="AJ527" i="3"/>
  <c r="AK527" i="3" s="1"/>
  <c r="AJ519" i="3"/>
  <c r="AK519" i="3" s="1"/>
  <c r="AJ499" i="3"/>
  <c r="AK499" i="3" s="1"/>
  <c r="AJ476" i="3"/>
  <c r="AK476" i="3" s="1"/>
  <c r="AJ459" i="3"/>
  <c r="AK459" i="3" s="1"/>
  <c r="AJ458" i="3"/>
  <c r="AK458" i="3" s="1"/>
  <c r="AJ447" i="3"/>
  <c r="AK447" i="3" s="1"/>
  <c r="AJ402" i="3"/>
  <c r="AK402" i="3" s="1"/>
  <c r="AJ391" i="3"/>
  <c r="AK391" i="3" s="1"/>
  <c r="AJ325" i="3"/>
  <c r="AK325" i="3" s="1"/>
  <c r="AJ283" i="3"/>
  <c r="AK283" i="3" s="1"/>
  <c r="AJ251" i="3"/>
  <c r="AK251" i="3" s="1"/>
  <c r="AJ231" i="3"/>
  <c r="AK231" i="3" s="1"/>
  <c r="AJ167" i="3"/>
  <c r="AK167" i="3" s="1"/>
  <c r="AJ163" i="3"/>
  <c r="AK163" i="3" s="1"/>
  <c r="AJ418" i="3"/>
  <c r="AK418" i="3" s="1"/>
  <c r="AJ335" i="3"/>
  <c r="AK335" i="3" s="1"/>
  <c r="AJ334" i="3"/>
  <c r="AK334" i="3" s="1"/>
  <c r="AJ311" i="3"/>
  <c r="AK311" i="3" s="1"/>
  <c r="AJ295" i="3"/>
  <c r="AK295" i="3" s="1"/>
  <c r="AJ272" i="3"/>
  <c r="AK272" i="3" s="1"/>
  <c r="AJ224" i="3"/>
  <c r="AK224" i="3" s="1"/>
  <c r="AJ216" i="3"/>
  <c r="AK216" i="3" s="1"/>
  <c r="AJ367" i="3"/>
  <c r="AK367" i="3" s="1"/>
  <c r="AJ172" i="3"/>
  <c r="AK172" i="3" s="1"/>
  <c r="AJ82" i="3"/>
  <c r="AK82" i="3" s="1"/>
  <c r="AJ70" i="3"/>
  <c r="AK70" i="3" s="1"/>
  <c r="AJ54" i="3"/>
  <c r="AK54" i="3" s="1"/>
  <c r="AJ34" i="3"/>
  <c r="AK34" i="3" s="1"/>
  <c r="AJ14" i="3"/>
  <c r="AK14" i="3" s="1"/>
  <c r="AJ6" i="3"/>
  <c r="AK6" i="3" s="1"/>
  <c r="AJ282" i="3"/>
  <c r="AK282" i="3" s="1"/>
  <c r="AJ242" i="3"/>
  <c r="AK242" i="3" s="1"/>
  <c r="AJ193" i="3"/>
  <c r="AK193" i="3" s="1"/>
  <c r="AJ151" i="3"/>
  <c r="AK151" i="3" s="1"/>
  <c r="AJ135" i="3"/>
  <c r="AK135" i="3" s="1"/>
  <c r="AJ55" i="3"/>
  <c r="AK55" i="3" s="1"/>
  <c r="AJ47" i="3"/>
  <c r="AK47" i="3" s="1"/>
  <c r="AJ39" i="3"/>
  <c r="AK39" i="3" s="1"/>
  <c r="AJ32" i="3"/>
  <c r="AK32" i="3" s="1"/>
  <c r="AJ12" i="3"/>
  <c r="AK12" i="3" s="1"/>
  <c r="AJ69" i="3"/>
  <c r="AK69" i="3" s="1"/>
  <c r="AJ431" i="3"/>
  <c r="AK431" i="3" s="1"/>
  <c r="AJ427" i="3"/>
  <c r="AK427" i="3" s="1"/>
  <c r="AJ177" i="3"/>
  <c r="AK177" i="3" s="1"/>
  <c r="AJ136" i="3"/>
  <c r="AK136" i="3" s="1"/>
  <c r="AJ375" i="3"/>
  <c r="AK375" i="3" s="1"/>
  <c r="AJ354" i="3"/>
  <c r="AK354" i="3" s="1"/>
  <c r="AJ346" i="3"/>
  <c r="AK346" i="3" s="1"/>
  <c r="AJ162" i="3"/>
  <c r="AK162" i="3" s="1"/>
  <c r="AJ29" i="3"/>
  <c r="AK29" i="3" s="1"/>
  <c r="AJ21" i="3"/>
  <c r="AK21" i="3" s="1"/>
  <c r="R640" i="3"/>
  <c r="S640" i="3" s="1"/>
  <c r="R623" i="3"/>
  <c r="S623" i="3" s="1"/>
  <c r="R617" i="3"/>
  <c r="S617" i="3" s="1"/>
  <c r="R579" i="3"/>
  <c r="S579" i="3" s="1"/>
  <c r="R550" i="3"/>
  <c r="S550" i="3" s="1"/>
  <c r="R532" i="3"/>
  <c r="S532" i="3" s="1"/>
  <c r="R524" i="3"/>
  <c r="S524" i="3" s="1"/>
  <c r="R516" i="3"/>
  <c r="S516" i="3" s="1"/>
  <c r="R488" i="3"/>
  <c r="S488" i="3" s="1"/>
  <c r="R476" i="3"/>
  <c r="S476" i="3" s="1"/>
  <c r="R472" i="3"/>
  <c r="S472" i="3" s="1"/>
  <c r="R543" i="3"/>
  <c r="S543" i="3" s="1"/>
  <c r="R506" i="3"/>
  <c r="S506" i="3" s="1"/>
  <c r="R459" i="3"/>
  <c r="S459" i="3" s="1"/>
  <c r="R447" i="3"/>
  <c r="S447" i="3" s="1"/>
  <c r="R431" i="3"/>
  <c r="S431" i="3" s="1"/>
  <c r="R427" i="3"/>
  <c r="S427" i="3" s="1"/>
  <c r="R391" i="3"/>
  <c r="S391" i="3" s="1"/>
  <c r="R375" i="3"/>
  <c r="S375" i="3" s="1"/>
  <c r="R367" i="3"/>
  <c r="S367" i="3" s="1"/>
  <c r="R335" i="3"/>
  <c r="S335" i="3" s="1"/>
  <c r="R311" i="3"/>
  <c r="S311" i="3" s="1"/>
  <c r="R295" i="3"/>
  <c r="S295" i="3" s="1"/>
  <c r="R590" i="3"/>
  <c r="S590" i="3" s="1"/>
  <c r="R537" i="3"/>
  <c r="S537" i="3" s="1"/>
  <c r="R527" i="3"/>
  <c r="S527" i="3" s="1"/>
  <c r="R519" i="3"/>
  <c r="S519" i="3" s="1"/>
  <c r="R509" i="3"/>
  <c r="S509" i="3" s="1"/>
  <c r="R499" i="3"/>
  <c r="S499" i="3" s="1"/>
  <c r="R477" i="3"/>
  <c r="S477" i="3" s="1"/>
  <c r="R448" i="3"/>
  <c r="S448" i="3" s="1"/>
  <c r="R408" i="3"/>
  <c r="S408" i="3" s="1"/>
  <c r="R396" i="3"/>
  <c r="S396" i="3" s="1"/>
  <c r="R360" i="3"/>
  <c r="S360" i="3" s="1"/>
  <c r="R626" i="3"/>
  <c r="S626" i="3" s="1"/>
  <c r="R597" i="3"/>
  <c r="S597" i="3" s="1"/>
  <c r="R585" i="3"/>
  <c r="S585" i="3" s="1"/>
  <c r="R566" i="3"/>
  <c r="S566" i="3" s="1"/>
  <c r="R547" i="3"/>
  <c r="S547" i="3" s="1"/>
  <c r="R381" i="3"/>
  <c r="S381" i="3" s="1"/>
  <c r="R336" i="3"/>
  <c r="S336" i="3" s="1"/>
  <c r="R334" i="3"/>
  <c r="S334" i="3" s="1"/>
  <c r="R282" i="3"/>
  <c r="S282" i="3" s="1"/>
  <c r="R242" i="3"/>
  <c r="S242" i="3" s="1"/>
  <c r="R162" i="3"/>
  <c r="S162" i="3" s="1"/>
  <c r="R481" i="3"/>
  <c r="S481" i="3" s="1"/>
  <c r="R458" i="3"/>
  <c r="S458" i="3" s="1"/>
  <c r="R402" i="3"/>
  <c r="S402" i="3" s="1"/>
  <c r="R283" i="3"/>
  <c r="S283" i="3" s="1"/>
  <c r="R251" i="3"/>
  <c r="S251" i="3" s="1"/>
  <c r="R231" i="3"/>
  <c r="S231" i="3" s="1"/>
  <c r="R418" i="3"/>
  <c r="S418" i="3" s="1"/>
  <c r="R354" i="3"/>
  <c r="S354" i="3" s="1"/>
  <c r="R346" i="3"/>
  <c r="S346" i="3" s="1"/>
  <c r="R324" i="3"/>
  <c r="S324" i="3" s="1"/>
  <c r="R300" i="3"/>
  <c r="S300" i="3" s="1"/>
  <c r="R272" i="3"/>
  <c r="S272" i="3" s="1"/>
  <c r="R224" i="3"/>
  <c r="S224" i="3" s="1"/>
  <c r="R167" i="3"/>
  <c r="S167" i="3" s="1"/>
  <c r="R69" i="3"/>
  <c r="S69" i="3" s="1"/>
  <c r="R29" i="3"/>
  <c r="S29" i="3" s="1"/>
  <c r="R21" i="3"/>
  <c r="S21" i="3" s="1"/>
  <c r="R425" i="3"/>
  <c r="S425" i="3" s="1"/>
  <c r="R325" i="3"/>
  <c r="S325" i="3" s="1"/>
  <c r="R177" i="3"/>
  <c r="S177" i="3" s="1"/>
  <c r="R82" i="3"/>
  <c r="S82" i="3" s="1"/>
  <c r="R70" i="3"/>
  <c r="S70" i="3" s="1"/>
  <c r="R54" i="3"/>
  <c r="S54" i="3" s="1"/>
  <c r="R34" i="3"/>
  <c r="S34" i="3" s="1"/>
  <c r="R14" i="3"/>
  <c r="S14" i="3" s="1"/>
  <c r="R6" i="3"/>
  <c r="S6" i="3" s="1"/>
  <c r="R39" i="3"/>
  <c r="S39" i="3" s="1"/>
  <c r="R503" i="3"/>
  <c r="S503" i="3" s="1"/>
  <c r="R216" i="3"/>
  <c r="S216" i="3" s="1"/>
  <c r="R193" i="3"/>
  <c r="S193" i="3" s="1"/>
  <c r="R163" i="3"/>
  <c r="S163" i="3" s="1"/>
  <c r="R151" i="3"/>
  <c r="S151" i="3" s="1"/>
  <c r="R135" i="3"/>
  <c r="S135" i="3" s="1"/>
  <c r="R55" i="3"/>
  <c r="S55" i="3" s="1"/>
  <c r="R47" i="3"/>
  <c r="S47" i="3" s="1"/>
  <c r="R489" i="3"/>
  <c r="S489" i="3" s="1"/>
  <c r="R172" i="3"/>
  <c r="S172" i="3" s="1"/>
  <c r="R136" i="3"/>
  <c r="S136" i="3" s="1"/>
  <c r="R32" i="3"/>
  <c r="S32" i="3" s="1"/>
  <c r="R12" i="3"/>
  <c r="S12" i="3" s="1"/>
  <c r="R630" i="3"/>
  <c r="S630" i="3" s="1"/>
  <c r="R484" i="3"/>
  <c r="S484" i="3" s="1"/>
  <c r="R468" i="3"/>
  <c r="S468" i="3" s="1"/>
  <c r="R463" i="3"/>
  <c r="S463" i="3" s="1"/>
  <c r="R435" i="3"/>
  <c r="S435" i="3" s="1"/>
  <c r="R399" i="3"/>
  <c r="S399" i="3" s="1"/>
  <c r="R379" i="3"/>
  <c r="S379" i="3" s="1"/>
  <c r="R371" i="3"/>
  <c r="S371" i="3" s="1"/>
  <c r="R363" i="3"/>
  <c r="S363" i="3" s="1"/>
  <c r="R331" i="3"/>
  <c r="S331" i="3" s="1"/>
  <c r="R303" i="3"/>
  <c r="S303" i="3" s="1"/>
  <c r="R291" i="3"/>
  <c r="S291" i="3" s="1"/>
  <c r="R599" i="3"/>
  <c r="S599" i="3" s="1"/>
  <c r="R493" i="3"/>
  <c r="S493" i="3" s="1"/>
  <c r="R436" i="3"/>
  <c r="S436" i="3" s="1"/>
  <c r="R428" i="3"/>
  <c r="S428" i="3" s="1"/>
  <c r="R494" i="3"/>
  <c r="S494" i="3" s="1"/>
  <c r="R453" i="3"/>
  <c r="S453" i="3" s="1"/>
  <c r="R426" i="3"/>
  <c r="S426" i="3" s="1"/>
  <c r="R393" i="3"/>
  <c r="S393" i="3" s="1"/>
  <c r="R312" i="3"/>
  <c r="S312" i="3" s="1"/>
  <c r="R258" i="3"/>
  <c r="S258" i="3" s="1"/>
  <c r="R254" i="3"/>
  <c r="S254" i="3" s="1"/>
  <c r="R246" i="3"/>
  <c r="S246" i="3" s="1"/>
  <c r="R202" i="3"/>
  <c r="S202" i="3" s="1"/>
  <c r="R479" i="3"/>
  <c r="S479" i="3" s="1"/>
  <c r="R454" i="3"/>
  <c r="S454" i="3" s="1"/>
  <c r="R413" i="3"/>
  <c r="S413" i="3" s="1"/>
  <c r="R386" i="3"/>
  <c r="S386" i="3" s="1"/>
  <c r="R203" i="3"/>
  <c r="S203" i="3" s="1"/>
  <c r="R555" i="3"/>
  <c r="S555" i="3" s="1"/>
  <c r="R406" i="3"/>
  <c r="S406" i="3" s="1"/>
  <c r="R330" i="3"/>
  <c r="S330" i="3" s="1"/>
  <c r="R306" i="3"/>
  <c r="S306" i="3" s="1"/>
  <c r="R298" i="3"/>
  <c r="S298" i="3" s="1"/>
  <c r="R290" i="3"/>
  <c r="S290" i="3" s="1"/>
  <c r="R264" i="3"/>
  <c r="S264" i="3" s="1"/>
  <c r="R228" i="3"/>
  <c r="S228" i="3" s="1"/>
  <c r="R422" i="3"/>
  <c r="S422" i="3" s="1"/>
  <c r="R175" i="3"/>
  <c r="S175" i="3" s="1"/>
  <c r="R89" i="3"/>
  <c r="S89" i="3" s="1"/>
  <c r="R37" i="3"/>
  <c r="S37" i="3" s="1"/>
  <c r="R17" i="3"/>
  <c r="S17" i="3" s="1"/>
  <c r="R9" i="3"/>
  <c r="S9" i="3" s="1"/>
  <c r="R429" i="3"/>
  <c r="S429" i="3" s="1"/>
  <c r="R357" i="3"/>
  <c r="S357" i="3" s="1"/>
  <c r="R349" i="3"/>
  <c r="S349" i="3" s="1"/>
  <c r="R341" i="3"/>
  <c r="S341" i="3" s="1"/>
  <c r="R154" i="3"/>
  <c r="S154" i="3" s="1"/>
  <c r="R142" i="3"/>
  <c r="S142" i="3" s="1"/>
  <c r="R130" i="3"/>
  <c r="S130" i="3" s="1"/>
  <c r="R118" i="3"/>
  <c r="S118" i="3" s="1"/>
  <c r="R90" i="3"/>
  <c r="S90" i="3" s="1"/>
  <c r="R74" i="3"/>
  <c r="S74" i="3" s="1"/>
  <c r="R26" i="3"/>
  <c r="S26" i="3" s="1"/>
  <c r="R43" i="3"/>
  <c r="S43" i="3" s="1"/>
  <c r="R27" i="3"/>
  <c r="S27" i="3" s="1"/>
  <c r="R165" i="3"/>
  <c r="S165" i="3" s="1"/>
  <c r="R100" i="3"/>
  <c r="S100" i="3" s="1"/>
  <c r="R277" i="3"/>
  <c r="S277" i="3" s="1"/>
  <c r="R261" i="3"/>
  <c r="S261" i="3" s="1"/>
  <c r="R220" i="3"/>
  <c r="S220" i="3" s="1"/>
  <c r="R208" i="3"/>
  <c r="S208" i="3" s="1"/>
  <c r="R201" i="3"/>
  <c r="S201" i="3" s="1"/>
  <c r="R159" i="3"/>
  <c r="S159" i="3" s="1"/>
  <c r="R143" i="3"/>
  <c r="S143" i="3" s="1"/>
  <c r="R103" i="3"/>
  <c r="S103" i="3" s="1"/>
  <c r="R95" i="3"/>
  <c r="S95" i="3" s="1"/>
  <c r="R79" i="3"/>
  <c r="S79" i="3" s="1"/>
  <c r="R59" i="3"/>
  <c r="S59" i="3" s="1"/>
  <c r="R51" i="3"/>
  <c r="S51" i="3" s="1"/>
  <c r="R189" i="3"/>
  <c r="S189" i="3" s="1"/>
  <c r="R180" i="3"/>
  <c r="S180" i="3" s="1"/>
  <c r="R112" i="3"/>
  <c r="S112" i="3" s="1"/>
  <c r="R108" i="3"/>
  <c r="S108" i="3" s="1"/>
  <c r="S193" i="4"/>
  <c r="S198" i="4" s="1"/>
  <c r="W193" i="4"/>
  <c r="W198" i="4" l="1"/>
  <c r="X186" i="4"/>
  <c r="Y186" i="4" s="1"/>
  <c r="X184" i="4"/>
  <c r="Y184" i="4" s="1"/>
  <c r="X182" i="4"/>
  <c r="Y182" i="4" s="1"/>
  <c r="X180" i="4"/>
  <c r="Y180" i="4" s="1"/>
  <c r="X177" i="4"/>
  <c r="Y177" i="4" s="1"/>
  <c r="X189" i="4"/>
  <c r="Y189" i="4" s="1"/>
  <c r="X185" i="4"/>
  <c r="Y185" i="4" s="1"/>
  <c r="X183" i="4"/>
  <c r="Y183" i="4" s="1"/>
  <c r="X181" i="4"/>
  <c r="Y181" i="4" s="1"/>
  <c r="X178" i="4"/>
  <c r="Y178" i="4" s="1"/>
  <c r="X179" i="4"/>
  <c r="Y179" i="4" s="1"/>
  <c r="X176" i="4"/>
  <c r="Y176" i="4" s="1"/>
  <c r="X171" i="4"/>
  <c r="Y171" i="4" s="1"/>
  <c r="X167" i="4"/>
  <c r="Y167" i="4" s="1"/>
  <c r="X162" i="4"/>
  <c r="Y162" i="4" s="1"/>
  <c r="X172" i="4"/>
  <c r="Y172" i="4" s="1"/>
  <c r="X147" i="4"/>
  <c r="Y147" i="4" s="1"/>
  <c r="X146" i="4"/>
  <c r="Y146" i="4" s="1"/>
  <c r="X140" i="4"/>
  <c r="Y140" i="4" s="1"/>
  <c r="X131" i="4"/>
  <c r="Y131" i="4" s="1"/>
  <c r="X175" i="4"/>
  <c r="Y175" i="4" s="1"/>
  <c r="X173" i="4"/>
  <c r="Y173" i="4" s="1"/>
  <c r="X168" i="4"/>
  <c r="Y168" i="4" s="1"/>
  <c r="X163" i="4"/>
  <c r="Y163" i="4" s="1"/>
  <c r="X174" i="4"/>
  <c r="Y174" i="4" s="1"/>
  <c r="X169" i="4"/>
  <c r="Y169" i="4" s="1"/>
  <c r="X165" i="4"/>
  <c r="Y165" i="4" s="1"/>
  <c r="X156" i="4"/>
  <c r="Y156" i="4" s="1"/>
  <c r="X127" i="4"/>
  <c r="Y127" i="4" s="1"/>
  <c r="X170" i="4"/>
  <c r="Y170" i="4" s="1"/>
  <c r="X150" i="4"/>
  <c r="Y150" i="4" s="1"/>
  <c r="X103" i="4"/>
  <c r="Y103" i="4" s="1"/>
  <c r="X91" i="4"/>
  <c r="Y91" i="4" s="1"/>
  <c r="X82" i="4"/>
  <c r="Y82" i="4" s="1"/>
  <c r="X81" i="4"/>
  <c r="Y81" i="4" s="1"/>
  <c r="X80" i="4"/>
  <c r="Y80" i="4" s="1"/>
  <c r="X79" i="4"/>
  <c r="Y79" i="4" s="1"/>
  <c r="X78" i="4"/>
  <c r="Y78" i="4" s="1"/>
  <c r="X77" i="4"/>
  <c r="Y77" i="4" s="1"/>
  <c r="X76" i="4"/>
  <c r="Y76" i="4" s="1"/>
  <c r="X75" i="4"/>
  <c r="Y75" i="4" s="1"/>
  <c r="X74" i="4"/>
  <c r="Y74" i="4" s="1"/>
  <c r="X73" i="4"/>
  <c r="Y73" i="4" s="1"/>
  <c r="X72" i="4"/>
  <c r="Y72" i="4" s="1"/>
  <c r="X71" i="4"/>
  <c r="Y71" i="4" s="1"/>
  <c r="X70" i="4"/>
  <c r="Y70" i="4" s="1"/>
  <c r="X69" i="4"/>
  <c r="Y69" i="4" s="1"/>
  <c r="X68" i="4"/>
  <c r="Y68" i="4" s="1"/>
  <c r="X65" i="4"/>
  <c r="Y65" i="4" s="1"/>
  <c r="X64" i="4"/>
  <c r="Y64" i="4" s="1"/>
  <c r="X63" i="4"/>
  <c r="Y63" i="4" s="1"/>
  <c r="X62" i="4"/>
  <c r="Y62" i="4" s="1"/>
  <c r="X61" i="4"/>
  <c r="Y61" i="4" s="1"/>
  <c r="X60" i="4"/>
  <c r="Y60" i="4" s="1"/>
  <c r="X59" i="4"/>
  <c r="Y59" i="4" s="1"/>
  <c r="X108" i="4"/>
  <c r="Y108" i="4" s="1"/>
  <c r="X128" i="4"/>
  <c r="Y128" i="4" s="1"/>
  <c r="X106" i="4"/>
  <c r="Y106" i="4" s="1"/>
  <c r="X55" i="4"/>
  <c r="Y55" i="4" s="1"/>
  <c r="X51" i="4"/>
  <c r="Y51" i="4" s="1"/>
  <c r="X47" i="4"/>
  <c r="Y47" i="4" s="1"/>
  <c r="X56" i="4"/>
  <c r="Y56" i="4" s="1"/>
  <c r="X48" i="4"/>
  <c r="Y48" i="4" s="1"/>
  <c r="X44" i="4"/>
  <c r="Y44" i="4" s="1"/>
  <c r="X43" i="4"/>
  <c r="Y43" i="4" s="1"/>
  <c r="X40" i="4"/>
  <c r="Y40" i="4" s="1"/>
  <c r="X39" i="4"/>
  <c r="Y39" i="4" s="1"/>
  <c r="X38" i="4"/>
  <c r="Y38" i="4" s="1"/>
  <c r="X37" i="4"/>
  <c r="Y37" i="4" s="1"/>
  <c r="X36" i="4"/>
  <c r="Y36" i="4" s="1"/>
  <c r="X35" i="4"/>
  <c r="Y35" i="4" s="1"/>
  <c r="X34" i="4"/>
  <c r="Y34" i="4" s="1"/>
  <c r="X33" i="4"/>
  <c r="Y33" i="4" s="1"/>
  <c r="X32" i="4"/>
  <c r="Y32" i="4" s="1"/>
  <c r="X31" i="4"/>
  <c r="Y31" i="4" s="1"/>
  <c r="X30" i="4"/>
  <c r="Y30" i="4" s="1"/>
  <c r="X29" i="4"/>
  <c r="Y29" i="4" s="1"/>
  <c r="X28" i="4"/>
  <c r="Y28" i="4" s="1"/>
  <c r="X25" i="4"/>
  <c r="Y25" i="4" s="1"/>
  <c r="X24" i="4"/>
  <c r="Y24" i="4" s="1"/>
  <c r="X23" i="4"/>
  <c r="Y23" i="4" s="1"/>
  <c r="X57" i="4"/>
  <c r="Y57" i="4" s="1"/>
  <c r="X53" i="4"/>
  <c r="Y53" i="4" s="1"/>
  <c r="X45" i="4"/>
  <c r="Y45" i="4" s="1"/>
  <c r="X58" i="4"/>
  <c r="Y58" i="4" s="1"/>
  <c r="X46" i="4"/>
  <c r="Y46" i="4" s="1"/>
  <c r="X20" i="4"/>
  <c r="Y20" i="4" s="1"/>
  <c r="X21" i="4"/>
  <c r="Y21" i="4" s="1"/>
  <c r="X54" i="4"/>
  <c r="Y54" i="4" s="1"/>
  <c r="X22" i="4"/>
  <c r="Y22" i="4" s="1"/>
  <c r="X18" i="4"/>
  <c r="Y18" i="4" s="1"/>
  <c r="X14" i="4"/>
  <c r="Y14" i="4" s="1"/>
  <c r="X19" i="4"/>
  <c r="Y19" i="4" s="1"/>
  <c r="X15" i="4"/>
  <c r="Y15" i="4" s="1"/>
  <c r="AB193" i="4"/>
  <c r="AB198" i="4" s="1"/>
  <c r="V193" i="4"/>
  <c r="V198" i="4" s="1"/>
  <c r="S4" i="3"/>
  <c r="S642" i="3" s="1"/>
  <c r="T654" i="3"/>
  <c r="T667" i="3"/>
  <c r="T663" i="3"/>
  <c r="AF660" i="3"/>
  <c r="AF645" i="3"/>
  <c r="T658" i="3"/>
  <c r="AF649" i="3"/>
  <c r="AF663" i="3"/>
  <c r="AF648" i="3"/>
  <c r="T659" i="3"/>
  <c r="T647" i="3"/>
  <c r="T651" i="3"/>
  <c r="T655" i="3"/>
  <c r="AF667" i="3"/>
  <c r="T665" i="3"/>
  <c r="T664" i="3"/>
  <c r="T648" i="3"/>
  <c r="T652" i="3"/>
  <c r="T661" i="3"/>
  <c r="AF646" i="3"/>
  <c r="AF664" i="3"/>
  <c r="AF661" i="3"/>
  <c r="T649" i="3"/>
  <c r="AF662" i="3"/>
  <c r="AF659" i="3"/>
  <c r="T668" i="3"/>
  <c r="AF668" i="3"/>
  <c r="T657" i="3"/>
  <c r="AF665" i="3"/>
  <c r="T653" i="3"/>
  <c r="AF652" i="3"/>
  <c r="AF669" i="3"/>
  <c r="AF656" i="3"/>
  <c r="AF653" i="3"/>
  <c r="T662" i="3"/>
  <c r="T650" i="3"/>
  <c r="T669" i="3"/>
  <c r="AF654" i="3"/>
  <c r="AF651" i="3"/>
  <c r="T660" i="3"/>
  <c r="T646" i="3"/>
  <c r="AF647" i="3"/>
  <c r="AF655" i="3"/>
  <c r="T645" i="3"/>
  <c r="AF657" i="3"/>
  <c r="T666" i="3"/>
  <c r="AF666" i="3"/>
  <c r="T656" i="3"/>
  <c r="AK642" i="3"/>
  <c r="U630" i="3" l="1"/>
  <c r="V630" i="3" s="1"/>
  <c r="U599" i="3"/>
  <c r="V599" i="3" s="1"/>
  <c r="U494" i="3"/>
  <c r="V494" i="3" s="1"/>
  <c r="U493" i="3"/>
  <c r="V493" i="3" s="1"/>
  <c r="U453" i="3"/>
  <c r="V453" i="3" s="1"/>
  <c r="U429" i="3"/>
  <c r="V429" i="3" s="1"/>
  <c r="U413" i="3"/>
  <c r="V413" i="3" s="1"/>
  <c r="U393" i="3"/>
  <c r="V393" i="3" s="1"/>
  <c r="U357" i="3"/>
  <c r="V357" i="3" s="1"/>
  <c r="U349" i="3"/>
  <c r="V349" i="3" s="1"/>
  <c r="U341" i="3"/>
  <c r="V341" i="3" s="1"/>
  <c r="U479" i="3"/>
  <c r="V479" i="3" s="1"/>
  <c r="U454" i="3"/>
  <c r="V454" i="3" s="1"/>
  <c r="U426" i="3"/>
  <c r="V426" i="3" s="1"/>
  <c r="U422" i="3"/>
  <c r="V422" i="3" s="1"/>
  <c r="U406" i="3"/>
  <c r="V406" i="3" s="1"/>
  <c r="U386" i="3"/>
  <c r="V386" i="3" s="1"/>
  <c r="U555" i="3"/>
  <c r="V555" i="3" s="1"/>
  <c r="U463" i="3"/>
  <c r="V463" i="3" s="1"/>
  <c r="U331" i="3"/>
  <c r="V331" i="3" s="1"/>
  <c r="U330" i="3"/>
  <c r="V330" i="3" s="1"/>
  <c r="U306" i="3"/>
  <c r="V306" i="3" s="1"/>
  <c r="U298" i="3"/>
  <c r="V298" i="3" s="1"/>
  <c r="U291" i="3"/>
  <c r="V291" i="3" s="1"/>
  <c r="U290" i="3"/>
  <c r="V290" i="3" s="1"/>
  <c r="U203" i="3"/>
  <c r="V203" i="3" s="1"/>
  <c r="U175" i="3"/>
  <c r="V175" i="3" s="1"/>
  <c r="U363" i="3"/>
  <c r="V363" i="3" s="1"/>
  <c r="U264" i="3"/>
  <c r="V264" i="3" s="1"/>
  <c r="U228" i="3"/>
  <c r="V228" i="3" s="1"/>
  <c r="U220" i="3"/>
  <c r="V220" i="3" s="1"/>
  <c r="U208" i="3"/>
  <c r="V208" i="3" s="1"/>
  <c r="U484" i="3"/>
  <c r="V484" i="3" s="1"/>
  <c r="U468" i="3"/>
  <c r="V468" i="3" s="1"/>
  <c r="U428" i="3"/>
  <c r="V428" i="3" s="1"/>
  <c r="U371" i="3"/>
  <c r="V371" i="3" s="1"/>
  <c r="U303" i="3"/>
  <c r="V303" i="3" s="1"/>
  <c r="U277" i="3"/>
  <c r="V277" i="3" s="1"/>
  <c r="U261" i="3"/>
  <c r="V261" i="3" s="1"/>
  <c r="U154" i="3"/>
  <c r="V154" i="3" s="1"/>
  <c r="U142" i="3"/>
  <c r="V142" i="3" s="1"/>
  <c r="U130" i="3"/>
  <c r="V130" i="3" s="1"/>
  <c r="U118" i="3"/>
  <c r="V118" i="3" s="1"/>
  <c r="U90" i="3"/>
  <c r="V90" i="3" s="1"/>
  <c r="U74" i="3"/>
  <c r="V74" i="3" s="1"/>
  <c r="U26" i="3"/>
  <c r="V26" i="3" s="1"/>
  <c r="U399" i="3"/>
  <c r="V399" i="3" s="1"/>
  <c r="U254" i="3"/>
  <c r="V254" i="3" s="1"/>
  <c r="U246" i="3"/>
  <c r="V246" i="3" s="1"/>
  <c r="U202" i="3"/>
  <c r="V202" i="3" s="1"/>
  <c r="U201" i="3"/>
  <c r="V201" i="3" s="1"/>
  <c r="U159" i="3"/>
  <c r="V159" i="3" s="1"/>
  <c r="U143" i="3"/>
  <c r="V143" i="3" s="1"/>
  <c r="U103" i="3"/>
  <c r="V103" i="3" s="1"/>
  <c r="U95" i="3"/>
  <c r="V95" i="3" s="1"/>
  <c r="U79" i="3"/>
  <c r="V79" i="3" s="1"/>
  <c r="U59" i="3"/>
  <c r="V59" i="3" s="1"/>
  <c r="U51" i="3"/>
  <c r="V51" i="3" s="1"/>
  <c r="U43" i="3"/>
  <c r="V43" i="3" s="1"/>
  <c r="U27" i="3"/>
  <c r="V27" i="3" s="1"/>
  <c r="U89" i="3"/>
  <c r="V89" i="3" s="1"/>
  <c r="U17" i="3"/>
  <c r="V17" i="3" s="1"/>
  <c r="U9" i="3"/>
  <c r="V9" i="3" s="1"/>
  <c r="U435" i="3"/>
  <c r="V435" i="3" s="1"/>
  <c r="U189" i="3"/>
  <c r="V189" i="3" s="1"/>
  <c r="U180" i="3"/>
  <c r="V180" i="3" s="1"/>
  <c r="U165" i="3"/>
  <c r="V165" i="3" s="1"/>
  <c r="U112" i="3"/>
  <c r="V112" i="3" s="1"/>
  <c r="U108" i="3"/>
  <c r="V108" i="3" s="1"/>
  <c r="U100" i="3"/>
  <c r="V100" i="3" s="1"/>
  <c r="U436" i="3"/>
  <c r="V436" i="3" s="1"/>
  <c r="U379" i="3"/>
  <c r="V379" i="3" s="1"/>
  <c r="U312" i="3"/>
  <c r="V312" i="3" s="1"/>
  <c r="U258" i="3"/>
  <c r="V258" i="3" s="1"/>
  <c r="U37" i="3"/>
  <c r="V37" i="3" s="1"/>
  <c r="U635" i="3"/>
  <c r="V635" i="3" s="1"/>
  <c r="U560" i="3"/>
  <c r="V560" i="3" s="1"/>
  <c r="U441" i="3"/>
  <c r="V441" i="3" s="1"/>
  <c r="U63" i="3"/>
  <c r="V63" i="3" s="1"/>
  <c r="U594" i="3"/>
  <c r="V594" i="3" s="1"/>
  <c r="U620" i="3"/>
  <c r="V620" i="3" s="1"/>
  <c r="U498" i="3"/>
  <c r="V498" i="3" s="1"/>
  <c r="U639" i="3"/>
  <c r="V639" i="3" s="1"/>
  <c r="U389" i="3"/>
  <c r="V389" i="3" s="1"/>
  <c r="U223" i="3"/>
  <c r="V223" i="3" s="1"/>
  <c r="U536" i="3"/>
  <c r="V536" i="3" s="1"/>
  <c r="U465" i="3"/>
  <c r="V465" i="3" s="1"/>
  <c r="U256" i="3"/>
  <c r="V256" i="3" s="1"/>
  <c r="U294" i="3"/>
  <c r="V294" i="3" s="1"/>
  <c r="U249" i="3"/>
  <c r="V249" i="3" s="1"/>
  <c r="U344" i="3"/>
  <c r="V344" i="3" s="1"/>
  <c r="U238" i="3"/>
  <c r="V238" i="3" s="1"/>
  <c r="U230" i="3"/>
  <c r="V230" i="3" s="1"/>
  <c r="U206" i="3"/>
  <c r="V206" i="3" s="1"/>
  <c r="U156" i="3"/>
  <c r="V156" i="3" s="1"/>
  <c r="U92" i="3"/>
  <c r="V92" i="3" s="1"/>
  <c r="U540" i="3"/>
  <c r="V540" i="3" s="1"/>
  <c r="U385" i="3"/>
  <c r="V385" i="3" s="1"/>
  <c r="U512" i="3"/>
  <c r="V512" i="3" s="1"/>
  <c r="U554" i="3"/>
  <c r="V554" i="3" s="1"/>
  <c r="U507" i="3"/>
  <c r="V507" i="3" s="1"/>
  <c r="U412" i="3"/>
  <c r="V412" i="3" s="1"/>
  <c r="U227" i="3"/>
  <c r="V227" i="3" s="1"/>
  <c r="U219" i="3"/>
  <c r="V219" i="3" s="1"/>
  <c r="U319" i="3"/>
  <c r="V319" i="3" s="1"/>
  <c r="U236" i="3"/>
  <c r="V236" i="3" s="1"/>
  <c r="U200" i="3"/>
  <c r="V200" i="3" s="1"/>
  <c r="U310" i="3"/>
  <c r="V310" i="3" s="1"/>
  <c r="U289" i="3"/>
  <c r="V289" i="3" s="1"/>
  <c r="U452" i="3"/>
  <c r="V452" i="3" s="1"/>
  <c r="U88" i="3"/>
  <c r="V88" i="3" s="1"/>
  <c r="U25" i="3"/>
  <c r="V25" i="3" s="1"/>
  <c r="AG620" i="3"/>
  <c r="AH620" i="3" s="1"/>
  <c r="AG639" i="3"/>
  <c r="AH639" i="3" s="1"/>
  <c r="AG536" i="3"/>
  <c r="AH536" i="3" s="1"/>
  <c r="AG594" i="3"/>
  <c r="AH594" i="3" s="1"/>
  <c r="AG465" i="3"/>
  <c r="AH465" i="3" s="1"/>
  <c r="AG498" i="3"/>
  <c r="AH498" i="3" s="1"/>
  <c r="AG389" i="3"/>
  <c r="AH389" i="3" s="1"/>
  <c r="AG249" i="3"/>
  <c r="AH249" i="3" s="1"/>
  <c r="AG238" i="3"/>
  <c r="AH238" i="3" s="1"/>
  <c r="AG230" i="3"/>
  <c r="AH230" i="3" s="1"/>
  <c r="AG206" i="3"/>
  <c r="AH206" i="3" s="1"/>
  <c r="AG344" i="3"/>
  <c r="AH344" i="3" s="1"/>
  <c r="AG294" i="3"/>
  <c r="AH294" i="3" s="1"/>
  <c r="AG223" i="3"/>
  <c r="AH223" i="3" s="1"/>
  <c r="AG156" i="3"/>
  <c r="AH156" i="3" s="1"/>
  <c r="AG92" i="3"/>
  <c r="AH92" i="3" s="1"/>
  <c r="AG256" i="3"/>
  <c r="AH256" i="3" s="1"/>
  <c r="AG554" i="3"/>
  <c r="AH554" i="3" s="1"/>
  <c r="AG512" i="3"/>
  <c r="AH512" i="3" s="1"/>
  <c r="AG319" i="3"/>
  <c r="AH319" i="3" s="1"/>
  <c r="AG540" i="3"/>
  <c r="AH540" i="3" s="1"/>
  <c r="AG452" i="3"/>
  <c r="AH452" i="3" s="1"/>
  <c r="AG412" i="3"/>
  <c r="AH412" i="3" s="1"/>
  <c r="AG385" i="3"/>
  <c r="AH385" i="3" s="1"/>
  <c r="AG289" i="3"/>
  <c r="AH289" i="3" s="1"/>
  <c r="AG310" i="3"/>
  <c r="AH310" i="3" s="1"/>
  <c r="AG227" i="3"/>
  <c r="AH227" i="3" s="1"/>
  <c r="AG88" i="3"/>
  <c r="AH88" i="3" s="1"/>
  <c r="AG236" i="3"/>
  <c r="AH236" i="3" s="1"/>
  <c r="AG25" i="3"/>
  <c r="AH25" i="3" s="1"/>
  <c r="AG507" i="3"/>
  <c r="AH507" i="3" s="1"/>
  <c r="AG219" i="3"/>
  <c r="AH219" i="3" s="1"/>
  <c r="AG200" i="3"/>
  <c r="AH200" i="3" s="1"/>
  <c r="AG572" i="3"/>
  <c r="AH572" i="3" s="1"/>
  <c r="AG530" i="3"/>
  <c r="AH530" i="3" s="1"/>
  <c r="AG559" i="3"/>
  <c r="AH559" i="3" s="1"/>
  <c r="AG440" i="3"/>
  <c r="AH440" i="3" s="1"/>
  <c r="AG634" i="3"/>
  <c r="AH634" i="3" s="1"/>
  <c r="AG45" i="3"/>
  <c r="AH45" i="3" s="1"/>
  <c r="AG62" i="3"/>
  <c r="AH62" i="3" s="1"/>
  <c r="AG560" i="3"/>
  <c r="AH560" i="3" s="1"/>
  <c r="AG635" i="3"/>
  <c r="AH635" i="3" s="1"/>
  <c r="AG441" i="3"/>
  <c r="AH441" i="3" s="1"/>
  <c r="AG63" i="3"/>
  <c r="AH63" i="3" s="1"/>
  <c r="U557" i="3"/>
  <c r="V557" i="3" s="1"/>
  <c r="U632" i="3"/>
  <c r="V632" i="3" s="1"/>
  <c r="U438" i="3"/>
  <c r="V438" i="3" s="1"/>
  <c r="U11" i="3"/>
  <c r="V11" i="3" s="1"/>
  <c r="AG630" i="3"/>
  <c r="AH630" i="3" s="1"/>
  <c r="AG484" i="3"/>
  <c r="AH484" i="3" s="1"/>
  <c r="AG468" i="3"/>
  <c r="AH468" i="3" s="1"/>
  <c r="AG494" i="3"/>
  <c r="AH494" i="3" s="1"/>
  <c r="AG463" i="3"/>
  <c r="AH463" i="3" s="1"/>
  <c r="AG435" i="3"/>
  <c r="AH435" i="3" s="1"/>
  <c r="AG399" i="3"/>
  <c r="AH399" i="3" s="1"/>
  <c r="AG379" i="3"/>
  <c r="AH379" i="3" s="1"/>
  <c r="AG371" i="3"/>
  <c r="AH371" i="3" s="1"/>
  <c r="AG363" i="3"/>
  <c r="AH363" i="3" s="1"/>
  <c r="AG331" i="3"/>
  <c r="AH331" i="3" s="1"/>
  <c r="AG303" i="3"/>
  <c r="AH303" i="3" s="1"/>
  <c r="AG291" i="3"/>
  <c r="AH291" i="3" s="1"/>
  <c r="AG599" i="3"/>
  <c r="AH599" i="3" s="1"/>
  <c r="AG479" i="3"/>
  <c r="AH479" i="3" s="1"/>
  <c r="AG436" i="3"/>
  <c r="AH436" i="3" s="1"/>
  <c r="AG428" i="3"/>
  <c r="AH428" i="3" s="1"/>
  <c r="AG555" i="3"/>
  <c r="AH555" i="3" s="1"/>
  <c r="AG453" i="3"/>
  <c r="AH453" i="3" s="1"/>
  <c r="AG426" i="3"/>
  <c r="AH426" i="3" s="1"/>
  <c r="AG393" i="3"/>
  <c r="AH393" i="3" s="1"/>
  <c r="AG330" i="3"/>
  <c r="AH330" i="3" s="1"/>
  <c r="AG306" i="3"/>
  <c r="AH306" i="3" s="1"/>
  <c r="AG298" i="3"/>
  <c r="AH298" i="3" s="1"/>
  <c r="AG290" i="3"/>
  <c r="AH290" i="3" s="1"/>
  <c r="AG277" i="3"/>
  <c r="AH277" i="3" s="1"/>
  <c r="AG261" i="3"/>
  <c r="AH261" i="3" s="1"/>
  <c r="AG201" i="3"/>
  <c r="AH201" i="3" s="1"/>
  <c r="AG189" i="3"/>
  <c r="AH189" i="3" s="1"/>
  <c r="AG165" i="3"/>
  <c r="AH165" i="3" s="1"/>
  <c r="AG454" i="3"/>
  <c r="AH454" i="3" s="1"/>
  <c r="AG413" i="3"/>
  <c r="AH413" i="3" s="1"/>
  <c r="AG386" i="3"/>
  <c r="AH386" i="3" s="1"/>
  <c r="AG357" i="3"/>
  <c r="AH357" i="3" s="1"/>
  <c r="AG349" i="3"/>
  <c r="AH349" i="3" s="1"/>
  <c r="AG341" i="3"/>
  <c r="AH341" i="3" s="1"/>
  <c r="AG258" i="3"/>
  <c r="AH258" i="3" s="1"/>
  <c r="AG254" i="3"/>
  <c r="AH254" i="3" s="1"/>
  <c r="AG246" i="3"/>
  <c r="AH246" i="3" s="1"/>
  <c r="AG202" i="3"/>
  <c r="AH202" i="3" s="1"/>
  <c r="AG406" i="3"/>
  <c r="AH406" i="3" s="1"/>
  <c r="AG312" i="3"/>
  <c r="AH312" i="3" s="1"/>
  <c r="AG493" i="3"/>
  <c r="AH493" i="3" s="1"/>
  <c r="AG429" i="3"/>
  <c r="AH429" i="3" s="1"/>
  <c r="AG112" i="3"/>
  <c r="AH112" i="3" s="1"/>
  <c r="AG108" i="3"/>
  <c r="AH108" i="3" s="1"/>
  <c r="AG100" i="3"/>
  <c r="AH100" i="3" s="1"/>
  <c r="AG228" i="3"/>
  <c r="AH228" i="3" s="1"/>
  <c r="AG89" i="3"/>
  <c r="AH89" i="3" s="1"/>
  <c r="AG37" i="3"/>
  <c r="AH37" i="3" s="1"/>
  <c r="AG17" i="3"/>
  <c r="AH17" i="3" s="1"/>
  <c r="AG9" i="3"/>
  <c r="AH9" i="3" s="1"/>
  <c r="AG159" i="3"/>
  <c r="AH159" i="3" s="1"/>
  <c r="AG143" i="3"/>
  <c r="AH143" i="3" s="1"/>
  <c r="AG59" i="3"/>
  <c r="AH59" i="3" s="1"/>
  <c r="AG203" i="3"/>
  <c r="AH203" i="3" s="1"/>
  <c r="AG180" i="3"/>
  <c r="AH180" i="3" s="1"/>
  <c r="AG154" i="3"/>
  <c r="AH154" i="3" s="1"/>
  <c r="AG142" i="3"/>
  <c r="AH142" i="3" s="1"/>
  <c r="AG130" i="3"/>
  <c r="AH130" i="3" s="1"/>
  <c r="AG118" i="3"/>
  <c r="AH118" i="3" s="1"/>
  <c r="AG90" i="3"/>
  <c r="AH90" i="3" s="1"/>
  <c r="AG74" i="3"/>
  <c r="AH74" i="3" s="1"/>
  <c r="AG26" i="3"/>
  <c r="AH26" i="3" s="1"/>
  <c r="AG422" i="3"/>
  <c r="AH422" i="3" s="1"/>
  <c r="AG264" i="3"/>
  <c r="AH264" i="3" s="1"/>
  <c r="AG220" i="3"/>
  <c r="AH220" i="3" s="1"/>
  <c r="AG208" i="3"/>
  <c r="AH208" i="3" s="1"/>
  <c r="AG175" i="3"/>
  <c r="AH175" i="3" s="1"/>
  <c r="AG103" i="3"/>
  <c r="AH103" i="3" s="1"/>
  <c r="AG95" i="3"/>
  <c r="AH95" i="3" s="1"/>
  <c r="AG79" i="3"/>
  <c r="AH79" i="3" s="1"/>
  <c r="AG51" i="3"/>
  <c r="AH51" i="3" s="1"/>
  <c r="AG43" i="3"/>
  <c r="AH43" i="3" s="1"/>
  <c r="AG27" i="3"/>
  <c r="AH27" i="3" s="1"/>
  <c r="U638" i="3"/>
  <c r="V638" i="3" s="1"/>
  <c r="U614" i="3"/>
  <c r="V614" i="3" s="1"/>
  <c r="U619" i="3"/>
  <c r="V619" i="3" s="1"/>
  <c r="U589" i="3"/>
  <c r="V589" i="3" s="1"/>
  <c r="U609" i="3"/>
  <c r="V609" i="3" s="1"/>
  <c r="U608" i="3"/>
  <c r="V608" i="3" s="1"/>
  <c r="U526" i="3"/>
  <c r="V526" i="3" s="1"/>
  <c r="U514" i="3"/>
  <c r="V514" i="3" s="1"/>
  <c r="U502" i="3"/>
  <c r="V502" i="3" s="1"/>
  <c r="U470" i="3"/>
  <c r="V470" i="3" s="1"/>
  <c r="U575" i="3"/>
  <c r="V575" i="3" s="1"/>
  <c r="U365" i="3"/>
  <c r="V365" i="3" s="1"/>
  <c r="U293" i="3"/>
  <c r="V293" i="3" s="1"/>
  <c r="U600" i="3"/>
  <c r="V600" i="3" s="1"/>
  <c r="U593" i="3"/>
  <c r="V593" i="3" s="1"/>
  <c r="U546" i="3"/>
  <c r="V546" i="3" s="1"/>
  <c r="U542" i="3"/>
  <c r="V542" i="3" s="1"/>
  <c r="U523" i="3"/>
  <c r="V523" i="3" s="1"/>
  <c r="U471" i="3"/>
  <c r="V471" i="3" s="1"/>
  <c r="U583" i="3"/>
  <c r="V583" i="3" s="1"/>
  <c r="U505" i="3"/>
  <c r="V505" i="3" s="1"/>
  <c r="U497" i="3"/>
  <c r="V497" i="3" s="1"/>
  <c r="U508" i="3"/>
  <c r="V508" i="3" s="1"/>
  <c r="U416" i="3"/>
  <c r="V416" i="3" s="1"/>
  <c r="U535" i="3"/>
  <c r="V535" i="3" s="1"/>
  <c r="U359" i="3"/>
  <c r="V359" i="3" s="1"/>
  <c r="U248" i="3"/>
  <c r="V248" i="3" s="1"/>
  <c r="U351" i="3"/>
  <c r="V351" i="3" s="1"/>
  <c r="U343" i="3"/>
  <c r="V343" i="3" s="1"/>
  <c r="U564" i="3"/>
  <c r="V564" i="3" s="1"/>
  <c r="U388" i="3"/>
  <c r="V388" i="3" s="1"/>
  <c r="U146" i="3"/>
  <c r="V146" i="3" s="1"/>
  <c r="U66" i="3"/>
  <c r="V66" i="3" s="1"/>
  <c r="U222" i="3"/>
  <c r="V222" i="3" s="1"/>
  <c r="U19" i="3"/>
  <c r="V19" i="3" s="1"/>
  <c r="U456" i="3"/>
  <c r="V456" i="3" s="1"/>
  <c r="AG640" i="3"/>
  <c r="AH640" i="3" s="1"/>
  <c r="AG626" i="3"/>
  <c r="AH626" i="3" s="1"/>
  <c r="AG590" i="3"/>
  <c r="AH590" i="3" s="1"/>
  <c r="AG550" i="3"/>
  <c r="AH550" i="3" s="1"/>
  <c r="AG617" i="3"/>
  <c r="AH617" i="3" s="1"/>
  <c r="AG566" i="3"/>
  <c r="AH566" i="3" s="1"/>
  <c r="AG532" i="3"/>
  <c r="AH532" i="3" s="1"/>
  <c r="AG524" i="3"/>
  <c r="AH524" i="3" s="1"/>
  <c r="AG516" i="3"/>
  <c r="AH516" i="3" s="1"/>
  <c r="AG488" i="3"/>
  <c r="AH488" i="3" s="1"/>
  <c r="AG476" i="3"/>
  <c r="AH476" i="3" s="1"/>
  <c r="AG472" i="3"/>
  <c r="AH472" i="3" s="1"/>
  <c r="AG543" i="3"/>
  <c r="AH543" i="3" s="1"/>
  <c r="AG459" i="3"/>
  <c r="AH459" i="3" s="1"/>
  <c r="AG447" i="3"/>
  <c r="AH447" i="3" s="1"/>
  <c r="AG431" i="3"/>
  <c r="AH431" i="3" s="1"/>
  <c r="AG427" i="3"/>
  <c r="AH427" i="3" s="1"/>
  <c r="AG391" i="3"/>
  <c r="AH391" i="3" s="1"/>
  <c r="AG375" i="3"/>
  <c r="AH375" i="3" s="1"/>
  <c r="AG367" i="3"/>
  <c r="AH367" i="3" s="1"/>
  <c r="AG335" i="3"/>
  <c r="AH335" i="3" s="1"/>
  <c r="AG311" i="3"/>
  <c r="AH311" i="3" s="1"/>
  <c r="AG295" i="3"/>
  <c r="AH295" i="3" s="1"/>
  <c r="AG547" i="3"/>
  <c r="AH547" i="3" s="1"/>
  <c r="AG503" i="3"/>
  <c r="AH503" i="3" s="1"/>
  <c r="AG489" i="3"/>
  <c r="AH489" i="3" s="1"/>
  <c r="AG481" i="3"/>
  <c r="AH481" i="3" s="1"/>
  <c r="AG448" i="3"/>
  <c r="AH448" i="3" s="1"/>
  <c r="AG408" i="3"/>
  <c r="AH408" i="3" s="1"/>
  <c r="AG396" i="3"/>
  <c r="AH396" i="3" s="1"/>
  <c r="AG360" i="3"/>
  <c r="AH360" i="3" s="1"/>
  <c r="AG623" i="3"/>
  <c r="AH623" i="3" s="1"/>
  <c r="AG585" i="3"/>
  <c r="AH585" i="3" s="1"/>
  <c r="AG506" i="3"/>
  <c r="AH506" i="3" s="1"/>
  <c r="AG537" i="3"/>
  <c r="AH537" i="3" s="1"/>
  <c r="AG381" i="3"/>
  <c r="AH381" i="3" s="1"/>
  <c r="AG354" i="3"/>
  <c r="AH354" i="3" s="1"/>
  <c r="AG346" i="3"/>
  <c r="AH346" i="3" s="1"/>
  <c r="AG324" i="3"/>
  <c r="AH324" i="3" s="1"/>
  <c r="AG300" i="3"/>
  <c r="AH300" i="3" s="1"/>
  <c r="AG193" i="3"/>
  <c r="AH193" i="3" s="1"/>
  <c r="AG177" i="3"/>
  <c r="AH177" i="3" s="1"/>
  <c r="AG499" i="3"/>
  <c r="AH499" i="3" s="1"/>
  <c r="AG458" i="3"/>
  <c r="AH458" i="3" s="1"/>
  <c r="AG402" i="3"/>
  <c r="AH402" i="3" s="1"/>
  <c r="AG325" i="3"/>
  <c r="AH325" i="3" s="1"/>
  <c r="AG282" i="3"/>
  <c r="AH282" i="3" s="1"/>
  <c r="AG242" i="3"/>
  <c r="AH242" i="3" s="1"/>
  <c r="AG579" i="3"/>
  <c r="AH579" i="3" s="1"/>
  <c r="AG527" i="3"/>
  <c r="AH527" i="3" s="1"/>
  <c r="AG418" i="3"/>
  <c r="AH418" i="3" s="1"/>
  <c r="AG336" i="3"/>
  <c r="AH336" i="3" s="1"/>
  <c r="AG334" i="3"/>
  <c r="AH334" i="3" s="1"/>
  <c r="AG283" i="3"/>
  <c r="AH283" i="3" s="1"/>
  <c r="AG251" i="3"/>
  <c r="AH251" i="3" s="1"/>
  <c r="AG231" i="3"/>
  <c r="AH231" i="3" s="1"/>
  <c r="AG425" i="3"/>
  <c r="AH425" i="3" s="1"/>
  <c r="AG162" i="3"/>
  <c r="AH162" i="3" s="1"/>
  <c r="AG136" i="3"/>
  <c r="AH136" i="3" s="1"/>
  <c r="AG32" i="3"/>
  <c r="AH32" i="3" s="1"/>
  <c r="AG12" i="3"/>
  <c r="AH12" i="3" s="1"/>
  <c r="AG477" i="3"/>
  <c r="AH477" i="3" s="1"/>
  <c r="AG163" i="3"/>
  <c r="AH163" i="3" s="1"/>
  <c r="AG69" i="3"/>
  <c r="AH69" i="3" s="1"/>
  <c r="AG29" i="3"/>
  <c r="AH29" i="3" s="1"/>
  <c r="AG21" i="3"/>
  <c r="AH21" i="3" s="1"/>
  <c r="AG34" i="3"/>
  <c r="AH34" i="3" s="1"/>
  <c r="AG14" i="3"/>
  <c r="AH14" i="3" s="1"/>
  <c r="AG6" i="3"/>
  <c r="AH6" i="3" s="1"/>
  <c r="AG151" i="3"/>
  <c r="AH151" i="3" s="1"/>
  <c r="AG55" i="3"/>
  <c r="AH55" i="3" s="1"/>
  <c r="AG47" i="3"/>
  <c r="AH47" i="3" s="1"/>
  <c r="AG597" i="3"/>
  <c r="AH597" i="3" s="1"/>
  <c r="AG509" i="3"/>
  <c r="AH509" i="3" s="1"/>
  <c r="AG172" i="3"/>
  <c r="AH172" i="3" s="1"/>
  <c r="AG82" i="3"/>
  <c r="AH82" i="3" s="1"/>
  <c r="AG70" i="3"/>
  <c r="AH70" i="3" s="1"/>
  <c r="AG54" i="3"/>
  <c r="AH54" i="3" s="1"/>
  <c r="AG519" i="3"/>
  <c r="AH519" i="3" s="1"/>
  <c r="AG272" i="3"/>
  <c r="AH272" i="3" s="1"/>
  <c r="AG224" i="3"/>
  <c r="AH224" i="3" s="1"/>
  <c r="AG216" i="3"/>
  <c r="AH216" i="3" s="1"/>
  <c r="AG167" i="3"/>
  <c r="AH167" i="3" s="1"/>
  <c r="AG135" i="3"/>
  <c r="AH135" i="3" s="1"/>
  <c r="AG39" i="3"/>
  <c r="AH39" i="3" s="1"/>
  <c r="AG624" i="3"/>
  <c r="AH624" i="3" s="1"/>
  <c r="AG612" i="3"/>
  <c r="AH612" i="3" s="1"/>
  <c r="AG621" i="3"/>
  <c r="AH621" i="3" s="1"/>
  <c r="AG613" i="3"/>
  <c r="AH613" i="3" s="1"/>
  <c r="AG598" i="3"/>
  <c r="AH598" i="3" s="1"/>
  <c r="AG577" i="3"/>
  <c r="AH577" i="3" s="1"/>
  <c r="AG611" i="3"/>
  <c r="AH611" i="3" s="1"/>
  <c r="AG610" i="3"/>
  <c r="AH610" i="3" s="1"/>
  <c r="AG591" i="3"/>
  <c r="AH591" i="3" s="1"/>
  <c r="AG567" i="3"/>
  <c r="AH567" i="3" s="1"/>
  <c r="AG601" i="3"/>
  <c r="AH601" i="3" s="1"/>
  <c r="AG586" i="3"/>
  <c r="AH586" i="3" s="1"/>
  <c r="AG315" i="3"/>
  <c r="AH315" i="3" s="1"/>
  <c r="AG307" i="3"/>
  <c r="AH307" i="3" s="1"/>
  <c r="AG299" i="3"/>
  <c r="AH299" i="3" s="1"/>
  <c r="AG622" i="3"/>
  <c r="AH622" i="3" s="1"/>
  <c r="AG605" i="3"/>
  <c r="AH605" i="3" s="1"/>
  <c r="AG602" i="3"/>
  <c r="AH602" i="3" s="1"/>
  <c r="AG595" i="3"/>
  <c r="AH595" i="3" s="1"/>
  <c r="AG338" i="3"/>
  <c r="AH338" i="3" s="1"/>
  <c r="AG316" i="3"/>
  <c r="AH316" i="3" s="1"/>
  <c r="AG308" i="3"/>
  <c r="AH308" i="3" s="1"/>
  <c r="AG285" i="3"/>
  <c r="AH285" i="3" s="1"/>
  <c r="AG273" i="3"/>
  <c r="AH273" i="3" s="1"/>
  <c r="AG269" i="3"/>
  <c r="AH269" i="3" s="1"/>
  <c r="AG265" i="3"/>
  <c r="AH265" i="3" s="1"/>
  <c r="AG225" i="3"/>
  <c r="AH225" i="3" s="1"/>
  <c r="AG217" i="3"/>
  <c r="AH217" i="3" s="1"/>
  <c r="AG213" i="3"/>
  <c r="AH213" i="3" s="1"/>
  <c r="AG181" i="3"/>
  <c r="AH181" i="3" s="1"/>
  <c r="AG173" i="3"/>
  <c r="AH173" i="3" s="1"/>
  <c r="AG318" i="3"/>
  <c r="AH318" i="3" s="1"/>
  <c r="AG301" i="3"/>
  <c r="AH301" i="3" s="1"/>
  <c r="AG278" i="3"/>
  <c r="AH278" i="3" s="1"/>
  <c r="AG234" i="3"/>
  <c r="AH234" i="3" s="1"/>
  <c r="AG194" i="3"/>
  <c r="AH194" i="3" s="1"/>
  <c r="AG304" i="3"/>
  <c r="AH304" i="3" s="1"/>
  <c r="AG296" i="3"/>
  <c r="AH296" i="3" s="1"/>
  <c r="AG279" i="3"/>
  <c r="AH279" i="3" s="1"/>
  <c r="AG275" i="3"/>
  <c r="AH275" i="3" s="1"/>
  <c r="AG267" i="3"/>
  <c r="AH267" i="3" s="1"/>
  <c r="AG263" i="3"/>
  <c r="AH263" i="3" s="1"/>
  <c r="AG243" i="3"/>
  <c r="AH243" i="3" s="1"/>
  <c r="AG239" i="3"/>
  <c r="AH239" i="3" s="1"/>
  <c r="AG178" i="3"/>
  <c r="AH178" i="3" s="1"/>
  <c r="AG168" i="3"/>
  <c r="AH168" i="3" s="1"/>
  <c r="AG152" i="3"/>
  <c r="AH152" i="3" s="1"/>
  <c r="AG148" i="3"/>
  <c r="AH148" i="3" s="1"/>
  <c r="AG132" i="3"/>
  <c r="AH132" i="3" s="1"/>
  <c r="AG124" i="3"/>
  <c r="AH124" i="3" s="1"/>
  <c r="AG120" i="3"/>
  <c r="AH120" i="3" s="1"/>
  <c r="AG116" i="3"/>
  <c r="AH116" i="3" s="1"/>
  <c r="AG84" i="3"/>
  <c r="AH84" i="3" s="1"/>
  <c r="AG284" i="3"/>
  <c r="AH284" i="3" s="1"/>
  <c r="AG276" i="3"/>
  <c r="AH276" i="3" s="1"/>
  <c r="AG268" i="3"/>
  <c r="AH268" i="3" s="1"/>
  <c r="AG260" i="3"/>
  <c r="AH260" i="3" s="1"/>
  <c r="AG187" i="3"/>
  <c r="AH187" i="3" s="1"/>
  <c r="AG137" i="3"/>
  <c r="AH137" i="3" s="1"/>
  <c r="AG129" i="3"/>
  <c r="AH129" i="3" s="1"/>
  <c r="AG121" i="3"/>
  <c r="AH121" i="3" s="1"/>
  <c r="AG113" i="3"/>
  <c r="AH113" i="3" s="1"/>
  <c r="AG131" i="3"/>
  <c r="AH131" i="3" s="1"/>
  <c r="AG83" i="3"/>
  <c r="AH83" i="3" s="1"/>
  <c r="AG71" i="3"/>
  <c r="AH71" i="3" s="1"/>
  <c r="AG313" i="3"/>
  <c r="AH313" i="3" s="1"/>
  <c r="AG305" i="3"/>
  <c r="AH305" i="3" s="1"/>
  <c r="AG297" i="3"/>
  <c r="AH297" i="3" s="1"/>
  <c r="AG211" i="3"/>
  <c r="AH211" i="3" s="1"/>
  <c r="AG207" i="3"/>
  <c r="AH207" i="3" s="1"/>
  <c r="AG195" i="3"/>
  <c r="AH195" i="3" s="1"/>
  <c r="AG188" i="3"/>
  <c r="AH188" i="3" s="1"/>
  <c r="AG164" i="3"/>
  <c r="AH164" i="3" s="1"/>
  <c r="AG158" i="3"/>
  <c r="AH158" i="3" s="1"/>
  <c r="AG138" i="3"/>
  <c r="AH138" i="3" s="1"/>
  <c r="AG126" i="3"/>
  <c r="AH126" i="3" s="1"/>
  <c r="AG122" i="3"/>
  <c r="AH122" i="3" s="1"/>
  <c r="AG114" i="3"/>
  <c r="AH114" i="3" s="1"/>
  <c r="AG106" i="3"/>
  <c r="AH106" i="3" s="1"/>
  <c r="AG102" i="3"/>
  <c r="AH102" i="3" s="1"/>
  <c r="AG98" i="3"/>
  <c r="AH98" i="3" s="1"/>
  <c r="AG94" i="3"/>
  <c r="AH94" i="3" s="1"/>
  <c r="AG78" i="3"/>
  <c r="AH78" i="3" s="1"/>
  <c r="AG22" i="3"/>
  <c r="AH22" i="3" s="1"/>
  <c r="AG337" i="3"/>
  <c r="AH337" i="3" s="1"/>
  <c r="AG280" i="3"/>
  <c r="AH280" i="3" s="1"/>
  <c r="AG232" i="3"/>
  <c r="AH232" i="3" s="1"/>
  <c r="AG196" i="3"/>
  <c r="AH196" i="3" s="1"/>
  <c r="AG183" i="3"/>
  <c r="AH183" i="3" s="1"/>
  <c r="U578" i="3"/>
  <c r="V578" i="3" s="1"/>
  <c r="U625" i="3"/>
  <c r="V625" i="3" s="1"/>
  <c r="U616" i="3"/>
  <c r="V616" i="3" s="1"/>
  <c r="U518" i="3"/>
  <c r="V518" i="3" s="1"/>
  <c r="U486" i="3"/>
  <c r="V486" i="3" s="1"/>
  <c r="U466" i="3"/>
  <c r="V466" i="3" s="1"/>
  <c r="U457" i="3"/>
  <c r="V457" i="3" s="1"/>
  <c r="U401" i="3"/>
  <c r="V401" i="3" s="1"/>
  <c r="U353" i="3"/>
  <c r="V353" i="3" s="1"/>
  <c r="U345" i="3"/>
  <c r="V345" i="3" s="1"/>
  <c r="U333" i="3"/>
  <c r="V333" i="3" s="1"/>
  <c r="U596" i="3"/>
  <c r="V596" i="3" s="1"/>
  <c r="U531" i="3"/>
  <c r="V531" i="3" s="1"/>
  <c r="U487" i="3"/>
  <c r="V487" i="3" s="1"/>
  <c r="U446" i="3"/>
  <c r="V446" i="3" s="1"/>
  <c r="U374" i="3"/>
  <c r="V374" i="3" s="1"/>
  <c r="U366" i="3"/>
  <c r="V366" i="3" s="1"/>
  <c r="T671" i="3"/>
  <c r="U615" i="3"/>
  <c r="V615" i="3" s="1"/>
  <c r="U604" i="3"/>
  <c r="V604" i="3" s="1"/>
  <c r="U323" i="3"/>
  <c r="V323" i="3" s="1"/>
  <c r="U322" i="3"/>
  <c r="V322" i="3" s="1"/>
  <c r="U191" i="3"/>
  <c r="V191" i="3" s="1"/>
  <c r="U171" i="3"/>
  <c r="V171" i="3" s="1"/>
  <c r="U281" i="3"/>
  <c r="V281" i="3" s="1"/>
  <c r="U241" i="3"/>
  <c r="V241" i="3" s="1"/>
  <c r="U584" i="3"/>
  <c r="V584" i="3" s="1"/>
  <c r="U352" i="3"/>
  <c r="V352" i="3" s="1"/>
  <c r="U192" i="3"/>
  <c r="V192" i="3" s="1"/>
  <c r="U161" i="3"/>
  <c r="V161" i="3" s="1"/>
  <c r="U150" i="3"/>
  <c r="V150" i="3" s="1"/>
  <c r="U134" i="3"/>
  <c r="V134" i="3" s="1"/>
  <c r="U46" i="3"/>
  <c r="V46" i="3" s="1"/>
  <c r="U186" i="3"/>
  <c r="V186" i="3" s="1"/>
  <c r="U147" i="3"/>
  <c r="V147" i="3" s="1"/>
  <c r="U115" i="3"/>
  <c r="V115" i="3" s="1"/>
  <c r="U111" i="3"/>
  <c r="V111" i="3" s="1"/>
  <c r="U157" i="3"/>
  <c r="V157" i="3" s="1"/>
  <c r="U133" i="3"/>
  <c r="V133" i="3" s="1"/>
  <c r="U97" i="3"/>
  <c r="V97" i="3" s="1"/>
  <c r="U93" i="3"/>
  <c r="V93" i="3" s="1"/>
  <c r="U77" i="3"/>
  <c r="V77" i="3" s="1"/>
  <c r="U128" i="3"/>
  <c r="V128" i="3" s="1"/>
  <c r="U68" i="3"/>
  <c r="V68" i="3" s="1"/>
  <c r="U20" i="3"/>
  <c r="V20" i="3" s="1"/>
  <c r="U4" i="3"/>
  <c r="U395" i="3"/>
  <c r="V395" i="3" s="1"/>
  <c r="U250" i="3"/>
  <c r="V250" i="3" s="1"/>
  <c r="U182" i="3"/>
  <c r="V182" i="3" s="1"/>
  <c r="U81" i="3"/>
  <c r="V81" i="3" s="1"/>
  <c r="U53" i="3"/>
  <c r="V53" i="3" s="1"/>
  <c r="U33" i="3"/>
  <c r="V33" i="3" s="1"/>
  <c r="U626" i="3"/>
  <c r="V626" i="3" s="1"/>
  <c r="U590" i="3"/>
  <c r="V590" i="3" s="1"/>
  <c r="U566" i="3"/>
  <c r="V566" i="3" s="1"/>
  <c r="U597" i="3"/>
  <c r="V597" i="3" s="1"/>
  <c r="U623" i="3"/>
  <c r="V623" i="3" s="1"/>
  <c r="U617" i="3"/>
  <c r="V617" i="3" s="1"/>
  <c r="U543" i="3"/>
  <c r="V543" i="3" s="1"/>
  <c r="U506" i="3"/>
  <c r="V506" i="3" s="1"/>
  <c r="U537" i="3"/>
  <c r="V537" i="3" s="1"/>
  <c r="U509" i="3"/>
  <c r="V509" i="3" s="1"/>
  <c r="U477" i="3"/>
  <c r="V477" i="3" s="1"/>
  <c r="U425" i="3"/>
  <c r="V425" i="3" s="1"/>
  <c r="U381" i="3"/>
  <c r="V381" i="3" s="1"/>
  <c r="U325" i="3"/>
  <c r="V325" i="3" s="1"/>
  <c r="U640" i="3"/>
  <c r="V640" i="3" s="1"/>
  <c r="U585" i="3"/>
  <c r="V585" i="3" s="1"/>
  <c r="U579" i="3"/>
  <c r="V579" i="3" s="1"/>
  <c r="U550" i="3"/>
  <c r="V550" i="3" s="1"/>
  <c r="U547" i="3"/>
  <c r="V547" i="3" s="1"/>
  <c r="U532" i="3"/>
  <c r="V532" i="3" s="1"/>
  <c r="U524" i="3"/>
  <c r="V524" i="3" s="1"/>
  <c r="U516" i="3"/>
  <c r="V516" i="3" s="1"/>
  <c r="U503" i="3"/>
  <c r="V503" i="3" s="1"/>
  <c r="U488" i="3"/>
  <c r="V488" i="3" s="1"/>
  <c r="U472" i="3"/>
  <c r="V472" i="3" s="1"/>
  <c r="U458" i="3"/>
  <c r="V458" i="3" s="1"/>
  <c r="U418" i="3"/>
  <c r="V418" i="3" s="1"/>
  <c r="U402" i="3"/>
  <c r="V402" i="3" s="1"/>
  <c r="U489" i="3"/>
  <c r="V489" i="3" s="1"/>
  <c r="U481" i="3"/>
  <c r="V481" i="3" s="1"/>
  <c r="U519" i="3"/>
  <c r="V519" i="3" s="1"/>
  <c r="U476" i="3"/>
  <c r="V476" i="3" s="1"/>
  <c r="U408" i="3"/>
  <c r="V408" i="3" s="1"/>
  <c r="U354" i="3"/>
  <c r="V354" i="3" s="1"/>
  <c r="U346" i="3"/>
  <c r="V346" i="3" s="1"/>
  <c r="U283" i="3"/>
  <c r="V283" i="3" s="1"/>
  <c r="U251" i="3"/>
  <c r="V251" i="3" s="1"/>
  <c r="U231" i="3"/>
  <c r="V231" i="3" s="1"/>
  <c r="U167" i="3"/>
  <c r="V167" i="3" s="1"/>
  <c r="U163" i="3"/>
  <c r="V163" i="3" s="1"/>
  <c r="U367" i="3"/>
  <c r="V367" i="3" s="1"/>
  <c r="U360" i="3"/>
  <c r="V360" i="3" s="1"/>
  <c r="U324" i="3"/>
  <c r="V324" i="3" s="1"/>
  <c r="U300" i="3"/>
  <c r="V300" i="3" s="1"/>
  <c r="U272" i="3"/>
  <c r="V272" i="3" s="1"/>
  <c r="U224" i="3"/>
  <c r="V224" i="3" s="1"/>
  <c r="U216" i="3"/>
  <c r="V216" i="3" s="1"/>
  <c r="U499" i="3"/>
  <c r="V499" i="3" s="1"/>
  <c r="U431" i="3"/>
  <c r="V431" i="3" s="1"/>
  <c r="U427" i="3"/>
  <c r="V427" i="3" s="1"/>
  <c r="U375" i="3"/>
  <c r="V375" i="3" s="1"/>
  <c r="U335" i="3"/>
  <c r="V335" i="3" s="1"/>
  <c r="U334" i="3"/>
  <c r="V334" i="3" s="1"/>
  <c r="U311" i="3"/>
  <c r="V311" i="3" s="1"/>
  <c r="U295" i="3"/>
  <c r="V295" i="3" s="1"/>
  <c r="U396" i="3"/>
  <c r="V396" i="3" s="1"/>
  <c r="U336" i="3"/>
  <c r="V336" i="3" s="1"/>
  <c r="U177" i="3"/>
  <c r="V177" i="3" s="1"/>
  <c r="U82" i="3"/>
  <c r="V82" i="3" s="1"/>
  <c r="U70" i="3"/>
  <c r="V70" i="3" s="1"/>
  <c r="U54" i="3"/>
  <c r="V54" i="3" s="1"/>
  <c r="U34" i="3"/>
  <c r="V34" i="3" s="1"/>
  <c r="U14" i="3"/>
  <c r="V14" i="3" s="1"/>
  <c r="U6" i="3"/>
  <c r="V6" i="3" s="1"/>
  <c r="U527" i="3"/>
  <c r="V527" i="3" s="1"/>
  <c r="U447" i="3"/>
  <c r="V447" i="3" s="1"/>
  <c r="U391" i="3"/>
  <c r="V391" i="3" s="1"/>
  <c r="U193" i="3"/>
  <c r="V193" i="3" s="1"/>
  <c r="U162" i="3"/>
  <c r="V162" i="3" s="1"/>
  <c r="U151" i="3"/>
  <c r="V151" i="3" s="1"/>
  <c r="U135" i="3"/>
  <c r="V135" i="3" s="1"/>
  <c r="U55" i="3"/>
  <c r="V55" i="3" s="1"/>
  <c r="U47" i="3"/>
  <c r="V47" i="3" s="1"/>
  <c r="U39" i="3"/>
  <c r="V39" i="3" s="1"/>
  <c r="U32" i="3"/>
  <c r="V32" i="3" s="1"/>
  <c r="U12" i="3"/>
  <c r="V12" i="3" s="1"/>
  <c r="U21" i="3"/>
  <c r="V21" i="3" s="1"/>
  <c r="U448" i="3"/>
  <c r="V448" i="3" s="1"/>
  <c r="U172" i="3"/>
  <c r="V172" i="3" s="1"/>
  <c r="U136" i="3"/>
  <c r="V136" i="3" s="1"/>
  <c r="U459" i="3"/>
  <c r="V459" i="3" s="1"/>
  <c r="U282" i="3"/>
  <c r="V282" i="3" s="1"/>
  <c r="U242" i="3"/>
  <c r="V242" i="3" s="1"/>
  <c r="U69" i="3"/>
  <c r="V69" i="3" s="1"/>
  <c r="U29" i="3"/>
  <c r="V29" i="3" s="1"/>
  <c r="U582" i="3"/>
  <c r="V582" i="3" s="1"/>
  <c r="U570" i="3"/>
  <c r="V570" i="3" s="1"/>
  <c r="U631" i="3"/>
  <c r="V631" i="3" s="1"/>
  <c r="U556" i="3"/>
  <c r="V556" i="3" s="1"/>
  <c r="U534" i="3"/>
  <c r="V534" i="3" s="1"/>
  <c r="U522" i="3"/>
  <c r="V522" i="3" s="1"/>
  <c r="U529" i="3"/>
  <c r="V529" i="3" s="1"/>
  <c r="U501" i="3"/>
  <c r="V501" i="3" s="1"/>
  <c r="U485" i="3"/>
  <c r="V485" i="3" s="1"/>
  <c r="U469" i="3"/>
  <c r="V469" i="3" s="1"/>
  <c r="U437" i="3"/>
  <c r="V437" i="3" s="1"/>
  <c r="U496" i="3"/>
  <c r="V496" i="3" s="1"/>
  <c r="U495" i="3"/>
  <c r="V495" i="3" s="1"/>
  <c r="U480" i="3"/>
  <c r="V480" i="3" s="1"/>
  <c r="U430" i="3"/>
  <c r="V430" i="3" s="1"/>
  <c r="U414" i="3"/>
  <c r="V414" i="3" s="1"/>
  <c r="U394" i="3"/>
  <c r="V394" i="3" s="1"/>
  <c r="U390" i="3"/>
  <c r="V390" i="3" s="1"/>
  <c r="U607" i="3"/>
  <c r="V607" i="3" s="1"/>
  <c r="U545" i="3"/>
  <c r="V545" i="3" s="1"/>
  <c r="U513" i="3"/>
  <c r="V513" i="3" s="1"/>
  <c r="U475" i="3"/>
  <c r="V475" i="3" s="1"/>
  <c r="U464" i="3"/>
  <c r="V464" i="3" s="1"/>
  <c r="U407" i="3"/>
  <c r="V407" i="3" s="1"/>
  <c r="U314" i="3"/>
  <c r="V314" i="3" s="1"/>
  <c r="U271" i="3"/>
  <c r="V271" i="3" s="1"/>
  <c r="U259" i="3"/>
  <c r="V259" i="3" s="1"/>
  <c r="U255" i="3"/>
  <c r="V255" i="3" s="1"/>
  <c r="U247" i="3"/>
  <c r="V247" i="3" s="1"/>
  <c r="U215" i="3"/>
  <c r="V215" i="3" s="1"/>
  <c r="U588" i="3"/>
  <c r="V588" i="3" s="1"/>
  <c r="U541" i="3"/>
  <c r="V541" i="3" s="1"/>
  <c r="U423" i="3"/>
  <c r="V423" i="3" s="1"/>
  <c r="U364" i="3"/>
  <c r="V364" i="3" s="1"/>
  <c r="U332" i="3"/>
  <c r="V332" i="3" s="1"/>
  <c r="U292" i="3"/>
  <c r="V292" i="3" s="1"/>
  <c r="U240" i="3"/>
  <c r="V240" i="3" s="1"/>
  <c r="U204" i="3"/>
  <c r="V204" i="3" s="1"/>
  <c r="U372" i="3"/>
  <c r="V372" i="3" s="1"/>
  <c r="U358" i="3"/>
  <c r="V358" i="3" s="1"/>
  <c r="U350" i="3"/>
  <c r="V350" i="3" s="1"/>
  <c r="U342" i="3"/>
  <c r="V342" i="3" s="1"/>
  <c r="U257" i="3"/>
  <c r="V257" i="3" s="1"/>
  <c r="U237" i="3"/>
  <c r="V237" i="3" s="1"/>
  <c r="U233" i="3"/>
  <c r="V233" i="3" s="1"/>
  <c r="U229" i="3"/>
  <c r="V229" i="3" s="1"/>
  <c r="U221" i="3"/>
  <c r="V221" i="3" s="1"/>
  <c r="U380" i="3"/>
  <c r="V380" i="3" s="1"/>
  <c r="U185" i="3"/>
  <c r="V185" i="3" s="1"/>
  <c r="U176" i="3"/>
  <c r="V176" i="3" s="1"/>
  <c r="U110" i="3"/>
  <c r="V110" i="3" s="1"/>
  <c r="U38" i="3"/>
  <c r="V38" i="3" s="1"/>
  <c r="U18" i="3"/>
  <c r="V18" i="3" s="1"/>
  <c r="U10" i="3"/>
  <c r="V10" i="3" s="1"/>
  <c r="U592" i="3"/>
  <c r="V592" i="3" s="1"/>
  <c r="U455" i="3"/>
  <c r="V455" i="3" s="1"/>
  <c r="U270" i="3"/>
  <c r="V270" i="3" s="1"/>
  <c r="U262" i="3"/>
  <c r="V262" i="3" s="1"/>
  <c r="U210" i="3"/>
  <c r="V210" i="3" s="1"/>
  <c r="U209" i="3"/>
  <c r="V209" i="3" s="1"/>
  <c r="U205" i="3"/>
  <c r="V205" i="3" s="1"/>
  <c r="U170" i="3"/>
  <c r="V170" i="3" s="1"/>
  <c r="U155" i="3"/>
  <c r="V155" i="3" s="1"/>
  <c r="U127" i="3"/>
  <c r="V127" i="3" s="1"/>
  <c r="U123" i="3"/>
  <c r="V123" i="3" s="1"/>
  <c r="U119" i="3"/>
  <c r="V119" i="3" s="1"/>
  <c r="U91" i="3"/>
  <c r="V91" i="3" s="1"/>
  <c r="U75" i="3"/>
  <c r="V75" i="3" s="1"/>
  <c r="U31" i="3"/>
  <c r="V31" i="3" s="1"/>
  <c r="U44" i="3"/>
  <c r="V44" i="3" s="1"/>
  <c r="U28" i="3"/>
  <c r="V28" i="3" s="1"/>
  <c r="U166" i="3"/>
  <c r="V166" i="3" s="1"/>
  <c r="U149" i="3"/>
  <c r="V149" i="3" s="1"/>
  <c r="U145" i="3"/>
  <c r="V145" i="3" s="1"/>
  <c r="U125" i="3"/>
  <c r="V125" i="3" s="1"/>
  <c r="U400" i="3"/>
  <c r="V400" i="3" s="1"/>
  <c r="U160" i="3"/>
  <c r="V160" i="3" s="1"/>
  <c r="U144" i="3"/>
  <c r="V144" i="3" s="1"/>
  <c r="U104" i="3"/>
  <c r="V104" i="3" s="1"/>
  <c r="U96" i="3"/>
  <c r="V96" i="3" s="1"/>
  <c r="U80" i="3"/>
  <c r="V80" i="3" s="1"/>
  <c r="U76" i="3"/>
  <c r="V76" i="3" s="1"/>
  <c r="U60" i="3"/>
  <c r="V60" i="3" s="1"/>
  <c r="U52" i="3"/>
  <c r="V52" i="3" s="1"/>
  <c r="U387" i="3"/>
  <c r="V387" i="3" s="1"/>
  <c r="U274" i="3"/>
  <c r="V274" i="3" s="1"/>
  <c r="U266" i="3"/>
  <c r="V266" i="3" s="1"/>
  <c r="U190" i="3"/>
  <c r="V190" i="3" s="1"/>
  <c r="U109" i="3"/>
  <c r="V109" i="3" s="1"/>
  <c r="U105" i="3"/>
  <c r="V105" i="3" s="1"/>
  <c r="U101" i="3"/>
  <c r="V101" i="3" s="1"/>
  <c r="U544" i="3"/>
  <c r="V544" i="3" s="1"/>
  <c r="U551" i="3"/>
  <c r="V551" i="3" s="1"/>
  <c r="U490" i="3"/>
  <c r="V490" i="3" s="1"/>
  <c r="U461" i="3"/>
  <c r="V461" i="3" s="1"/>
  <c r="U409" i="3"/>
  <c r="V409" i="3" s="1"/>
  <c r="U382" i="3"/>
  <c r="V382" i="3" s="1"/>
  <c r="U627" i="3"/>
  <c r="V627" i="3" s="1"/>
  <c r="U525" i="3"/>
  <c r="V525" i="3" s="1"/>
  <c r="U473" i="3"/>
  <c r="V473" i="3" s="1"/>
  <c r="U460" i="3"/>
  <c r="V460" i="3" s="1"/>
  <c r="U403" i="3"/>
  <c r="V403" i="3" s="1"/>
  <c r="U419" i="3"/>
  <c r="V419" i="3" s="1"/>
  <c r="U424" i="3"/>
  <c r="V424" i="3" s="1"/>
  <c r="U368" i="3"/>
  <c r="V368" i="3" s="1"/>
  <c r="U326" i="3"/>
  <c r="V326" i="3" s="1"/>
  <c r="U432" i="3"/>
  <c r="V432" i="3" s="1"/>
  <c r="U40" i="3"/>
  <c r="V40" i="3" s="1"/>
  <c r="U5" i="3"/>
  <c r="V5" i="3" s="1"/>
  <c r="U376" i="3"/>
  <c r="V376" i="3" s="1"/>
  <c r="U56" i="3"/>
  <c r="V56" i="3" s="1"/>
  <c r="U48" i="3"/>
  <c r="V48" i="3" s="1"/>
  <c r="U636" i="3"/>
  <c r="V636" i="3" s="1"/>
  <c r="U561" i="3"/>
  <c r="V561" i="3" s="1"/>
  <c r="U442" i="3"/>
  <c r="V442" i="3" s="1"/>
  <c r="U573" i="3"/>
  <c r="V573" i="3" s="1"/>
  <c r="U415" i="3"/>
  <c r="V415" i="3" s="1"/>
  <c r="U64" i="3"/>
  <c r="V64" i="3" s="1"/>
  <c r="U622" i="3"/>
  <c r="V622" i="3" s="1"/>
  <c r="U610" i="3"/>
  <c r="V610" i="3" s="1"/>
  <c r="U602" i="3"/>
  <c r="V602" i="3" s="1"/>
  <c r="U598" i="3"/>
  <c r="V598" i="3" s="1"/>
  <c r="U586" i="3"/>
  <c r="V586" i="3" s="1"/>
  <c r="U612" i="3"/>
  <c r="V612" i="3" s="1"/>
  <c r="U605" i="3"/>
  <c r="V605" i="3" s="1"/>
  <c r="U624" i="3"/>
  <c r="V624" i="3" s="1"/>
  <c r="U611" i="3"/>
  <c r="V611" i="3" s="1"/>
  <c r="U595" i="3"/>
  <c r="V595" i="3" s="1"/>
  <c r="U337" i="3"/>
  <c r="V337" i="3" s="1"/>
  <c r="U313" i="3"/>
  <c r="V313" i="3" s="1"/>
  <c r="U305" i="3"/>
  <c r="V305" i="3" s="1"/>
  <c r="U301" i="3"/>
  <c r="V301" i="3" s="1"/>
  <c r="U297" i="3"/>
  <c r="V297" i="3" s="1"/>
  <c r="U621" i="3"/>
  <c r="V621" i="3" s="1"/>
  <c r="U591" i="3"/>
  <c r="V591" i="3" s="1"/>
  <c r="U577" i="3"/>
  <c r="V577" i="3" s="1"/>
  <c r="U338" i="3"/>
  <c r="V338" i="3" s="1"/>
  <c r="U315" i="3"/>
  <c r="V315" i="3" s="1"/>
  <c r="U307" i="3"/>
  <c r="V307" i="3" s="1"/>
  <c r="U299" i="3"/>
  <c r="V299" i="3" s="1"/>
  <c r="U279" i="3"/>
  <c r="V279" i="3" s="1"/>
  <c r="U275" i="3"/>
  <c r="V275" i="3" s="1"/>
  <c r="U267" i="3"/>
  <c r="V267" i="3" s="1"/>
  <c r="U263" i="3"/>
  <c r="V263" i="3" s="1"/>
  <c r="U243" i="3"/>
  <c r="V243" i="3" s="1"/>
  <c r="U239" i="3"/>
  <c r="V239" i="3" s="1"/>
  <c r="U211" i="3"/>
  <c r="V211" i="3" s="1"/>
  <c r="U207" i="3"/>
  <c r="V207" i="3" s="1"/>
  <c r="U195" i="3"/>
  <c r="V195" i="3" s="1"/>
  <c r="U187" i="3"/>
  <c r="V187" i="3" s="1"/>
  <c r="U183" i="3"/>
  <c r="V183" i="3" s="1"/>
  <c r="U613" i="3"/>
  <c r="V613" i="3" s="1"/>
  <c r="U567" i="3"/>
  <c r="V567" i="3" s="1"/>
  <c r="U318" i="3"/>
  <c r="V318" i="3" s="1"/>
  <c r="U316" i="3"/>
  <c r="V316" i="3" s="1"/>
  <c r="U308" i="3"/>
  <c r="V308" i="3" s="1"/>
  <c r="U284" i="3"/>
  <c r="V284" i="3" s="1"/>
  <c r="U280" i="3"/>
  <c r="V280" i="3" s="1"/>
  <c r="U276" i="3"/>
  <c r="V276" i="3" s="1"/>
  <c r="U268" i="3"/>
  <c r="V268" i="3" s="1"/>
  <c r="U260" i="3"/>
  <c r="V260" i="3" s="1"/>
  <c r="U232" i="3"/>
  <c r="V232" i="3" s="1"/>
  <c r="U196" i="3"/>
  <c r="V196" i="3" s="1"/>
  <c r="U285" i="3"/>
  <c r="V285" i="3" s="1"/>
  <c r="U273" i="3"/>
  <c r="V273" i="3" s="1"/>
  <c r="U269" i="3"/>
  <c r="V269" i="3" s="1"/>
  <c r="U265" i="3"/>
  <c r="V265" i="3" s="1"/>
  <c r="U225" i="3"/>
  <c r="V225" i="3" s="1"/>
  <c r="U168" i="3"/>
  <c r="V168" i="3" s="1"/>
  <c r="U158" i="3"/>
  <c r="V158" i="3" s="1"/>
  <c r="U138" i="3"/>
  <c r="V138" i="3" s="1"/>
  <c r="U126" i="3"/>
  <c r="V126" i="3" s="1"/>
  <c r="U122" i="3"/>
  <c r="V122" i="3" s="1"/>
  <c r="U114" i="3"/>
  <c r="V114" i="3" s="1"/>
  <c r="U106" i="3"/>
  <c r="V106" i="3" s="1"/>
  <c r="U102" i="3"/>
  <c r="V102" i="3" s="1"/>
  <c r="U98" i="3"/>
  <c r="V98" i="3" s="1"/>
  <c r="U94" i="3"/>
  <c r="V94" i="3" s="1"/>
  <c r="U78" i="3"/>
  <c r="V78" i="3" s="1"/>
  <c r="U22" i="3"/>
  <c r="V22" i="3" s="1"/>
  <c r="U278" i="3"/>
  <c r="V278" i="3" s="1"/>
  <c r="U217" i="3"/>
  <c r="V217" i="3" s="1"/>
  <c r="U213" i="3"/>
  <c r="V213" i="3" s="1"/>
  <c r="U194" i="3"/>
  <c r="V194" i="3" s="1"/>
  <c r="U178" i="3"/>
  <c r="V178" i="3" s="1"/>
  <c r="U131" i="3"/>
  <c r="V131" i="3" s="1"/>
  <c r="U83" i="3"/>
  <c r="V83" i="3" s="1"/>
  <c r="U71" i="3"/>
  <c r="V71" i="3" s="1"/>
  <c r="U129" i="3"/>
  <c r="V129" i="3" s="1"/>
  <c r="U121" i="3"/>
  <c r="V121" i="3" s="1"/>
  <c r="U601" i="3"/>
  <c r="V601" i="3" s="1"/>
  <c r="U188" i="3"/>
  <c r="V188" i="3" s="1"/>
  <c r="U181" i="3"/>
  <c r="V181" i="3" s="1"/>
  <c r="U173" i="3"/>
  <c r="V173" i="3" s="1"/>
  <c r="U164" i="3"/>
  <c r="V164" i="3" s="1"/>
  <c r="U152" i="3"/>
  <c r="V152" i="3" s="1"/>
  <c r="U148" i="3"/>
  <c r="V148" i="3" s="1"/>
  <c r="U132" i="3"/>
  <c r="V132" i="3" s="1"/>
  <c r="U124" i="3"/>
  <c r="V124" i="3" s="1"/>
  <c r="U120" i="3"/>
  <c r="V120" i="3" s="1"/>
  <c r="U116" i="3"/>
  <c r="V116" i="3" s="1"/>
  <c r="U84" i="3"/>
  <c r="V84" i="3" s="1"/>
  <c r="U304" i="3"/>
  <c r="V304" i="3" s="1"/>
  <c r="U296" i="3"/>
  <c r="V296" i="3" s="1"/>
  <c r="U234" i="3"/>
  <c r="V234" i="3" s="1"/>
  <c r="U137" i="3"/>
  <c r="V137" i="3" s="1"/>
  <c r="U113" i="3"/>
  <c r="V113" i="3" s="1"/>
  <c r="AG563" i="3"/>
  <c r="AH563" i="3" s="1"/>
  <c r="AG444" i="3"/>
  <c r="AH444" i="3" s="1"/>
  <c r="AG637" i="3"/>
  <c r="AH637" i="3" s="1"/>
  <c r="U637" i="3"/>
  <c r="V637" i="3" s="1"/>
  <c r="U563" i="3"/>
  <c r="V563" i="3" s="1"/>
  <c r="U444" i="3"/>
  <c r="V444" i="3" s="1"/>
  <c r="U634" i="3"/>
  <c r="V634" i="3" s="1"/>
  <c r="U559" i="3"/>
  <c r="V559" i="3" s="1"/>
  <c r="U530" i="3"/>
  <c r="V530" i="3" s="1"/>
  <c r="U572" i="3"/>
  <c r="V572" i="3" s="1"/>
  <c r="U62" i="3"/>
  <c r="V62" i="3" s="1"/>
  <c r="U440" i="3"/>
  <c r="V440" i="3" s="1"/>
  <c r="U45" i="3"/>
  <c r="V45" i="3" s="1"/>
  <c r="U571" i="3"/>
  <c r="V571" i="3" s="1"/>
  <c r="U558" i="3"/>
  <c r="V558" i="3" s="1"/>
  <c r="U549" i="3"/>
  <c r="V549" i="3" s="1"/>
  <c r="U633" i="3"/>
  <c r="V633" i="3" s="1"/>
  <c r="U439" i="3"/>
  <c r="V439" i="3" s="1"/>
  <c r="U61" i="3"/>
  <c r="V61" i="3" s="1"/>
  <c r="AF658" i="3"/>
  <c r="AG592" i="3"/>
  <c r="AH592" i="3" s="1"/>
  <c r="AG588" i="3"/>
  <c r="AH588" i="3" s="1"/>
  <c r="AG631" i="3"/>
  <c r="AH631" i="3" s="1"/>
  <c r="AG582" i="3"/>
  <c r="AH582" i="3" s="1"/>
  <c r="AG570" i="3"/>
  <c r="AH570" i="3" s="1"/>
  <c r="AG496" i="3"/>
  <c r="AH496" i="3" s="1"/>
  <c r="AG480" i="3"/>
  <c r="AH480" i="3" s="1"/>
  <c r="AG607" i="3"/>
  <c r="AH607" i="3" s="1"/>
  <c r="AG541" i="3"/>
  <c r="AH541" i="3" s="1"/>
  <c r="AG522" i="3"/>
  <c r="AH522" i="3" s="1"/>
  <c r="AG455" i="3"/>
  <c r="AH455" i="3" s="1"/>
  <c r="AG423" i="3"/>
  <c r="AH423" i="3" s="1"/>
  <c r="AG407" i="3"/>
  <c r="AH407" i="3" s="1"/>
  <c r="AG387" i="3"/>
  <c r="AH387" i="3" s="1"/>
  <c r="AG513" i="3"/>
  <c r="AH513" i="3" s="1"/>
  <c r="AG495" i="3"/>
  <c r="AH495" i="3" s="1"/>
  <c r="AG464" i="3"/>
  <c r="AH464" i="3" s="1"/>
  <c r="AG400" i="3"/>
  <c r="AH400" i="3" s="1"/>
  <c r="AG380" i="3"/>
  <c r="AH380" i="3" s="1"/>
  <c r="AG372" i="3"/>
  <c r="AH372" i="3" s="1"/>
  <c r="AG364" i="3"/>
  <c r="AH364" i="3" s="1"/>
  <c r="AG556" i="3"/>
  <c r="AH556" i="3" s="1"/>
  <c r="AG534" i="3"/>
  <c r="AH534" i="3" s="1"/>
  <c r="AG469" i="3"/>
  <c r="AH469" i="3" s="1"/>
  <c r="AG437" i="3"/>
  <c r="AH437" i="3" s="1"/>
  <c r="AG430" i="3"/>
  <c r="AH430" i="3" s="1"/>
  <c r="AG332" i="3"/>
  <c r="AH332" i="3" s="1"/>
  <c r="AG314" i="3"/>
  <c r="AH314" i="3" s="1"/>
  <c r="AG292" i="3"/>
  <c r="AH292" i="3" s="1"/>
  <c r="AG257" i="3"/>
  <c r="AH257" i="3" s="1"/>
  <c r="AG237" i="3"/>
  <c r="AH237" i="3" s="1"/>
  <c r="AG233" i="3"/>
  <c r="AH233" i="3" s="1"/>
  <c r="AG229" i="3"/>
  <c r="AH229" i="3" s="1"/>
  <c r="AG221" i="3"/>
  <c r="AH221" i="3" s="1"/>
  <c r="AG209" i="3"/>
  <c r="AH209" i="3" s="1"/>
  <c r="AG205" i="3"/>
  <c r="AH205" i="3" s="1"/>
  <c r="AG185" i="3"/>
  <c r="AH185" i="3" s="1"/>
  <c r="AG545" i="3"/>
  <c r="AH545" i="3" s="1"/>
  <c r="AG501" i="3"/>
  <c r="AH501" i="3" s="1"/>
  <c r="AG485" i="3"/>
  <c r="AH485" i="3" s="1"/>
  <c r="AG394" i="3"/>
  <c r="AH394" i="3" s="1"/>
  <c r="AG390" i="3"/>
  <c r="AH390" i="3" s="1"/>
  <c r="AG274" i="3"/>
  <c r="AH274" i="3" s="1"/>
  <c r="AG270" i="3"/>
  <c r="AH270" i="3" s="1"/>
  <c r="AG266" i="3"/>
  <c r="AH266" i="3" s="1"/>
  <c r="AG262" i="3"/>
  <c r="AH262" i="3" s="1"/>
  <c r="AG210" i="3"/>
  <c r="AH210" i="3" s="1"/>
  <c r="AG529" i="3"/>
  <c r="AH529" i="3" s="1"/>
  <c r="AG414" i="3"/>
  <c r="AH414" i="3" s="1"/>
  <c r="AG350" i="3"/>
  <c r="AH350" i="3" s="1"/>
  <c r="AG342" i="3"/>
  <c r="AH342" i="3" s="1"/>
  <c r="AG271" i="3"/>
  <c r="AH271" i="3" s="1"/>
  <c r="AG259" i="3"/>
  <c r="AH259" i="3" s="1"/>
  <c r="AG255" i="3"/>
  <c r="AH255" i="3" s="1"/>
  <c r="AG247" i="3"/>
  <c r="AH247" i="3" s="1"/>
  <c r="AG176" i="3"/>
  <c r="AH176" i="3" s="1"/>
  <c r="AG170" i="3"/>
  <c r="AH170" i="3" s="1"/>
  <c r="AG160" i="3"/>
  <c r="AH160" i="3" s="1"/>
  <c r="AG144" i="3"/>
  <c r="AH144" i="3" s="1"/>
  <c r="AG104" i="3"/>
  <c r="AH104" i="3" s="1"/>
  <c r="AG96" i="3"/>
  <c r="AH96" i="3" s="1"/>
  <c r="AG80" i="3"/>
  <c r="AH80" i="3" s="1"/>
  <c r="AG76" i="3"/>
  <c r="AH76" i="3" s="1"/>
  <c r="AG60" i="3"/>
  <c r="AH60" i="3" s="1"/>
  <c r="AG52" i="3"/>
  <c r="AH52" i="3" s="1"/>
  <c r="AG44" i="3"/>
  <c r="AH44" i="3" s="1"/>
  <c r="AG28" i="3"/>
  <c r="AH28" i="3" s="1"/>
  <c r="AG475" i="3"/>
  <c r="AH475" i="3" s="1"/>
  <c r="AG358" i="3"/>
  <c r="AH358" i="3" s="1"/>
  <c r="AG149" i="3"/>
  <c r="AH149" i="3" s="1"/>
  <c r="AG145" i="3"/>
  <c r="AH145" i="3" s="1"/>
  <c r="AG125" i="3"/>
  <c r="AH125" i="3" s="1"/>
  <c r="AG109" i="3"/>
  <c r="AH109" i="3" s="1"/>
  <c r="AG105" i="3"/>
  <c r="AH105" i="3" s="1"/>
  <c r="AG101" i="3"/>
  <c r="AH101" i="3" s="1"/>
  <c r="AG38" i="3"/>
  <c r="AH38" i="3" s="1"/>
  <c r="AG155" i="3"/>
  <c r="AH155" i="3" s="1"/>
  <c r="AG127" i="3"/>
  <c r="AH127" i="3" s="1"/>
  <c r="AG123" i="3"/>
  <c r="AH123" i="3" s="1"/>
  <c r="AG119" i="3"/>
  <c r="AH119" i="3" s="1"/>
  <c r="AG31" i="3"/>
  <c r="AH31" i="3" s="1"/>
  <c r="AG215" i="3"/>
  <c r="AH215" i="3" s="1"/>
  <c r="AG190" i="3"/>
  <c r="AH190" i="3" s="1"/>
  <c r="AG166" i="3"/>
  <c r="AH166" i="3" s="1"/>
  <c r="AG110" i="3"/>
  <c r="AH110" i="3" s="1"/>
  <c r="AG18" i="3"/>
  <c r="AH18" i="3" s="1"/>
  <c r="AG10" i="3"/>
  <c r="AH10" i="3" s="1"/>
  <c r="AG240" i="3"/>
  <c r="AH240" i="3" s="1"/>
  <c r="AG204" i="3"/>
  <c r="AH204" i="3" s="1"/>
  <c r="AG91" i="3"/>
  <c r="AH91" i="3" s="1"/>
  <c r="AG75" i="3"/>
  <c r="AH75" i="3" s="1"/>
  <c r="AG636" i="3"/>
  <c r="AH636" i="3" s="1"/>
  <c r="AG415" i="3"/>
  <c r="AH415" i="3" s="1"/>
  <c r="AG561" i="3"/>
  <c r="AH561" i="3" s="1"/>
  <c r="AG442" i="3"/>
  <c r="AH442" i="3" s="1"/>
  <c r="AG573" i="3"/>
  <c r="AH573" i="3" s="1"/>
  <c r="AG64" i="3"/>
  <c r="AH64" i="3" s="1"/>
  <c r="U606" i="3"/>
  <c r="V606" i="3" s="1"/>
  <c r="U581" i="3"/>
  <c r="V581" i="3" s="1"/>
  <c r="U569" i="3"/>
  <c r="V569" i="3" s="1"/>
  <c r="U587" i="3"/>
  <c r="V587" i="3" s="1"/>
  <c r="U474" i="3"/>
  <c r="V474" i="3" s="1"/>
  <c r="U521" i="3"/>
  <c r="V521" i="3" s="1"/>
  <c r="U421" i="3"/>
  <c r="V421" i="3" s="1"/>
  <c r="U405" i="3"/>
  <c r="V405" i="3" s="1"/>
  <c r="U329" i="3"/>
  <c r="V329" i="3" s="1"/>
  <c r="U321" i="3"/>
  <c r="V321" i="3" s="1"/>
  <c r="U309" i="3"/>
  <c r="V309" i="3" s="1"/>
  <c r="U629" i="3"/>
  <c r="V629" i="3" s="1"/>
  <c r="U603" i="3"/>
  <c r="V603" i="3" s="1"/>
  <c r="U539" i="3"/>
  <c r="V539" i="3" s="1"/>
  <c r="U511" i="3"/>
  <c r="V511" i="3" s="1"/>
  <c r="U462" i="3"/>
  <c r="V462" i="3" s="1"/>
  <c r="U450" i="3"/>
  <c r="V450" i="3" s="1"/>
  <c r="U434" i="3"/>
  <c r="V434" i="3" s="1"/>
  <c r="U398" i="3"/>
  <c r="V398" i="3" s="1"/>
  <c r="U378" i="3"/>
  <c r="V378" i="3" s="1"/>
  <c r="U370" i="3"/>
  <c r="V370" i="3" s="1"/>
  <c r="U362" i="3"/>
  <c r="V362" i="3" s="1"/>
  <c r="U553" i="3"/>
  <c r="V553" i="3" s="1"/>
  <c r="U492" i="3"/>
  <c r="V492" i="3" s="1"/>
  <c r="U491" i="3"/>
  <c r="V491" i="3" s="1"/>
  <c r="U411" i="3"/>
  <c r="V411" i="3" s="1"/>
  <c r="U287" i="3"/>
  <c r="V287" i="3" s="1"/>
  <c r="U235" i="3"/>
  <c r="V235" i="3" s="1"/>
  <c r="U199" i="3"/>
  <c r="V199" i="3" s="1"/>
  <c r="U179" i="3"/>
  <c r="V179" i="3" s="1"/>
  <c r="U356" i="3"/>
  <c r="V356" i="3" s="1"/>
  <c r="U348" i="3"/>
  <c r="V348" i="3" s="1"/>
  <c r="U340" i="3"/>
  <c r="V340" i="3" s="1"/>
  <c r="U288" i="3"/>
  <c r="V288" i="3" s="1"/>
  <c r="U212" i="3"/>
  <c r="V212" i="3" s="1"/>
  <c r="U483" i="3"/>
  <c r="V483" i="3" s="1"/>
  <c r="U253" i="3"/>
  <c r="V253" i="3" s="1"/>
  <c r="U245" i="3"/>
  <c r="V245" i="3" s="1"/>
  <c r="U328" i="3"/>
  <c r="V328" i="3" s="1"/>
  <c r="U169" i="3"/>
  <c r="V169" i="3" s="1"/>
  <c r="U86" i="3"/>
  <c r="V86" i="3" s="1"/>
  <c r="U58" i="3"/>
  <c r="V58" i="3" s="1"/>
  <c r="U50" i="3"/>
  <c r="V50" i="3" s="1"/>
  <c r="U42" i="3"/>
  <c r="V42" i="3" s="1"/>
  <c r="U218" i="3"/>
  <c r="V218" i="3" s="1"/>
  <c r="U214" i="3"/>
  <c r="V214" i="3" s="1"/>
  <c r="U107" i="3"/>
  <c r="V107" i="3" s="1"/>
  <c r="U99" i="3"/>
  <c r="V99" i="3" s="1"/>
  <c r="U87" i="3"/>
  <c r="V87" i="3" s="1"/>
  <c r="U36" i="3"/>
  <c r="V36" i="3" s="1"/>
  <c r="U141" i="3"/>
  <c r="V141" i="3" s="1"/>
  <c r="U117" i="3"/>
  <c r="V117" i="3" s="1"/>
  <c r="U73" i="3"/>
  <c r="V73" i="3" s="1"/>
  <c r="U384" i="3"/>
  <c r="V384" i="3" s="1"/>
  <c r="U140" i="3"/>
  <c r="V140" i="3" s="1"/>
  <c r="U72" i="3"/>
  <c r="V72" i="3" s="1"/>
  <c r="U24" i="3"/>
  <c r="V24" i="3" s="1"/>
  <c r="U16" i="3"/>
  <c r="V16" i="3" s="1"/>
  <c r="U8" i="3"/>
  <c r="V8" i="3" s="1"/>
  <c r="U451" i="3"/>
  <c r="V451" i="3" s="1"/>
  <c r="U226" i="3"/>
  <c r="V226" i="3" s="1"/>
  <c r="U174" i="3"/>
  <c r="V174" i="3" s="1"/>
  <c r="U13" i="3"/>
  <c r="V13" i="3" s="1"/>
  <c r="U574" i="3"/>
  <c r="V574" i="3" s="1"/>
  <c r="U562" i="3"/>
  <c r="V562" i="3" s="1"/>
  <c r="U373" i="3"/>
  <c r="V373" i="3" s="1"/>
  <c r="U443" i="3"/>
  <c r="V443" i="3" s="1"/>
  <c r="U65" i="3"/>
  <c r="V65" i="3" s="1"/>
  <c r="AG606" i="3"/>
  <c r="AH606" i="3" s="1"/>
  <c r="AG492" i="3"/>
  <c r="AH492" i="3" s="1"/>
  <c r="AG587" i="3"/>
  <c r="AH587" i="3" s="1"/>
  <c r="AG581" i="3"/>
  <c r="AH581" i="3" s="1"/>
  <c r="AG553" i="3"/>
  <c r="AH553" i="3" s="1"/>
  <c r="AG451" i="3"/>
  <c r="AH451" i="3" s="1"/>
  <c r="AG411" i="3"/>
  <c r="AH411" i="3" s="1"/>
  <c r="AG539" i="3"/>
  <c r="AH539" i="3" s="1"/>
  <c r="AG511" i="3"/>
  <c r="AH511" i="3" s="1"/>
  <c r="AG384" i="3"/>
  <c r="AH384" i="3" s="1"/>
  <c r="AG629" i="3"/>
  <c r="AH629" i="3" s="1"/>
  <c r="AG474" i="3"/>
  <c r="AH474" i="3" s="1"/>
  <c r="AG569" i="3"/>
  <c r="AH569" i="3" s="1"/>
  <c r="AG370" i="3"/>
  <c r="AH370" i="3" s="1"/>
  <c r="AG356" i="3"/>
  <c r="AH356" i="3" s="1"/>
  <c r="AG348" i="3"/>
  <c r="AH348" i="3" s="1"/>
  <c r="AG340" i="3"/>
  <c r="AH340" i="3" s="1"/>
  <c r="AG253" i="3"/>
  <c r="AH253" i="3" s="1"/>
  <c r="AG245" i="3"/>
  <c r="AH245" i="3" s="1"/>
  <c r="AG169" i="3"/>
  <c r="AH169" i="3" s="1"/>
  <c r="AG483" i="3"/>
  <c r="AH483" i="3" s="1"/>
  <c r="AG450" i="3"/>
  <c r="AH450" i="3" s="1"/>
  <c r="AG434" i="3"/>
  <c r="AH434" i="3" s="1"/>
  <c r="AG405" i="3"/>
  <c r="AH405" i="3" s="1"/>
  <c r="AG398" i="3"/>
  <c r="AH398" i="3" s="1"/>
  <c r="AG378" i="3"/>
  <c r="AH378" i="3" s="1"/>
  <c r="AG309" i="3"/>
  <c r="AH309" i="3" s="1"/>
  <c r="AG226" i="3"/>
  <c r="AH226" i="3" s="1"/>
  <c r="AG218" i="3"/>
  <c r="AH218" i="3" s="1"/>
  <c r="AG214" i="3"/>
  <c r="AH214" i="3" s="1"/>
  <c r="AG603" i="3"/>
  <c r="AH603" i="3" s="1"/>
  <c r="AG462" i="3"/>
  <c r="AH462" i="3" s="1"/>
  <c r="AG421" i="3"/>
  <c r="AH421" i="3" s="1"/>
  <c r="AG328" i="3"/>
  <c r="AH328" i="3" s="1"/>
  <c r="AG287" i="3"/>
  <c r="AH287" i="3" s="1"/>
  <c r="AG235" i="3"/>
  <c r="AH235" i="3" s="1"/>
  <c r="AG491" i="3"/>
  <c r="AH491" i="3" s="1"/>
  <c r="AG140" i="3"/>
  <c r="AH140" i="3" s="1"/>
  <c r="AG72" i="3"/>
  <c r="AH72" i="3" s="1"/>
  <c r="AG36" i="3"/>
  <c r="AH36" i="3" s="1"/>
  <c r="AG24" i="3"/>
  <c r="AH24" i="3" s="1"/>
  <c r="AG16" i="3"/>
  <c r="AH16" i="3" s="1"/>
  <c r="AG8" i="3"/>
  <c r="AH8" i="3" s="1"/>
  <c r="AG362" i="3"/>
  <c r="AH362" i="3" s="1"/>
  <c r="AG179" i="3"/>
  <c r="AH179" i="3" s="1"/>
  <c r="AG141" i="3"/>
  <c r="AH141" i="3" s="1"/>
  <c r="AG117" i="3"/>
  <c r="AH117" i="3" s="1"/>
  <c r="AG73" i="3"/>
  <c r="AH73" i="3" s="1"/>
  <c r="AG13" i="3"/>
  <c r="AH13" i="3" s="1"/>
  <c r="AG42" i="3"/>
  <c r="AH42" i="3" s="1"/>
  <c r="AG99" i="3"/>
  <c r="AH99" i="3" s="1"/>
  <c r="AG199" i="3"/>
  <c r="AH199" i="3" s="1"/>
  <c r="AG174" i="3"/>
  <c r="AH174" i="3" s="1"/>
  <c r="AG86" i="3"/>
  <c r="AH86" i="3" s="1"/>
  <c r="AG58" i="3"/>
  <c r="AH58" i="3" s="1"/>
  <c r="AG50" i="3"/>
  <c r="AH50" i="3" s="1"/>
  <c r="AG521" i="3"/>
  <c r="AH521" i="3" s="1"/>
  <c r="AG329" i="3"/>
  <c r="AH329" i="3" s="1"/>
  <c r="AG321" i="3"/>
  <c r="AH321" i="3" s="1"/>
  <c r="AG288" i="3"/>
  <c r="AH288" i="3" s="1"/>
  <c r="AG212" i="3"/>
  <c r="AH212" i="3" s="1"/>
  <c r="AG107" i="3"/>
  <c r="AH107" i="3" s="1"/>
  <c r="AG87" i="3"/>
  <c r="AH87" i="3" s="1"/>
  <c r="AG608" i="3"/>
  <c r="AH608" i="3" s="1"/>
  <c r="AG600" i="3"/>
  <c r="AH600" i="3" s="1"/>
  <c r="AG564" i="3"/>
  <c r="AH564" i="3" s="1"/>
  <c r="AG638" i="3"/>
  <c r="AH638" i="3" s="1"/>
  <c r="AG619" i="3"/>
  <c r="AH619" i="3" s="1"/>
  <c r="AG546" i="3"/>
  <c r="AH546" i="3" s="1"/>
  <c r="AG542" i="3"/>
  <c r="AH542" i="3" s="1"/>
  <c r="AG609" i="3"/>
  <c r="AH609" i="3" s="1"/>
  <c r="AG583" i="3"/>
  <c r="AH583" i="3" s="1"/>
  <c r="AG508" i="3"/>
  <c r="AH508" i="3" s="1"/>
  <c r="AG589" i="3"/>
  <c r="AH589" i="3" s="1"/>
  <c r="AG502" i="3"/>
  <c r="AH502" i="3" s="1"/>
  <c r="AG470" i="3"/>
  <c r="AH470" i="3" s="1"/>
  <c r="AG359" i="3"/>
  <c r="AH359" i="3" s="1"/>
  <c r="AG351" i="3"/>
  <c r="AH351" i="3" s="1"/>
  <c r="AG343" i="3"/>
  <c r="AH343" i="3" s="1"/>
  <c r="AG523" i="3"/>
  <c r="AH523" i="3" s="1"/>
  <c r="AG505" i="3"/>
  <c r="AH505" i="3" s="1"/>
  <c r="AG497" i="3"/>
  <c r="AH497" i="3" s="1"/>
  <c r="AG471" i="3"/>
  <c r="AH471" i="3" s="1"/>
  <c r="AG456" i="3"/>
  <c r="AH456" i="3" s="1"/>
  <c r="AG416" i="3"/>
  <c r="AH416" i="3" s="1"/>
  <c r="AG388" i="3"/>
  <c r="AH388" i="3" s="1"/>
  <c r="AG614" i="3"/>
  <c r="AH614" i="3" s="1"/>
  <c r="AG593" i="3"/>
  <c r="AH593" i="3" s="1"/>
  <c r="AG575" i="3"/>
  <c r="AH575" i="3" s="1"/>
  <c r="AG526" i="3"/>
  <c r="AH526" i="3" s="1"/>
  <c r="AG514" i="3"/>
  <c r="AH514" i="3" s="1"/>
  <c r="AG535" i="3"/>
  <c r="AH535" i="3" s="1"/>
  <c r="AG293" i="3"/>
  <c r="AH293" i="3" s="1"/>
  <c r="AG222" i="3"/>
  <c r="AH222" i="3" s="1"/>
  <c r="AG365" i="3"/>
  <c r="AH365" i="3" s="1"/>
  <c r="AG19" i="3"/>
  <c r="AH19" i="3" s="1"/>
  <c r="AG146" i="3"/>
  <c r="AH146" i="3" s="1"/>
  <c r="AG66" i="3"/>
  <c r="AH66" i="3" s="1"/>
  <c r="AG248" i="3"/>
  <c r="AH248" i="3" s="1"/>
  <c r="AG628" i="3"/>
  <c r="AH628" i="3" s="1"/>
  <c r="AG580" i="3"/>
  <c r="AH580" i="3" s="1"/>
  <c r="AG568" i="3"/>
  <c r="AH568" i="3" s="1"/>
  <c r="AG538" i="3"/>
  <c r="AH538" i="3" s="1"/>
  <c r="AG618" i="3"/>
  <c r="AH618" i="3" s="1"/>
  <c r="AG552" i="3"/>
  <c r="AH552" i="3" s="1"/>
  <c r="AG528" i="3"/>
  <c r="AH528" i="3" s="1"/>
  <c r="AG520" i="3"/>
  <c r="AH520" i="3" s="1"/>
  <c r="AG504" i="3"/>
  <c r="AH504" i="3" s="1"/>
  <c r="AG500" i="3"/>
  <c r="AH500" i="3" s="1"/>
  <c r="AG510" i="3"/>
  <c r="AH510" i="3" s="1"/>
  <c r="AG478" i="3"/>
  <c r="AH478" i="3" s="1"/>
  <c r="AG383" i="3"/>
  <c r="AH383" i="3" s="1"/>
  <c r="AG355" i="3"/>
  <c r="AH355" i="3" s="1"/>
  <c r="AG347" i="3"/>
  <c r="AH347" i="3" s="1"/>
  <c r="AG339" i="3"/>
  <c r="AH339" i="3" s="1"/>
  <c r="AG327" i="3"/>
  <c r="AH327" i="3" s="1"/>
  <c r="AG548" i="3"/>
  <c r="AH548" i="3" s="1"/>
  <c r="AG533" i="3"/>
  <c r="AH533" i="3" s="1"/>
  <c r="AG517" i="3"/>
  <c r="AH517" i="3" s="1"/>
  <c r="AG420" i="3"/>
  <c r="AH420" i="3" s="1"/>
  <c r="AG404" i="3"/>
  <c r="AH404" i="3" s="1"/>
  <c r="AG392" i="3"/>
  <c r="AH392" i="3" s="1"/>
  <c r="AG482" i="3"/>
  <c r="AH482" i="3" s="1"/>
  <c r="AG449" i="3"/>
  <c r="AH449" i="3" s="1"/>
  <c r="AG433" i="3"/>
  <c r="AH433" i="3" s="1"/>
  <c r="AG397" i="3"/>
  <c r="AH397" i="3" s="1"/>
  <c r="AG377" i="3"/>
  <c r="AH377" i="3" s="1"/>
  <c r="AG197" i="3"/>
  <c r="AH197" i="3" s="1"/>
  <c r="AG286" i="3"/>
  <c r="AH286" i="3" s="1"/>
  <c r="AG198" i="3"/>
  <c r="AH198" i="3" s="1"/>
  <c r="AG410" i="3"/>
  <c r="AH410" i="3" s="1"/>
  <c r="AG361" i="3"/>
  <c r="AH361" i="3" s="1"/>
  <c r="AG302" i="3"/>
  <c r="AH302" i="3" s="1"/>
  <c r="AG467" i="3"/>
  <c r="AH467" i="3" s="1"/>
  <c r="AG184" i="3"/>
  <c r="AH184" i="3" s="1"/>
  <c r="AG369" i="3"/>
  <c r="AH369" i="3" s="1"/>
  <c r="AG252" i="3"/>
  <c r="AH252" i="3" s="1"/>
  <c r="AG244" i="3"/>
  <c r="AH244" i="3" s="1"/>
  <c r="AG153" i="3"/>
  <c r="AH153" i="3" s="1"/>
  <c r="AG85" i="3"/>
  <c r="AH85" i="3" s="1"/>
  <c r="AG57" i="3"/>
  <c r="AH57" i="3" s="1"/>
  <c r="AG49" i="3"/>
  <c r="AH49" i="3" s="1"/>
  <c r="AG41" i="3"/>
  <c r="AH41" i="3" s="1"/>
  <c r="AG30" i="3"/>
  <c r="AH30" i="3" s="1"/>
  <c r="AG23" i="3"/>
  <c r="AH23" i="3" s="1"/>
  <c r="AG7" i="3"/>
  <c r="AH7" i="3" s="1"/>
  <c r="AG139" i="3"/>
  <c r="AH139" i="3" s="1"/>
  <c r="AG35" i="3"/>
  <c r="AH35" i="3" s="1"/>
  <c r="AG15" i="3"/>
  <c r="AH15" i="3" s="1"/>
  <c r="U618" i="3"/>
  <c r="V618" i="3" s="1"/>
  <c r="U552" i="3"/>
  <c r="V552" i="3" s="1"/>
  <c r="U548" i="3"/>
  <c r="V548" i="3" s="1"/>
  <c r="U510" i="3"/>
  <c r="V510" i="3" s="1"/>
  <c r="U482" i="3"/>
  <c r="V482" i="3" s="1"/>
  <c r="U478" i="3"/>
  <c r="V478" i="3" s="1"/>
  <c r="U628" i="3"/>
  <c r="V628" i="3" s="1"/>
  <c r="U449" i="3"/>
  <c r="V449" i="3" s="1"/>
  <c r="U433" i="3"/>
  <c r="V433" i="3" s="1"/>
  <c r="U397" i="3"/>
  <c r="V397" i="3" s="1"/>
  <c r="U377" i="3"/>
  <c r="V377" i="3" s="1"/>
  <c r="U369" i="3"/>
  <c r="V369" i="3" s="1"/>
  <c r="U361" i="3"/>
  <c r="V361" i="3" s="1"/>
  <c r="U568" i="3"/>
  <c r="V568" i="3" s="1"/>
  <c r="U538" i="3"/>
  <c r="V538" i="3" s="1"/>
  <c r="U504" i="3"/>
  <c r="V504" i="3" s="1"/>
  <c r="U410" i="3"/>
  <c r="V410" i="3" s="1"/>
  <c r="U533" i="3"/>
  <c r="V533" i="3" s="1"/>
  <c r="U517" i="3"/>
  <c r="V517" i="3" s="1"/>
  <c r="U520" i="3"/>
  <c r="V520" i="3" s="1"/>
  <c r="U404" i="3"/>
  <c r="V404" i="3" s="1"/>
  <c r="U355" i="3"/>
  <c r="V355" i="3" s="1"/>
  <c r="U347" i="3"/>
  <c r="V347" i="3" s="1"/>
  <c r="U339" i="3"/>
  <c r="V339" i="3" s="1"/>
  <c r="U580" i="3"/>
  <c r="V580" i="3" s="1"/>
  <c r="U467" i="3"/>
  <c r="V467" i="3" s="1"/>
  <c r="U420" i="3"/>
  <c r="V420" i="3" s="1"/>
  <c r="U252" i="3"/>
  <c r="V252" i="3" s="1"/>
  <c r="U244" i="3"/>
  <c r="V244" i="3" s="1"/>
  <c r="U500" i="3"/>
  <c r="V500" i="3" s="1"/>
  <c r="U327" i="3"/>
  <c r="V327" i="3" s="1"/>
  <c r="U302" i="3"/>
  <c r="V302" i="3" s="1"/>
  <c r="U184" i="3"/>
  <c r="V184" i="3" s="1"/>
  <c r="U30" i="3"/>
  <c r="V30" i="3" s="1"/>
  <c r="U383" i="3"/>
  <c r="V383" i="3" s="1"/>
  <c r="U286" i="3"/>
  <c r="V286" i="3" s="1"/>
  <c r="U198" i="3"/>
  <c r="V198" i="3" s="1"/>
  <c r="U197" i="3"/>
  <c r="V197" i="3" s="1"/>
  <c r="U139" i="3"/>
  <c r="V139" i="3" s="1"/>
  <c r="U35" i="3"/>
  <c r="V35" i="3" s="1"/>
  <c r="U23" i="3"/>
  <c r="V23" i="3" s="1"/>
  <c r="U15" i="3"/>
  <c r="V15" i="3" s="1"/>
  <c r="U7" i="3"/>
  <c r="V7" i="3" s="1"/>
  <c r="U153" i="3"/>
  <c r="V153" i="3" s="1"/>
  <c r="U85" i="3"/>
  <c r="V85" i="3" s="1"/>
  <c r="U57" i="3"/>
  <c r="V57" i="3" s="1"/>
  <c r="U49" i="3"/>
  <c r="V49" i="3" s="1"/>
  <c r="U392" i="3"/>
  <c r="V392" i="3" s="1"/>
  <c r="U528" i="3"/>
  <c r="V528" i="3" s="1"/>
  <c r="U41" i="3"/>
  <c r="V41" i="3" s="1"/>
  <c r="AG632" i="3"/>
  <c r="AH632" i="3" s="1"/>
  <c r="AG557" i="3"/>
  <c r="AH557" i="3" s="1"/>
  <c r="AG438" i="3"/>
  <c r="AH438" i="3" s="1"/>
  <c r="AG11" i="3"/>
  <c r="AH11" i="3" s="1"/>
  <c r="AG443" i="3"/>
  <c r="AH443" i="3" s="1"/>
  <c r="AG574" i="3"/>
  <c r="AH574" i="3" s="1"/>
  <c r="AG562" i="3"/>
  <c r="AH562" i="3" s="1"/>
  <c r="AG373" i="3"/>
  <c r="AH373" i="3" s="1"/>
  <c r="AG65" i="3"/>
  <c r="AH65" i="3" s="1"/>
  <c r="AG616" i="3"/>
  <c r="AH616" i="3" s="1"/>
  <c r="AG604" i="3"/>
  <c r="AH604" i="3" s="1"/>
  <c r="AG596" i="3"/>
  <c r="AH596" i="3" s="1"/>
  <c r="AG584" i="3"/>
  <c r="AH584" i="3" s="1"/>
  <c r="AG615" i="3"/>
  <c r="AH615" i="3" s="1"/>
  <c r="AG486" i="3"/>
  <c r="AH486" i="3" s="1"/>
  <c r="AG395" i="3"/>
  <c r="AH395" i="3" s="1"/>
  <c r="AG323" i="3"/>
  <c r="AH323" i="3" s="1"/>
  <c r="AG625" i="3"/>
  <c r="AH625" i="3" s="1"/>
  <c r="AG578" i="3"/>
  <c r="AH578" i="3" s="1"/>
  <c r="AG531" i="3"/>
  <c r="AH531" i="3" s="1"/>
  <c r="AG487" i="3"/>
  <c r="AH487" i="3" s="1"/>
  <c r="AG518" i="3"/>
  <c r="AH518" i="3" s="1"/>
  <c r="AG457" i="3"/>
  <c r="AH457" i="3" s="1"/>
  <c r="AG401" i="3"/>
  <c r="AH401" i="3" s="1"/>
  <c r="AG374" i="3"/>
  <c r="AH374" i="3" s="1"/>
  <c r="AG322" i="3"/>
  <c r="AH322" i="3" s="1"/>
  <c r="AG281" i="3"/>
  <c r="AH281" i="3" s="1"/>
  <c r="AG241" i="3"/>
  <c r="AH241" i="3" s="1"/>
  <c r="AG161" i="3"/>
  <c r="AH161" i="3" s="1"/>
  <c r="AG466" i="3"/>
  <c r="AH466" i="3" s="1"/>
  <c r="AG446" i="3"/>
  <c r="AH446" i="3" s="1"/>
  <c r="AG333" i="3"/>
  <c r="AH333" i="3" s="1"/>
  <c r="AG250" i="3"/>
  <c r="AH250" i="3" s="1"/>
  <c r="AG352" i="3"/>
  <c r="AH352" i="3" s="1"/>
  <c r="AG192" i="3"/>
  <c r="AH192" i="3" s="1"/>
  <c r="AG186" i="3"/>
  <c r="AH186" i="3" s="1"/>
  <c r="AG128" i="3"/>
  <c r="AH128" i="3" s="1"/>
  <c r="AG68" i="3"/>
  <c r="AH68" i="3" s="1"/>
  <c r="AG20" i="3"/>
  <c r="AH20" i="3" s="1"/>
  <c r="AG4" i="3"/>
  <c r="AH4" i="3" s="1"/>
  <c r="AG366" i="3"/>
  <c r="AH366" i="3" s="1"/>
  <c r="AG171" i="3"/>
  <c r="AH171" i="3" s="1"/>
  <c r="AG157" i="3"/>
  <c r="AH157" i="3" s="1"/>
  <c r="AG133" i="3"/>
  <c r="AH133" i="3" s="1"/>
  <c r="AG97" i="3"/>
  <c r="AH97" i="3" s="1"/>
  <c r="AG93" i="3"/>
  <c r="AH93" i="3" s="1"/>
  <c r="AG81" i="3"/>
  <c r="AH81" i="3" s="1"/>
  <c r="AG77" i="3"/>
  <c r="AH77" i="3" s="1"/>
  <c r="AG53" i="3"/>
  <c r="AH53" i="3" s="1"/>
  <c r="AG33" i="3"/>
  <c r="AH33" i="3" s="1"/>
  <c r="AG147" i="3"/>
  <c r="AH147" i="3" s="1"/>
  <c r="AG115" i="3"/>
  <c r="AH115" i="3" s="1"/>
  <c r="AG182" i="3"/>
  <c r="AH182" i="3" s="1"/>
  <c r="AG150" i="3"/>
  <c r="AH150" i="3" s="1"/>
  <c r="AG134" i="3"/>
  <c r="AH134" i="3" s="1"/>
  <c r="AG46" i="3"/>
  <c r="AH46" i="3" s="1"/>
  <c r="AG353" i="3"/>
  <c r="AH353" i="3" s="1"/>
  <c r="AG345" i="3"/>
  <c r="AH345" i="3" s="1"/>
  <c r="AG191" i="3"/>
  <c r="AH191" i="3" s="1"/>
  <c r="AG111" i="3"/>
  <c r="AH111" i="3" s="1"/>
  <c r="AF650" i="3"/>
  <c r="Y193" i="4"/>
  <c r="Y198" i="4" s="1"/>
  <c r="W646" i="3" l="1"/>
  <c r="AG558" i="3"/>
  <c r="AH558" i="3" s="1"/>
  <c r="AG633" i="3"/>
  <c r="AH633" i="3" s="1"/>
  <c r="AG571" i="3"/>
  <c r="AH571" i="3" s="1"/>
  <c r="AG549" i="3"/>
  <c r="AH549" i="3" s="1"/>
  <c r="AG439" i="3"/>
  <c r="AH439" i="3" s="1"/>
  <c r="AG61" i="3"/>
  <c r="AH61" i="3" s="1"/>
  <c r="AG544" i="3"/>
  <c r="AH544" i="3" s="1"/>
  <c r="AG627" i="3"/>
  <c r="AH627" i="3" s="1"/>
  <c r="AG419" i="3"/>
  <c r="AH419" i="3" s="1"/>
  <c r="AG403" i="3"/>
  <c r="AH403" i="3" s="1"/>
  <c r="AG551" i="3"/>
  <c r="AH551" i="3" s="1"/>
  <c r="AG525" i="3"/>
  <c r="AH525" i="3" s="1"/>
  <c r="AG473" i="3"/>
  <c r="AH473" i="3" s="1"/>
  <c r="AG460" i="3"/>
  <c r="AH460" i="3" s="1"/>
  <c r="AG432" i="3"/>
  <c r="AH432" i="3" s="1"/>
  <c r="AG424" i="3"/>
  <c r="AH424" i="3" s="1"/>
  <c r="AG376" i="3"/>
  <c r="AH376" i="3" s="1"/>
  <c r="AG368" i="3"/>
  <c r="AH368" i="3" s="1"/>
  <c r="AG490" i="3"/>
  <c r="AH490" i="3" s="1"/>
  <c r="AG461" i="3"/>
  <c r="AH461" i="3" s="1"/>
  <c r="AG409" i="3"/>
  <c r="AH409" i="3" s="1"/>
  <c r="AG382" i="3"/>
  <c r="AH382" i="3" s="1"/>
  <c r="AG326" i="3"/>
  <c r="AH326" i="3" s="1"/>
  <c r="AG56" i="3"/>
  <c r="AH56" i="3" s="1"/>
  <c r="AG48" i="3"/>
  <c r="AH48" i="3" s="1"/>
  <c r="AG40" i="3"/>
  <c r="AH40" i="3" s="1"/>
  <c r="AG5" i="3"/>
  <c r="AH5" i="3" s="1"/>
  <c r="W647" i="3"/>
  <c r="AF671" i="3"/>
  <c r="V4" i="3"/>
  <c r="V642" i="3" s="1"/>
  <c r="W658" i="3"/>
  <c r="AC649" i="3"/>
  <c r="W648" i="3"/>
  <c r="W659" i="3"/>
  <c r="W662" i="3"/>
  <c r="W669" i="3"/>
  <c r="W651" i="3"/>
  <c r="W661" i="3"/>
  <c r="W650" i="3"/>
  <c r="W667" i="3"/>
  <c r="AC660" i="3"/>
  <c r="AC668" i="3"/>
  <c r="AC646" i="3"/>
  <c r="W663" i="3"/>
  <c r="W666" i="3"/>
  <c r="AC655" i="3"/>
  <c r="W656" i="3"/>
  <c r="W668" i="3"/>
  <c r="W652" i="3"/>
  <c r="AC665" i="3"/>
  <c r="AC656" i="3"/>
  <c r="AC648" i="3"/>
  <c r="W655" i="3"/>
  <c r="AC653" i="3"/>
  <c r="W649" i="3"/>
  <c r="AC654" i="3"/>
  <c r="W653" i="3"/>
  <c r="AC667" i="3"/>
  <c r="W665" i="3"/>
  <c r="AC659" i="3"/>
  <c r="W657" i="3"/>
  <c r="W664" i="3"/>
  <c r="AC647" i="3"/>
  <c r="W645" i="3"/>
  <c r="W660" i="3"/>
  <c r="W654" i="3"/>
  <c r="AC663" i="3"/>
  <c r="AH642" i="3" l="1"/>
  <c r="X611" i="3"/>
  <c r="Y611" i="3" s="1"/>
  <c r="X595" i="3"/>
  <c r="Y595" i="3" s="1"/>
  <c r="X591" i="3"/>
  <c r="Y591" i="3" s="1"/>
  <c r="X567" i="3"/>
  <c r="Y567" i="3" s="1"/>
  <c r="X621" i="3"/>
  <c r="Y621" i="3" s="1"/>
  <c r="X613" i="3"/>
  <c r="Y613" i="3" s="1"/>
  <c r="X598" i="3"/>
  <c r="Y598" i="3" s="1"/>
  <c r="X577" i="3"/>
  <c r="Y577" i="3" s="1"/>
  <c r="X622" i="3"/>
  <c r="Y622" i="3" s="1"/>
  <c r="X602" i="3"/>
  <c r="Y602" i="3" s="1"/>
  <c r="X338" i="3"/>
  <c r="Y338" i="3" s="1"/>
  <c r="X318" i="3"/>
  <c r="Y318" i="3" s="1"/>
  <c r="X612" i="3"/>
  <c r="Y612" i="3" s="1"/>
  <c r="X624" i="3"/>
  <c r="Y624" i="3" s="1"/>
  <c r="X610" i="3"/>
  <c r="Y610" i="3" s="1"/>
  <c r="X601" i="3"/>
  <c r="Y601" i="3" s="1"/>
  <c r="X586" i="3"/>
  <c r="Y586" i="3" s="1"/>
  <c r="X316" i="3"/>
  <c r="Y316" i="3" s="1"/>
  <c r="X308" i="3"/>
  <c r="Y308" i="3" s="1"/>
  <c r="X285" i="3"/>
  <c r="Y285" i="3" s="1"/>
  <c r="X273" i="3"/>
  <c r="Y273" i="3" s="1"/>
  <c r="X269" i="3"/>
  <c r="Y269" i="3" s="1"/>
  <c r="X265" i="3"/>
  <c r="Y265" i="3" s="1"/>
  <c r="X225" i="3"/>
  <c r="Y225" i="3" s="1"/>
  <c r="X217" i="3"/>
  <c r="Y217" i="3" s="1"/>
  <c r="X213" i="3"/>
  <c r="Y213" i="3" s="1"/>
  <c r="X181" i="3"/>
  <c r="Y181" i="3" s="1"/>
  <c r="X173" i="3"/>
  <c r="Y173" i="3" s="1"/>
  <c r="X301" i="3"/>
  <c r="Y301" i="3" s="1"/>
  <c r="X278" i="3"/>
  <c r="Y278" i="3" s="1"/>
  <c r="X234" i="3"/>
  <c r="Y234" i="3" s="1"/>
  <c r="X194" i="3"/>
  <c r="Y194" i="3" s="1"/>
  <c r="X605" i="3"/>
  <c r="Y605" i="3" s="1"/>
  <c r="X304" i="3"/>
  <c r="Y304" i="3" s="1"/>
  <c r="X296" i="3"/>
  <c r="Y296" i="3" s="1"/>
  <c r="X279" i="3"/>
  <c r="Y279" i="3" s="1"/>
  <c r="X275" i="3"/>
  <c r="Y275" i="3" s="1"/>
  <c r="X267" i="3"/>
  <c r="Y267" i="3" s="1"/>
  <c r="X263" i="3"/>
  <c r="Y263" i="3" s="1"/>
  <c r="X243" i="3"/>
  <c r="Y243" i="3" s="1"/>
  <c r="X239" i="3"/>
  <c r="Y239" i="3" s="1"/>
  <c r="X337" i="3"/>
  <c r="Y337" i="3" s="1"/>
  <c r="X280" i="3"/>
  <c r="Y280" i="3" s="1"/>
  <c r="X232" i="3"/>
  <c r="Y232" i="3" s="1"/>
  <c r="X211" i="3"/>
  <c r="Y211" i="3" s="1"/>
  <c r="X207" i="3"/>
  <c r="Y207" i="3" s="1"/>
  <c r="X195" i="3"/>
  <c r="Y195" i="3" s="1"/>
  <c r="X187" i="3"/>
  <c r="Y187" i="3" s="1"/>
  <c r="X152" i="3"/>
  <c r="Y152" i="3" s="1"/>
  <c r="X148" i="3"/>
  <c r="Y148" i="3" s="1"/>
  <c r="X132" i="3"/>
  <c r="Y132" i="3" s="1"/>
  <c r="X124" i="3"/>
  <c r="Y124" i="3" s="1"/>
  <c r="X120" i="3"/>
  <c r="Y120" i="3" s="1"/>
  <c r="X116" i="3"/>
  <c r="Y116" i="3" s="1"/>
  <c r="X84" i="3"/>
  <c r="Y84" i="3" s="1"/>
  <c r="X196" i="3"/>
  <c r="Y196" i="3" s="1"/>
  <c r="X188" i="3"/>
  <c r="Y188" i="3" s="1"/>
  <c r="X164" i="3"/>
  <c r="Y164" i="3" s="1"/>
  <c r="X137" i="3"/>
  <c r="Y137" i="3" s="1"/>
  <c r="X129" i="3"/>
  <c r="Y129" i="3" s="1"/>
  <c r="X121" i="3"/>
  <c r="Y121" i="3" s="1"/>
  <c r="X113" i="3"/>
  <c r="Y113" i="3" s="1"/>
  <c r="X22" i="3"/>
  <c r="Y22" i="3" s="1"/>
  <c r="X131" i="3"/>
  <c r="Y131" i="3" s="1"/>
  <c r="X83" i="3"/>
  <c r="Y83" i="3" s="1"/>
  <c r="X71" i="3"/>
  <c r="Y71" i="3" s="1"/>
  <c r="X284" i="3"/>
  <c r="Y284" i="3" s="1"/>
  <c r="X276" i="3"/>
  <c r="Y276" i="3" s="1"/>
  <c r="X268" i="3"/>
  <c r="Y268" i="3" s="1"/>
  <c r="X260" i="3"/>
  <c r="Y260" i="3" s="1"/>
  <c r="X183" i="3"/>
  <c r="Y183" i="3" s="1"/>
  <c r="X158" i="3"/>
  <c r="Y158" i="3" s="1"/>
  <c r="X138" i="3"/>
  <c r="Y138" i="3" s="1"/>
  <c r="X126" i="3"/>
  <c r="Y126" i="3" s="1"/>
  <c r="X122" i="3"/>
  <c r="Y122" i="3" s="1"/>
  <c r="X114" i="3"/>
  <c r="Y114" i="3" s="1"/>
  <c r="X106" i="3"/>
  <c r="Y106" i="3" s="1"/>
  <c r="X102" i="3"/>
  <c r="Y102" i="3" s="1"/>
  <c r="X98" i="3"/>
  <c r="Y98" i="3" s="1"/>
  <c r="X94" i="3"/>
  <c r="Y94" i="3" s="1"/>
  <c r="X78" i="3"/>
  <c r="Y78" i="3" s="1"/>
  <c r="X315" i="3"/>
  <c r="Y315" i="3" s="1"/>
  <c r="X313" i="3"/>
  <c r="Y313" i="3" s="1"/>
  <c r="X307" i="3"/>
  <c r="Y307" i="3" s="1"/>
  <c r="X305" i="3"/>
  <c r="Y305" i="3" s="1"/>
  <c r="X299" i="3"/>
  <c r="Y299" i="3" s="1"/>
  <c r="X297" i="3"/>
  <c r="Y297" i="3" s="1"/>
  <c r="X178" i="3"/>
  <c r="Y178" i="3" s="1"/>
  <c r="X168" i="3"/>
  <c r="Y168" i="3" s="1"/>
  <c r="X603" i="3"/>
  <c r="Y603" i="3" s="1"/>
  <c r="X587" i="3"/>
  <c r="Y587" i="3" s="1"/>
  <c r="X606" i="3"/>
  <c r="Y606" i="3" s="1"/>
  <c r="X553" i="3"/>
  <c r="Y553" i="3" s="1"/>
  <c r="X629" i="3"/>
  <c r="Y629" i="3" s="1"/>
  <c r="X581" i="3"/>
  <c r="Y581" i="3" s="1"/>
  <c r="X511" i="3"/>
  <c r="Y511" i="3" s="1"/>
  <c r="X491" i="3"/>
  <c r="Y491" i="3" s="1"/>
  <c r="X483" i="3"/>
  <c r="Y483" i="3" s="1"/>
  <c r="X539" i="3"/>
  <c r="Y539" i="3" s="1"/>
  <c r="X462" i="3"/>
  <c r="Y462" i="3" s="1"/>
  <c r="X450" i="3"/>
  <c r="Y450" i="3" s="1"/>
  <c r="X434" i="3"/>
  <c r="Y434" i="3" s="1"/>
  <c r="X398" i="3"/>
  <c r="Y398" i="3" s="1"/>
  <c r="X378" i="3"/>
  <c r="Y378" i="3" s="1"/>
  <c r="X370" i="3"/>
  <c r="Y370" i="3" s="1"/>
  <c r="X362" i="3"/>
  <c r="Y362" i="3" s="1"/>
  <c r="X569" i="3"/>
  <c r="Y569" i="3" s="1"/>
  <c r="X451" i="3"/>
  <c r="Y451" i="3" s="1"/>
  <c r="X411" i="3"/>
  <c r="Y411" i="3" s="1"/>
  <c r="X492" i="3"/>
  <c r="Y492" i="3" s="1"/>
  <c r="X474" i="3"/>
  <c r="Y474" i="3" s="1"/>
  <c r="X521" i="3"/>
  <c r="Y521" i="3" s="1"/>
  <c r="X405" i="3"/>
  <c r="Y405" i="3" s="1"/>
  <c r="X356" i="3"/>
  <c r="Y356" i="3" s="1"/>
  <c r="X348" i="3"/>
  <c r="Y348" i="3" s="1"/>
  <c r="X340" i="3"/>
  <c r="Y340" i="3" s="1"/>
  <c r="X253" i="3"/>
  <c r="Y253" i="3" s="1"/>
  <c r="X245" i="3"/>
  <c r="Y245" i="3" s="1"/>
  <c r="X169" i="3"/>
  <c r="Y169" i="3" s="1"/>
  <c r="X421" i="3"/>
  <c r="Y421" i="3" s="1"/>
  <c r="X309" i="3"/>
  <c r="Y309" i="3" s="1"/>
  <c r="X226" i="3"/>
  <c r="Y226" i="3" s="1"/>
  <c r="X218" i="3"/>
  <c r="Y218" i="3" s="1"/>
  <c r="X214" i="3"/>
  <c r="Y214" i="3" s="1"/>
  <c r="X384" i="3"/>
  <c r="Y384" i="3" s="1"/>
  <c r="X328" i="3"/>
  <c r="Y328" i="3" s="1"/>
  <c r="X287" i="3"/>
  <c r="Y287" i="3" s="1"/>
  <c r="X235" i="3"/>
  <c r="Y235" i="3" s="1"/>
  <c r="X329" i="3"/>
  <c r="Y329" i="3" s="1"/>
  <c r="X321" i="3"/>
  <c r="Y321" i="3" s="1"/>
  <c r="X288" i="3"/>
  <c r="Y288" i="3" s="1"/>
  <c r="X199" i="3"/>
  <c r="Y199" i="3" s="1"/>
  <c r="X179" i="3"/>
  <c r="Y179" i="3" s="1"/>
  <c r="X140" i="3"/>
  <c r="Y140" i="3" s="1"/>
  <c r="X72" i="3"/>
  <c r="Y72" i="3" s="1"/>
  <c r="X36" i="3"/>
  <c r="Y36" i="3" s="1"/>
  <c r="X24" i="3"/>
  <c r="Y24" i="3" s="1"/>
  <c r="X16" i="3"/>
  <c r="Y16" i="3" s="1"/>
  <c r="X8" i="3"/>
  <c r="Y8" i="3" s="1"/>
  <c r="X212" i="3"/>
  <c r="Y212" i="3" s="1"/>
  <c r="X174" i="3"/>
  <c r="Y174" i="3" s="1"/>
  <c r="X141" i="3"/>
  <c r="Y141" i="3" s="1"/>
  <c r="X117" i="3"/>
  <c r="Y117" i="3" s="1"/>
  <c r="X73" i="3"/>
  <c r="Y73" i="3" s="1"/>
  <c r="X13" i="3"/>
  <c r="Y13" i="3" s="1"/>
  <c r="X42" i="3"/>
  <c r="Y42" i="3" s="1"/>
  <c r="X107" i="3"/>
  <c r="Y107" i="3" s="1"/>
  <c r="X99" i="3"/>
  <c r="Y99" i="3" s="1"/>
  <c r="X86" i="3"/>
  <c r="Y86" i="3" s="1"/>
  <c r="X58" i="3"/>
  <c r="Y58" i="3" s="1"/>
  <c r="X50" i="3"/>
  <c r="Y50" i="3" s="1"/>
  <c r="X87" i="3"/>
  <c r="Y87" i="3" s="1"/>
  <c r="X554" i="3"/>
  <c r="Y554" i="3" s="1"/>
  <c r="X507" i="3"/>
  <c r="Y507" i="3" s="1"/>
  <c r="X540" i="3"/>
  <c r="Y540" i="3" s="1"/>
  <c r="X512" i="3"/>
  <c r="Y512" i="3" s="1"/>
  <c r="X310" i="3"/>
  <c r="Y310" i="3" s="1"/>
  <c r="X319" i="3"/>
  <c r="Y319" i="3" s="1"/>
  <c r="X289" i="3"/>
  <c r="Y289" i="3" s="1"/>
  <c r="X452" i="3"/>
  <c r="Y452" i="3" s="1"/>
  <c r="X227" i="3"/>
  <c r="Y227" i="3" s="1"/>
  <c r="X219" i="3"/>
  <c r="Y219" i="3" s="1"/>
  <c r="X88" i="3"/>
  <c r="Y88" i="3" s="1"/>
  <c r="X412" i="3"/>
  <c r="Y412" i="3" s="1"/>
  <c r="X200" i="3"/>
  <c r="Y200" i="3" s="1"/>
  <c r="X25" i="3"/>
  <c r="Y25" i="3" s="1"/>
  <c r="X236" i="3"/>
  <c r="Y236" i="3" s="1"/>
  <c r="X385" i="3"/>
  <c r="Y385" i="3" s="1"/>
  <c r="X562" i="3"/>
  <c r="Y562" i="3" s="1"/>
  <c r="X443" i="3"/>
  <c r="Y443" i="3" s="1"/>
  <c r="X574" i="3"/>
  <c r="Y574" i="3" s="1"/>
  <c r="X373" i="3"/>
  <c r="Y373" i="3" s="1"/>
  <c r="X65" i="3"/>
  <c r="Y65" i="3" s="1"/>
  <c r="X635" i="3"/>
  <c r="Y635" i="3" s="1"/>
  <c r="X560" i="3"/>
  <c r="Y560" i="3" s="1"/>
  <c r="X63" i="3"/>
  <c r="Y63" i="3" s="1"/>
  <c r="X441" i="3"/>
  <c r="Y441" i="3" s="1"/>
  <c r="X631" i="3"/>
  <c r="Y631" i="3" s="1"/>
  <c r="X607" i="3"/>
  <c r="Y607" i="3" s="1"/>
  <c r="X592" i="3"/>
  <c r="Y592" i="3" s="1"/>
  <c r="X582" i="3"/>
  <c r="Y582" i="3" s="1"/>
  <c r="X570" i="3"/>
  <c r="Y570" i="3" s="1"/>
  <c r="X545" i="3"/>
  <c r="Y545" i="3" s="1"/>
  <c r="X541" i="3"/>
  <c r="Y541" i="3" s="1"/>
  <c r="X495" i="3"/>
  <c r="Y495" i="3" s="1"/>
  <c r="X475" i="3"/>
  <c r="Y475" i="3" s="1"/>
  <c r="X522" i="3"/>
  <c r="Y522" i="3" s="1"/>
  <c r="X496" i="3"/>
  <c r="Y496" i="3" s="1"/>
  <c r="X480" i="3"/>
  <c r="Y480" i="3" s="1"/>
  <c r="X430" i="3"/>
  <c r="Y430" i="3" s="1"/>
  <c r="X414" i="3"/>
  <c r="Y414" i="3" s="1"/>
  <c r="X394" i="3"/>
  <c r="Y394" i="3" s="1"/>
  <c r="X390" i="3"/>
  <c r="Y390" i="3" s="1"/>
  <c r="X358" i="3"/>
  <c r="Y358" i="3" s="1"/>
  <c r="X350" i="3"/>
  <c r="Y350" i="3" s="1"/>
  <c r="X342" i="3"/>
  <c r="Y342" i="3" s="1"/>
  <c r="X314" i="3"/>
  <c r="Y314" i="3" s="1"/>
  <c r="X556" i="3"/>
  <c r="Y556" i="3" s="1"/>
  <c r="X513" i="3"/>
  <c r="Y513" i="3" s="1"/>
  <c r="X455" i="3"/>
  <c r="Y455" i="3" s="1"/>
  <c r="X423" i="3"/>
  <c r="Y423" i="3" s="1"/>
  <c r="X407" i="3"/>
  <c r="Y407" i="3" s="1"/>
  <c r="X387" i="3"/>
  <c r="Y387" i="3" s="1"/>
  <c r="X588" i="3"/>
  <c r="Y588" i="3" s="1"/>
  <c r="X534" i="3"/>
  <c r="Y534" i="3" s="1"/>
  <c r="X364" i="3"/>
  <c r="Y364" i="3" s="1"/>
  <c r="X332" i="3"/>
  <c r="Y332" i="3" s="1"/>
  <c r="X292" i="3"/>
  <c r="Y292" i="3" s="1"/>
  <c r="X257" i="3"/>
  <c r="Y257" i="3" s="1"/>
  <c r="X237" i="3"/>
  <c r="Y237" i="3" s="1"/>
  <c r="X233" i="3"/>
  <c r="Y233" i="3" s="1"/>
  <c r="X229" i="3"/>
  <c r="Y229" i="3" s="1"/>
  <c r="X221" i="3"/>
  <c r="Y221" i="3" s="1"/>
  <c r="X209" i="3"/>
  <c r="Y209" i="3" s="1"/>
  <c r="X205" i="3"/>
  <c r="Y205" i="3" s="1"/>
  <c r="X185" i="3"/>
  <c r="Y185" i="3" s="1"/>
  <c r="X469" i="3"/>
  <c r="Y469" i="3" s="1"/>
  <c r="X372" i="3"/>
  <c r="Y372" i="3" s="1"/>
  <c r="X274" i="3"/>
  <c r="Y274" i="3" s="1"/>
  <c r="X270" i="3"/>
  <c r="Y270" i="3" s="1"/>
  <c r="X266" i="3"/>
  <c r="Y266" i="3" s="1"/>
  <c r="X262" i="3"/>
  <c r="Y262" i="3" s="1"/>
  <c r="X210" i="3"/>
  <c r="Y210" i="3" s="1"/>
  <c r="X501" i="3"/>
  <c r="Y501" i="3" s="1"/>
  <c r="X485" i="3"/>
  <c r="Y485" i="3" s="1"/>
  <c r="X400" i="3"/>
  <c r="Y400" i="3" s="1"/>
  <c r="X380" i="3"/>
  <c r="Y380" i="3" s="1"/>
  <c r="X271" i="3"/>
  <c r="Y271" i="3" s="1"/>
  <c r="X259" i="3"/>
  <c r="Y259" i="3" s="1"/>
  <c r="X255" i="3"/>
  <c r="Y255" i="3" s="1"/>
  <c r="X247" i="3"/>
  <c r="Y247" i="3" s="1"/>
  <c r="X437" i="3"/>
  <c r="Y437" i="3" s="1"/>
  <c r="X240" i="3"/>
  <c r="Y240" i="3" s="1"/>
  <c r="X215" i="3"/>
  <c r="Y215" i="3" s="1"/>
  <c r="X160" i="3"/>
  <c r="Y160" i="3" s="1"/>
  <c r="X144" i="3"/>
  <c r="Y144" i="3" s="1"/>
  <c r="X104" i="3"/>
  <c r="Y104" i="3" s="1"/>
  <c r="X96" i="3"/>
  <c r="Y96" i="3" s="1"/>
  <c r="X80" i="3"/>
  <c r="Y80" i="3" s="1"/>
  <c r="X76" i="3"/>
  <c r="Y76" i="3" s="1"/>
  <c r="X60" i="3"/>
  <c r="Y60" i="3" s="1"/>
  <c r="X52" i="3"/>
  <c r="Y52" i="3" s="1"/>
  <c r="X44" i="3"/>
  <c r="Y44" i="3" s="1"/>
  <c r="X28" i="3"/>
  <c r="Y28" i="3" s="1"/>
  <c r="X529" i="3"/>
  <c r="Y529" i="3" s="1"/>
  <c r="X204" i="3"/>
  <c r="Y204" i="3" s="1"/>
  <c r="X190" i="3"/>
  <c r="Y190" i="3" s="1"/>
  <c r="X166" i="3"/>
  <c r="Y166" i="3" s="1"/>
  <c r="X149" i="3"/>
  <c r="Y149" i="3" s="1"/>
  <c r="X145" i="3"/>
  <c r="Y145" i="3" s="1"/>
  <c r="X125" i="3"/>
  <c r="Y125" i="3" s="1"/>
  <c r="X109" i="3"/>
  <c r="Y109" i="3" s="1"/>
  <c r="X105" i="3"/>
  <c r="Y105" i="3" s="1"/>
  <c r="X101" i="3"/>
  <c r="Y101" i="3" s="1"/>
  <c r="X38" i="3"/>
  <c r="Y38" i="3" s="1"/>
  <c r="X18" i="3"/>
  <c r="Y18" i="3" s="1"/>
  <c r="X10" i="3"/>
  <c r="Y10" i="3" s="1"/>
  <c r="X170" i="3"/>
  <c r="Y170" i="3" s="1"/>
  <c r="X155" i="3"/>
  <c r="Y155" i="3" s="1"/>
  <c r="X127" i="3"/>
  <c r="Y127" i="3" s="1"/>
  <c r="X123" i="3"/>
  <c r="Y123" i="3" s="1"/>
  <c r="X119" i="3"/>
  <c r="Y119" i="3" s="1"/>
  <c r="X91" i="3"/>
  <c r="Y91" i="3" s="1"/>
  <c r="X110" i="3"/>
  <c r="Y110" i="3" s="1"/>
  <c r="X464" i="3"/>
  <c r="Y464" i="3" s="1"/>
  <c r="X176" i="3"/>
  <c r="Y176" i="3" s="1"/>
  <c r="X75" i="3"/>
  <c r="Y75" i="3" s="1"/>
  <c r="X31" i="3"/>
  <c r="Y31" i="3" s="1"/>
  <c r="X572" i="3"/>
  <c r="Y572" i="3" s="1"/>
  <c r="X634" i="3"/>
  <c r="Y634" i="3" s="1"/>
  <c r="X559" i="3"/>
  <c r="Y559" i="3" s="1"/>
  <c r="X530" i="3"/>
  <c r="Y530" i="3" s="1"/>
  <c r="X440" i="3"/>
  <c r="Y440" i="3" s="1"/>
  <c r="X45" i="3"/>
  <c r="Y45" i="3" s="1"/>
  <c r="X62" i="3"/>
  <c r="Y62" i="3" s="1"/>
  <c r="AD622" i="3"/>
  <c r="AE622" i="3" s="1"/>
  <c r="AD610" i="3"/>
  <c r="AE610" i="3" s="1"/>
  <c r="AD602" i="3"/>
  <c r="AE602" i="3" s="1"/>
  <c r="AD598" i="3"/>
  <c r="AE598" i="3" s="1"/>
  <c r="AD586" i="3"/>
  <c r="AE586" i="3" s="1"/>
  <c r="AD624" i="3"/>
  <c r="AE624" i="3" s="1"/>
  <c r="AD611" i="3"/>
  <c r="AE611" i="3" s="1"/>
  <c r="AD595" i="3"/>
  <c r="AE595" i="3" s="1"/>
  <c r="AD613" i="3"/>
  <c r="AE613" i="3" s="1"/>
  <c r="AD612" i="3"/>
  <c r="AE612" i="3" s="1"/>
  <c r="AD605" i="3"/>
  <c r="AE605" i="3" s="1"/>
  <c r="AD591" i="3"/>
  <c r="AE591" i="3" s="1"/>
  <c r="AD577" i="3"/>
  <c r="AE577" i="3" s="1"/>
  <c r="AD337" i="3"/>
  <c r="AE337" i="3" s="1"/>
  <c r="AD313" i="3"/>
  <c r="AE313" i="3" s="1"/>
  <c r="AD305" i="3"/>
  <c r="AE305" i="3" s="1"/>
  <c r="AD301" i="3"/>
  <c r="AE301" i="3" s="1"/>
  <c r="AD297" i="3"/>
  <c r="AE297" i="3" s="1"/>
  <c r="AD621" i="3"/>
  <c r="AE621" i="3" s="1"/>
  <c r="AD601" i="3"/>
  <c r="AE601" i="3" s="1"/>
  <c r="AD567" i="3"/>
  <c r="AE567" i="3" s="1"/>
  <c r="AD304" i="3"/>
  <c r="AE304" i="3" s="1"/>
  <c r="AD296" i="3"/>
  <c r="AE296" i="3" s="1"/>
  <c r="AD284" i="3"/>
  <c r="AE284" i="3" s="1"/>
  <c r="AD280" i="3"/>
  <c r="AE280" i="3" s="1"/>
  <c r="AD276" i="3"/>
  <c r="AE276" i="3" s="1"/>
  <c r="AD268" i="3"/>
  <c r="AE268" i="3" s="1"/>
  <c r="AD260" i="3"/>
  <c r="AE260" i="3" s="1"/>
  <c r="AD232" i="3"/>
  <c r="AE232" i="3" s="1"/>
  <c r="AD196" i="3"/>
  <c r="AE196" i="3" s="1"/>
  <c r="AD188" i="3"/>
  <c r="AE188" i="3" s="1"/>
  <c r="AD168" i="3"/>
  <c r="AE168" i="3" s="1"/>
  <c r="AD164" i="3"/>
  <c r="AE164" i="3" s="1"/>
  <c r="AD338" i="3"/>
  <c r="AE338" i="3" s="1"/>
  <c r="AD315" i="3"/>
  <c r="AE315" i="3" s="1"/>
  <c r="AD307" i="3"/>
  <c r="AE307" i="3" s="1"/>
  <c r="AD299" i="3"/>
  <c r="AE299" i="3" s="1"/>
  <c r="AD285" i="3"/>
  <c r="AE285" i="3" s="1"/>
  <c r="AD273" i="3"/>
  <c r="AE273" i="3" s="1"/>
  <c r="AD269" i="3"/>
  <c r="AE269" i="3" s="1"/>
  <c r="AD265" i="3"/>
  <c r="AE265" i="3" s="1"/>
  <c r="AD225" i="3"/>
  <c r="AE225" i="3" s="1"/>
  <c r="AD217" i="3"/>
  <c r="AE217" i="3" s="1"/>
  <c r="AD213" i="3"/>
  <c r="AE213" i="3" s="1"/>
  <c r="AD318" i="3"/>
  <c r="AE318" i="3" s="1"/>
  <c r="AD316" i="3"/>
  <c r="AE316" i="3" s="1"/>
  <c r="AD308" i="3"/>
  <c r="AE308" i="3" s="1"/>
  <c r="AD278" i="3"/>
  <c r="AE278" i="3" s="1"/>
  <c r="AD234" i="3"/>
  <c r="AE234" i="3" s="1"/>
  <c r="AD183" i="3"/>
  <c r="AE183" i="3" s="1"/>
  <c r="AD131" i="3"/>
  <c r="AE131" i="3" s="1"/>
  <c r="AD83" i="3"/>
  <c r="AE83" i="3" s="1"/>
  <c r="AD71" i="3"/>
  <c r="AE71" i="3" s="1"/>
  <c r="AD275" i="3"/>
  <c r="AE275" i="3" s="1"/>
  <c r="AD267" i="3"/>
  <c r="AE267" i="3" s="1"/>
  <c r="AD243" i="3"/>
  <c r="AE243" i="3" s="1"/>
  <c r="AD178" i="3"/>
  <c r="AE178" i="3" s="1"/>
  <c r="AD152" i="3"/>
  <c r="AE152" i="3" s="1"/>
  <c r="AD148" i="3"/>
  <c r="AE148" i="3" s="1"/>
  <c r="AD132" i="3"/>
  <c r="AE132" i="3" s="1"/>
  <c r="AD124" i="3"/>
  <c r="AE124" i="3" s="1"/>
  <c r="AD120" i="3"/>
  <c r="AE120" i="3" s="1"/>
  <c r="AD116" i="3"/>
  <c r="AE116" i="3" s="1"/>
  <c r="AD84" i="3"/>
  <c r="AE84" i="3" s="1"/>
  <c r="AD158" i="3"/>
  <c r="AE158" i="3" s="1"/>
  <c r="AD138" i="3"/>
  <c r="AE138" i="3" s="1"/>
  <c r="AD114" i="3"/>
  <c r="AE114" i="3" s="1"/>
  <c r="AD106" i="3"/>
  <c r="AE106" i="3" s="1"/>
  <c r="AD102" i="3"/>
  <c r="AE102" i="3" s="1"/>
  <c r="AD78" i="3"/>
  <c r="AE78" i="3" s="1"/>
  <c r="AD22" i="3"/>
  <c r="AE22" i="3" s="1"/>
  <c r="AD194" i="3"/>
  <c r="AE194" i="3" s="1"/>
  <c r="AD187" i="3"/>
  <c r="AE187" i="3" s="1"/>
  <c r="AD181" i="3"/>
  <c r="AE181" i="3" s="1"/>
  <c r="AD173" i="3"/>
  <c r="AE173" i="3" s="1"/>
  <c r="AD137" i="3"/>
  <c r="AE137" i="3" s="1"/>
  <c r="AD129" i="3"/>
  <c r="AE129" i="3" s="1"/>
  <c r="AD121" i="3"/>
  <c r="AE121" i="3" s="1"/>
  <c r="AD113" i="3"/>
  <c r="AE113" i="3" s="1"/>
  <c r="AD279" i="3"/>
  <c r="AE279" i="3" s="1"/>
  <c r="AD263" i="3"/>
  <c r="AE263" i="3" s="1"/>
  <c r="AD239" i="3"/>
  <c r="AE239" i="3" s="1"/>
  <c r="AD211" i="3"/>
  <c r="AE211" i="3" s="1"/>
  <c r="AD207" i="3"/>
  <c r="AE207" i="3" s="1"/>
  <c r="AD195" i="3"/>
  <c r="AE195" i="3" s="1"/>
  <c r="AD126" i="3"/>
  <c r="AE126" i="3" s="1"/>
  <c r="AD122" i="3"/>
  <c r="AE122" i="3" s="1"/>
  <c r="AD98" i="3"/>
  <c r="AE98" i="3" s="1"/>
  <c r="AD94" i="3"/>
  <c r="AE94" i="3" s="1"/>
  <c r="X563" i="3"/>
  <c r="Y563" i="3" s="1"/>
  <c r="X637" i="3"/>
  <c r="Y637" i="3" s="1"/>
  <c r="X444" i="3"/>
  <c r="Y444" i="3" s="1"/>
  <c r="X619" i="3"/>
  <c r="Y619" i="3" s="1"/>
  <c r="X583" i="3"/>
  <c r="Y583" i="3" s="1"/>
  <c r="X575" i="3"/>
  <c r="Y575" i="3" s="1"/>
  <c r="X638" i="3"/>
  <c r="Y638" i="3" s="1"/>
  <c r="X608" i="3"/>
  <c r="Y608" i="3" s="1"/>
  <c r="X600" i="3"/>
  <c r="Y600" i="3" s="1"/>
  <c r="X589" i="3"/>
  <c r="Y589" i="3" s="1"/>
  <c r="X564" i="3"/>
  <c r="Y564" i="3" s="1"/>
  <c r="X546" i="3"/>
  <c r="Y546" i="3" s="1"/>
  <c r="X535" i="3"/>
  <c r="Y535" i="3" s="1"/>
  <c r="X523" i="3"/>
  <c r="Y523" i="3" s="1"/>
  <c r="X471" i="3"/>
  <c r="Y471" i="3" s="1"/>
  <c r="X614" i="3"/>
  <c r="Y614" i="3" s="1"/>
  <c r="X609" i="3"/>
  <c r="Y609" i="3" s="1"/>
  <c r="X593" i="3"/>
  <c r="Y593" i="3" s="1"/>
  <c r="X542" i="3"/>
  <c r="Y542" i="3" s="1"/>
  <c r="X502" i="3"/>
  <c r="Y502" i="3" s="1"/>
  <c r="X470" i="3"/>
  <c r="Y470" i="3" s="1"/>
  <c r="X505" i="3"/>
  <c r="Y505" i="3" s="1"/>
  <c r="X497" i="3"/>
  <c r="Y497" i="3" s="1"/>
  <c r="X359" i="3"/>
  <c r="Y359" i="3" s="1"/>
  <c r="X526" i="3"/>
  <c r="Y526" i="3" s="1"/>
  <c r="X514" i="3"/>
  <c r="Y514" i="3" s="1"/>
  <c r="X508" i="3"/>
  <c r="Y508" i="3" s="1"/>
  <c r="X365" i="3"/>
  <c r="Y365" i="3" s="1"/>
  <c r="X351" i="3"/>
  <c r="Y351" i="3" s="1"/>
  <c r="X343" i="3"/>
  <c r="Y343" i="3" s="1"/>
  <c r="X293" i="3"/>
  <c r="Y293" i="3" s="1"/>
  <c r="X222" i="3"/>
  <c r="Y222" i="3" s="1"/>
  <c r="X456" i="3"/>
  <c r="Y456" i="3" s="1"/>
  <c r="X388" i="3"/>
  <c r="Y388" i="3" s="1"/>
  <c r="X248" i="3"/>
  <c r="Y248" i="3" s="1"/>
  <c r="X146" i="3"/>
  <c r="Y146" i="3" s="1"/>
  <c r="X66" i="3"/>
  <c r="Y66" i="3" s="1"/>
  <c r="X416" i="3"/>
  <c r="Y416" i="3" s="1"/>
  <c r="X19" i="3"/>
  <c r="Y19" i="3" s="1"/>
  <c r="AD632" i="3"/>
  <c r="AE632" i="3" s="1"/>
  <c r="AD557" i="3"/>
  <c r="AE557" i="3" s="1"/>
  <c r="AD438" i="3"/>
  <c r="AE438" i="3" s="1"/>
  <c r="AD11" i="3"/>
  <c r="AE11" i="3" s="1"/>
  <c r="AD606" i="3"/>
  <c r="AE606" i="3" s="1"/>
  <c r="AD629" i="3"/>
  <c r="AE629" i="3" s="1"/>
  <c r="AD603" i="3"/>
  <c r="AE603" i="3" s="1"/>
  <c r="AD587" i="3"/>
  <c r="AE587" i="3" s="1"/>
  <c r="AD474" i="3"/>
  <c r="AE474" i="3" s="1"/>
  <c r="AD569" i="3"/>
  <c r="AE569" i="3" s="1"/>
  <c r="AD492" i="3"/>
  <c r="AE492" i="3" s="1"/>
  <c r="AD491" i="3"/>
  <c r="AE491" i="3" s="1"/>
  <c r="AD483" i="3"/>
  <c r="AE483" i="3" s="1"/>
  <c r="AD421" i="3"/>
  <c r="AE421" i="3" s="1"/>
  <c r="AD405" i="3"/>
  <c r="AE405" i="3" s="1"/>
  <c r="AD329" i="3"/>
  <c r="AE329" i="3" s="1"/>
  <c r="AD321" i="3"/>
  <c r="AE321" i="3" s="1"/>
  <c r="AD309" i="3"/>
  <c r="AE309" i="3" s="1"/>
  <c r="AD581" i="3"/>
  <c r="AE581" i="3" s="1"/>
  <c r="AD553" i="3"/>
  <c r="AE553" i="3" s="1"/>
  <c r="AD521" i="3"/>
  <c r="AE521" i="3" s="1"/>
  <c r="AD462" i="3"/>
  <c r="AE462" i="3" s="1"/>
  <c r="AD450" i="3"/>
  <c r="AE450" i="3" s="1"/>
  <c r="AD434" i="3"/>
  <c r="AE434" i="3" s="1"/>
  <c r="AD398" i="3"/>
  <c r="AE398" i="3" s="1"/>
  <c r="AD378" i="3"/>
  <c r="AE378" i="3" s="1"/>
  <c r="AD370" i="3"/>
  <c r="AE370" i="3" s="1"/>
  <c r="AD362" i="3"/>
  <c r="AE362" i="3" s="1"/>
  <c r="AD511" i="3"/>
  <c r="AE511" i="3" s="1"/>
  <c r="AD328" i="3"/>
  <c r="AE328" i="3" s="1"/>
  <c r="AD288" i="3"/>
  <c r="AE288" i="3" s="1"/>
  <c r="AD212" i="3"/>
  <c r="AE212" i="3" s="1"/>
  <c r="AD451" i="3"/>
  <c r="AE451" i="3" s="1"/>
  <c r="AD384" i="3"/>
  <c r="AE384" i="3" s="1"/>
  <c r="AD253" i="3"/>
  <c r="AE253" i="3" s="1"/>
  <c r="AD245" i="3"/>
  <c r="AE245" i="3" s="1"/>
  <c r="AD539" i="3"/>
  <c r="AE539" i="3" s="1"/>
  <c r="AD411" i="3"/>
  <c r="AE411" i="3" s="1"/>
  <c r="AD356" i="3"/>
  <c r="AE356" i="3" s="1"/>
  <c r="AD348" i="3"/>
  <c r="AE348" i="3" s="1"/>
  <c r="AD340" i="3"/>
  <c r="AE340" i="3" s="1"/>
  <c r="AD226" i="3"/>
  <c r="AE226" i="3" s="1"/>
  <c r="AD169" i="3"/>
  <c r="AE169" i="3" s="1"/>
  <c r="AD107" i="3"/>
  <c r="AE107" i="3" s="1"/>
  <c r="AD99" i="3"/>
  <c r="AE99" i="3" s="1"/>
  <c r="AD87" i="3"/>
  <c r="AE87" i="3" s="1"/>
  <c r="AD235" i="3"/>
  <c r="AE235" i="3" s="1"/>
  <c r="AD140" i="3"/>
  <c r="AE140" i="3" s="1"/>
  <c r="AD72" i="3"/>
  <c r="AE72" i="3" s="1"/>
  <c r="AD36" i="3"/>
  <c r="AE36" i="3" s="1"/>
  <c r="AD24" i="3"/>
  <c r="AE24" i="3" s="1"/>
  <c r="AD16" i="3"/>
  <c r="AE16" i="3" s="1"/>
  <c r="AD8" i="3"/>
  <c r="AE8" i="3" s="1"/>
  <c r="AD13" i="3"/>
  <c r="AE13" i="3" s="1"/>
  <c r="AD86" i="3"/>
  <c r="AE86" i="3" s="1"/>
  <c r="AD50" i="3"/>
  <c r="AE50" i="3" s="1"/>
  <c r="AD42" i="3"/>
  <c r="AE42" i="3" s="1"/>
  <c r="AD218" i="3"/>
  <c r="AE218" i="3" s="1"/>
  <c r="AD214" i="3"/>
  <c r="AE214" i="3" s="1"/>
  <c r="AD179" i="3"/>
  <c r="AE179" i="3" s="1"/>
  <c r="AD141" i="3"/>
  <c r="AE141" i="3" s="1"/>
  <c r="AD117" i="3"/>
  <c r="AE117" i="3" s="1"/>
  <c r="AD73" i="3"/>
  <c r="AE73" i="3" s="1"/>
  <c r="AD287" i="3"/>
  <c r="AE287" i="3" s="1"/>
  <c r="AD199" i="3"/>
  <c r="AE199" i="3" s="1"/>
  <c r="AD174" i="3"/>
  <c r="AE174" i="3" s="1"/>
  <c r="AD58" i="3"/>
  <c r="AE58" i="3" s="1"/>
  <c r="AD626" i="3"/>
  <c r="AE626" i="3" s="1"/>
  <c r="AD590" i="3"/>
  <c r="AE590" i="3" s="1"/>
  <c r="AD566" i="3"/>
  <c r="AE566" i="3" s="1"/>
  <c r="AD617" i="3"/>
  <c r="AE617" i="3" s="1"/>
  <c r="AD640" i="3"/>
  <c r="AE640" i="3" s="1"/>
  <c r="AD585" i="3"/>
  <c r="AE585" i="3" s="1"/>
  <c r="AD579" i="3"/>
  <c r="AE579" i="3" s="1"/>
  <c r="AD550" i="3"/>
  <c r="AE550" i="3" s="1"/>
  <c r="AD506" i="3"/>
  <c r="AE506" i="3" s="1"/>
  <c r="AD597" i="3"/>
  <c r="AE597" i="3" s="1"/>
  <c r="AD527" i="3"/>
  <c r="AE527" i="3" s="1"/>
  <c r="AD519" i="3"/>
  <c r="AE519" i="3" s="1"/>
  <c r="AD499" i="3"/>
  <c r="AE499" i="3" s="1"/>
  <c r="AD476" i="3"/>
  <c r="AE476" i="3" s="1"/>
  <c r="AD425" i="3"/>
  <c r="AE425" i="3" s="1"/>
  <c r="AD381" i="3"/>
  <c r="AE381" i="3" s="1"/>
  <c r="AD325" i="3"/>
  <c r="AE325" i="3" s="1"/>
  <c r="AD543" i="3"/>
  <c r="AE543" i="3" s="1"/>
  <c r="AD537" i="3"/>
  <c r="AE537" i="3" s="1"/>
  <c r="AD509" i="3"/>
  <c r="AE509" i="3" s="1"/>
  <c r="AD477" i="3"/>
  <c r="AE477" i="3" s="1"/>
  <c r="AD458" i="3"/>
  <c r="AE458" i="3" s="1"/>
  <c r="AD418" i="3"/>
  <c r="AE418" i="3" s="1"/>
  <c r="AD402" i="3"/>
  <c r="AE402" i="3" s="1"/>
  <c r="AD532" i="3"/>
  <c r="AE532" i="3" s="1"/>
  <c r="AD524" i="3"/>
  <c r="AE524" i="3" s="1"/>
  <c r="AD516" i="3"/>
  <c r="AE516" i="3" s="1"/>
  <c r="AD503" i="3"/>
  <c r="AE503" i="3" s="1"/>
  <c r="AD488" i="3"/>
  <c r="AE488" i="3" s="1"/>
  <c r="AD472" i="3"/>
  <c r="AE472" i="3" s="1"/>
  <c r="AD623" i="3"/>
  <c r="AE623" i="3" s="1"/>
  <c r="AD481" i="3"/>
  <c r="AE481" i="3" s="1"/>
  <c r="AD431" i="3"/>
  <c r="AE431" i="3" s="1"/>
  <c r="AD427" i="3"/>
  <c r="AE427" i="3" s="1"/>
  <c r="AD375" i="3"/>
  <c r="AE375" i="3" s="1"/>
  <c r="AD336" i="3"/>
  <c r="AE336" i="3" s="1"/>
  <c r="AD272" i="3"/>
  <c r="AE272" i="3" s="1"/>
  <c r="AD224" i="3"/>
  <c r="AE224" i="3" s="1"/>
  <c r="AD216" i="3"/>
  <c r="AE216" i="3" s="1"/>
  <c r="AD172" i="3"/>
  <c r="AE172" i="3" s="1"/>
  <c r="AD459" i="3"/>
  <c r="AE459" i="3" s="1"/>
  <c r="AD448" i="3"/>
  <c r="AE448" i="3" s="1"/>
  <c r="AD447" i="3"/>
  <c r="AE447" i="3" s="1"/>
  <c r="AD396" i="3"/>
  <c r="AE396" i="3" s="1"/>
  <c r="AD391" i="3"/>
  <c r="AE391" i="3" s="1"/>
  <c r="AD354" i="3"/>
  <c r="AE354" i="3" s="1"/>
  <c r="AD346" i="3"/>
  <c r="AE346" i="3" s="1"/>
  <c r="AD193" i="3"/>
  <c r="AE193" i="3" s="1"/>
  <c r="AD489" i="3"/>
  <c r="AE489" i="3" s="1"/>
  <c r="AD408" i="3"/>
  <c r="AE408" i="3" s="1"/>
  <c r="AD324" i="3"/>
  <c r="AE324" i="3" s="1"/>
  <c r="AD300" i="3"/>
  <c r="AE300" i="3" s="1"/>
  <c r="AD282" i="3"/>
  <c r="AE282" i="3" s="1"/>
  <c r="AD242" i="3"/>
  <c r="AE242" i="3" s="1"/>
  <c r="AD177" i="3"/>
  <c r="AE177" i="3" s="1"/>
  <c r="AD167" i="3"/>
  <c r="AE167" i="3" s="1"/>
  <c r="AD151" i="3"/>
  <c r="AE151" i="3" s="1"/>
  <c r="AD135" i="3"/>
  <c r="AE135" i="3" s="1"/>
  <c r="AD55" i="3"/>
  <c r="AE55" i="3" s="1"/>
  <c r="AD47" i="3"/>
  <c r="AE47" i="3" s="1"/>
  <c r="AD39" i="3"/>
  <c r="AE39" i="3" s="1"/>
  <c r="AD334" i="3"/>
  <c r="AE334" i="3" s="1"/>
  <c r="AD311" i="3"/>
  <c r="AE311" i="3" s="1"/>
  <c r="AD295" i="3"/>
  <c r="AE295" i="3" s="1"/>
  <c r="AD283" i="3"/>
  <c r="AE283" i="3" s="1"/>
  <c r="AD251" i="3"/>
  <c r="AE251" i="3" s="1"/>
  <c r="AD162" i="3"/>
  <c r="AE162" i="3" s="1"/>
  <c r="AD136" i="3"/>
  <c r="AE136" i="3" s="1"/>
  <c r="AD32" i="3"/>
  <c r="AE32" i="3" s="1"/>
  <c r="AD12" i="3"/>
  <c r="AE12" i="3" s="1"/>
  <c r="AD29" i="3"/>
  <c r="AE29" i="3" s="1"/>
  <c r="AD54" i="3"/>
  <c r="AE54" i="3" s="1"/>
  <c r="AD6" i="3"/>
  <c r="AE6" i="3" s="1"/>
  <c r="AD367" i="3"/>
  <c r="AE367" i="3" s="1"/>
  <c r="AD335" i="3"/>
  <c r="AE335" i="3" s="1"/>
  <c r="AD163" i="3"/>
  <c r="AE163" i="3" s="1"/>
  <c r="AD69" i="3"/>
  <c r="AE69" i="3" s="1"/>
  <c r="AD21" i="3"/>
  <c r="AE21" i="3" s="1"/>
  <c r="AD547" i="3"/>
  <c r="AE547" i="3" s="1"/>
  <c r="AD360" i="3"/>
  <c r="AE360" i="3" s="1"/>
  <c r="AD231" i="3"/>
  <c r="AE231" i="3" s="1"/>
  <c r="AD82" i="3"/>
  <c r="AE82" i="3" s="1"/>
  <c r="AD70" i="3"/>
  <c r="AE70" i="3" s="1"/>
  <c r="AD34" i="3"/>
  <c r="AE34" i="3" s="1"/>
  <c r="AD14" i="3"/>
  <c r="AE14" i="3" s="1"/>
  <c r="X632" i="3"/>
  <c r="Y632" i="3" s="1"/>
  <c r="X557" i="3"/>
  <c r="Y557" i="3" s="1"/>
  <c r="X438" i="3"/>
  <c r="Y438" i="3" s="1"/>
  <c r="X11" i="3"/>
  <c r="Y11" i="3" s="1"/>
  <c r="X571" i="3"/>
  <c r="Y571" i="3" s="1"/>
  <c r="X549" i="3"/>
  <c r="Y549" i="3" s="1"/>
  <c r="X558" i="3"/>
  <c r="Y558" i="3" s="1"/>
  <c r="X439" i="3"/>
  <c r="Y439" i="3" s="1"/>
  <c r="X633" i="3"/>
  <c r="Y633" i="3" s="1"/>
  <c r="X61" i="3"/>
  <c r="Y61" i="3" s="1"/>
  <c r="X599" i="3"/>
  <c r="Y599" i="3" s="1"/>
  <c r="X479" i="3"/>
  <c r="Y479" i="3" s="1"/>
  <c r="X494" i="3"/>
  <c r="Y494" i="3" s="1"/>
  <c r="X454" i="3"/>
  <c r="Y454" i="3" s="1"/>
  <c r="X426" i="3"/>
  <c r="Y426" i="3" s="1"/>
  <c r="X422" i="3"/>
  <c r="Y422" i="3" s="1"/>
  <c r="X406" i="3"/>
  <c r="Y406" i="3" s="1"/>
  <c r="X386" i="3"/>
  <c r="Y386" i="3" s="1"/>
  <c r="X330" i="3"/>
  <c r="Y330" i="3" s="1"/>
  <c r="X306" i="3"/>
  <c r="Y306" i="3" s="1"/>
  <c r="X298" i="3"/>
  <c r="Y298" i="3" s="1"/>
  <c r="X290" i="3"/>
  <c r="Y290" i="3" s="1"/>
  <c r="X555" i="3"/>
  <c r="Y555" i="3" s="1"/>
  <c r="X463" i="3"/>
  <c r="Y463" i="3" s="1"/>
  <c r="X435" i="3"/>
  <c r="Y435" i="3" s="1"/>
  <c r="X399" i="3"/>
  <c r="Y399" i="3" s="1"/>
  <c r="X379" i="3"/>
  <c r="Y379" i="3" s="1"/>
  <c r="X371" i="3"/>
  <c r="Y371" i="3" s="1"/>
  <c r="X363" i="3"/>
  <c r="Y363" i="3" s="1"/>
  <c r="X630" i="3"/>
  <c r="Y630" i="3" s="1"/>
  <c r="X484" i="3"/>
  <c r="Y484" i="3" s="1"/>
  <c r="X493" i="3"/>
  <c r="Y493" i="3" s="1"/>
  <c r="X413" i="3"/>
  <c r="Y413" i="3" s="1"/>
  <c r="X277" i="3"/>
  <c r="Y277" i="3" s="1"/>
  <c r="X261" i="3"/>
  <c r="Y261" i="3" s="1"/>
  <c r="X201" i="3"/>
  <c r="Y201" i="3" s="1"/>
  <c r="X189" i="3"/>
  <c r="Y189" i="3" s="1"/>
  <c r="X165" i="3"/>
  <c r="Y165" i="3" s="1"/>
  <c r="X468" i="3"/>
  <c r="Y468" i="3" s="1"/>
  <c r="X428" i="3"/>
  <c r="Y428" i="3" s="1"/>
  <c r="X357" i="3"/>
  <c r="Y357" i="3" s="1"/>
  <c r="X349" i="3"/>
  <c r="Y349" i="3" s="1"/>
  <c r="X341" i="3"/>
  <c r="Y341" i="3" s="1"/>
  <c r="X303" i="3"/>
  <c r="Y303" i="3" s="1"/>
  <c r="X258" i="3"/>
  <c r="Y258" i="3" s="1"/>
  <c r="X254" i="3"/>
  <c r="Y254" i="3" s="1"/>
  <c r="X246" i="3"/>
  <c r="Y246" i="3" s="1"/>
  <c r="X202" i="3"/>
  <c r="Y202" i="3" s="1"/>
  <c r="X436" i="3"/>
  <c r="Y436" i="3" s="1"/>
  <c r="X429" i="3"/>
  <c r="Y429" i="3" s="1"/>
  <c r="X312" i="3"/>
  <c r="Y312" i="3" s="1"/>
  <c r="X331" i="3"/>
  <c r="Y331" i="3" s="1"/>
  <c r="X264" i="3"/>
  <c r="Y264" i="3" s="1"/>
  <c r="X203" i="3"/>
  <c r="Y203" i="3" s="1"/>
  <c r="X112" i="3"/>
  <c r="Y112" i="3" s="1"/>
  <c r="X108" i="3"/>
  <c r="Y108" i="3" s="1"/>
  <c r="X100" i="3"/>
  <c r="Y100" i="3" s="1"/>
  <c r="X453" i="3"/>
  <c r="Y453" i="3" s="1"/>
  <c r="X220" i="3"/>
  <c r="Y220" i="3" s="1"/>
  <c r="X208" i="3"/>
  <c r="Y208" i="3" s="1"/>
  <c r="X180" i="3"/>
  <c r="Y180" i="3" s="1"/>
  <c r="X89" i="3"/>
  <c r="Y89" i="3" s="1"/>
  <c r="X37" i="3"/>
  <c r="Y37" i="3" s="1"/>
  <c r="X17" i="3"/>
  <c r="Y17" i="3" s="1"/>
  <c r="X9" i="3"/>
  <c r="Y9" i="3" s="1"/>
  <c r="X26" i="3"/>
  <c r="Y26" i="3" s="1"/>
  <c r="X159" i="3"/>
  <c r="Y159" i="3" s="1"/>
  <c r="X95" i="3"/>
  <c r="Y95" i="3" s="1"/>
  <c r="X79" i="3"/>
  <c r="Y79" i="3" s="1"/>
  <c r="X59" i="3"/>
  <c r="Y59" i="3" s="1"/>
  <c r="X228" i="3"/>
  <c r="Y228" i="3" s="1"/>
  <c r="X175" i="3"/>
  <c r="Y175" i="3" s="1"/>
  <c r="X154" i="3"/>
  <c r="Y154" i="3" s="1"/>
  <c r="X142" i="3"/>
  <c r="Y142" i="3" s="1"/>
  <c r="X130" i="3"/>
  <c r="Y130" i="3" s="1"/>
  <c r="X118" i="3"/>
  <c r="Y118" i="3" s="1"/>
  <c r="X90" i="3"/>
  <c r="Y90" i="3" s="1"/>
  <c r="X74" i="3"/>
  <c r="Y74" i="3" s="1"/>
  <c r="X393" i="3"/>
  <c r="Y393" i="3" s="1"/>
  <c r="X291" i="3"/>
  <c r="Y291" i="3" s="1"/>
  <c r="X143" i="3"/>
  <c r="Y143" i="3" s="1"/>
  <c r="X103" i="3"/>
  <c r="Y103" i="3" s="1"/>
  <c r="X51" i="3"/>
  <c r="Y51" i="3" s="1"/>
  <c r="X43" i="3"/>
  <c r="Y43" i="3" s="1"/>
  <c r="X27" i="3"/>
  <c r="Y27" i="3" s="1"/>
  <c r="AD638" i="3"/>
  <c r="AE638" i="3" s="1"/>
  <c r="AD614" i="3"/>
  <c r="AE614" i="3" s="1"/>
  <c r="AD575" i="3"/>
  <c r="AE575" i="3" s="1"/>
  <c r="AD564" i="3"/>
  <c r="AE564" i="3" s="1"/>
  <c r="AD619" i="3"/>
  <c r="AE619" i="3" s="1"/>
  <c r="AD593" i="3"/>
  <c r="AE593" i="3" s="1"/>
  <c r="AD542" i="3"/>
  <c r="AE542" i="3" s="1"/>
  <c r="AD526" i="3"/>
  <c r="AE526" i="3" s="1"/>
  <c r="AD514" i="3"/>
  <c r="AE514" i="3" s="1"/>
  <c r="AD502" i="3"/>
  <c r="AE502" i="3" s="1"/>
  <c r="AD470" i="3"/>
  <c r="AE470" i="3" s="1"/>
  <c r="AD583" i="3"/>
  <c r="AE583" i="3" s="1"/>
  <c r="AD535" i="3"/>
  <c r="AE535" i="3" s="1"/>
  <c r="AD508" i="3"/>
  <c r="AE508" i="3" s="1"/>
  <c r="AD365" i="3"/>
  <c r="AE365" i="3" s="1"/>
  <c r="AD293" i="3"/>
  <c r="AE293" i="3" s="1"/>
  <c r="AD608" i="3"/>
  <c r="AE608" i="3" s="1"/>
  <c r="AD589" i="3"/>
  <c r="AE589" i="3" s="1"/>
  <c r="AD523" i="3"/>
  <c r="AE523" i="3" s="1"/>
  <c r="AD471" i="3"/>
  <c r="AE471" i="3" s="1"/>
  <c r="AD497" i="3"/>
  <c r="AE497" i="3" s="1"/>
  <c r="AD248" i="3"/>
  <c r="AE248" i="3" s="1"/>
  <c r="AD609" i="3"/>
  <c r="AE609" i="3" s="1"/>
  <c r="AD600" i="3"/>
  <c r="AE600" i="3" s="1"/>
  <c r="AD456" i="3"/>
  <c r="AE456" i="3" s="1"/>
  <c r="AD388" i="3"/>
  <c r="AE388" i="3" s="1"/>
  <c r="AD546" i="3"/>
  <c r="AE546" i="3" s="1"/>
  <c r="AD505" i="3"/>
  <c r="AE505" i="3" s="1"/>
  <c r="AD416" i="3"/>
  <c r="AE416" i="3" s="1"/>
  <c r="AD222" i="3"/>
  <c r="AE222" i="3" s="1"/>
  <c r="AD19" i="3"/>
  <c r="AE19" i="3" s="1"/>
  <c r="AD146" i="3"/>
  <c r="AE146" i="3" s="1"/>
  <c r="AD66" i="3"/>
  <c r="AE66" i="3" s="1"/>
  <c r="AD359" i="3"/>
  <c r="AE359" i="3" s="1"/>
  <c r="AD351" i="3"/>
  <c r="AE351" i="3" s="1"/>
  <c r="AD343" i="3"/>
  <c r="AE343" i="3" s="1"/>
  <c r="AD540" i="3"/>
  <c r="AE540" i="3" s="1"/>
  <c r="AD554" i="3"/>
  <c r="AE554" i="3" s="1"/>
  <c r="AD507" i="3"/>
  <c r="AE507" i="3" s="1"/>
  <c r="AD385" i="3"/>
  <c r="AE385" i="3" s="1"/>
  <c r="AD512" i="3"/>
  <c r="AE512" i="3" s="1"/>
  <c r="AD236" i="3"/>
  <c r="AE236" i="3" s="1"/>
  <c r="AD200" i="3"/>
  <c r="AE200" i="3" s="1"/>
  <c r="AD452" i="3"/>
  <c r="AE452" i="3" s="1"/>
  <c r="AD289" i="3"/>
  <c r="AE289" i="3" s="1"/>
  <c r="AD412" i="3"/>
  <c r="AE412" i="3" s="1"/>
  <c r="AD319" i="3"/>
  <c r="AE319" i="3" s="1"/>
  <c r="AD310" i="3"/>
  <c r="AE310" i="3" s="1"/>
  <c r="AD227" i="3"/>
  <c r="AE227" i="3" s="1"/>
  <c r="AD88" i="3"/>
  <c r="AE88" i="3" s="1"/>
  <c r="AD25" i="3"/>
  <c r="AE25" i="3" s="1"/>
  <c r="AD219" i="3"/>
  <c r="AE219" i="3" s="1"/>
  <c r="X628" i="3"/>
  <c r="Y628" i="3" s="1"/>
  <c r="X552" i="3"/>
  <c r="Y552" i="3" s="1"/>
  <c r="X538" i="3"/>
  <c r="Y538" i="3" s="1"/>
  <c r="X467" i="3"/>
  <c r="Y467" i="3" s="1"/>
  <c r="X568" i="3"/>
  <c r="Y568" i="3" s="1"/>
  <c r="X548" i="3"/>
  <c r="Y548" i="3" s="1"/>
  <c r="X510" i="3"/>
  <c r="Y510" i="3" s="1"/>
  <c r="X504" i="3"/>
  <c r="Y504" i="3" s="1"/>
  <c r="X478" i="3"/>
  <c r="Y478" i="3" s="1"/>
  <c r="X410" i="3"/>
  <c r="Y410" i="3" s="1"/>
  <c r="X302" i="3"/>
  <c r="Y302" i="3" s="1"/>
  <c r="X533" i="3"/>
  <c r="Y533" i="3" s="1"/>
  <c r="X517" i="3"/>
  <c r="Y517" i="3" s="1"/>
  <c r="X383" i="3"/>
  <c r="Y383" i="3" s="1"/>
  <c r="X618" i="3"/>
  <c r="Y618" i="3" s="1"/>
  <c r="X580" i="3"/>
  <c r="Y580" i="3" s="1"/>
  <c r="X528" i="3"/>
  <c r="Y528" i="3" s="1"/>
  <c r="X520" i="3"/>
  <c r="Y520" i="3" s="1"/>
  <c r="X500" i="3"/>
  <c r="Y500" i="3" s="1"/>
  <c r="X482" i="3"/>
  <c r="Y482" i="3" s="1"/>
  <c r="X420" i="3"/>
  <c r="Y420" i="3" s="1"/>
  <c r="X197" i="3"/>
  <c r="Y197" i="3" s="1"/>
  <c r="X361" i="3"/>
  <c r="Y361" i="3" s="1"/>
  <c r="X327" i="3"/>
  <c r="Y327" i="3" s="1"/>
  <c r="X286" i="3"/>
  <c r="Y286" i="3" s="1"/>
  <c r="X198" i="3"/>
  <c r="Y198" i="3" s="1"/>
  <c r="X392" i="3"/>
  <c r="Y392" i="3" s="1"/>
  <c r="X369" i="3"/>
  <c r="Y369" i="3" s="1"/>
  <c r="X355" i="3"/>
  <c r="Y355" i="3" s="1"/>
  <c r="X347" i="3"/>
  <c r="Y347" i="3" s="1"/>
  <c r="X339" i="3"/>
  <c r="Y339" i="3" s="1"/>
  <c r="X7" i="3"/>
  <c r="Y7" i="3" s="1"/>
  <c r="X404" i="3"/>
  <c r="Y404" i="3" s="1"/>
  <c r="X397" i="3"/>
  <c r="Y397" i="3" s="1"/>
  <c r="X153" i="3"/>
  <c r="Y153" i="3" s="1"/>
  <c r="X85" i="3"/>
  <c r="Y85" i="3" s="1"/>
  <c r="X57" i="3"/>
  <c r="Y57" i="3" s="1"/>
  <c r="X49" i="3"/>
  <c r="Y49" i="3" s="1"/>
  <c r="X41" i="3"/>
  <c r="Y41" i="3" s="1"/>
  <c r="X30" i="3"/>
  <c r="Y30" i="3" s="1"/>
  <c r="X433" i="3"/>
  <c r="Y433" i="3" s="1"/>
  <c r="X252" i="3"/>
  <c r="Y252" i="3" s="1"/>
  <c r="X244" i="3"/>
  <c r="Y244" i="3" s="1"/>
  <c r="X449" i="3"/>
  <c r="Y449" i="3" s="1"/>
  <c r="X377" i="3"/>
  <c r="Y377" i="3" s="1"/>
  <c r="X184" i="3"/>
  <c r="Y184" i="3" s="1"/>
  <c r="X139" i="3"/>
  <c r="Y139" i="3" s="1"/>
  <c r="X35" i="3"/>
  <c r="Y35" i="3" s="1"/>
  <c r="X23" i="3"/>
  <c r="Y23" i="3" s="1"/>
  <c r="X15" i="3"/>
  <c r="Y15" i="3" s="1"/>
  <c r="X623" i="3"/>
  <c r="Y623" i="3" s="1"/>
  <c r="X579" i="3"/>
  <c r="Y579" i="3" s="1"/>
  <c r="X640" i="3"/>
  <c r="X626" i="3"/>
  <c r="Y626" i="3" s="1"/>
  <c r="X590" i="3"/>
  <c r="Y590" i="3" s="1"/>
  <c r="X527" i="3"/>
  <c r="Y527" i="3" s="1"/>
  <c r="X519" i="3"/>
  <c r="Y519" i="3" s="1"/>
  <c r="X503" i="3"/>
  <c r="Y503" i="3" s="1"/>
  <c r="X499" i="3"/>
  <c r="Y499" i="3" s="1"/>
  <c r="X617" i="3"/>
  <c r="Y617" i="3" s="1"/>
  <c r="X585" i="3"/>
  <c r="Y585" i="3" s="1"/>
  <c r="X550" i="3"/>
  <c r="Y550" i="3" s="1"/>
  <c r="X547" i="3"/>
  <c r="Y547" i="3" s="1"/>
  <c r="X532" i="3"/>
  <c r="Y532" i="3" s="1"/>
  <c r="X524" i="3"/>
  <c r="Y524" i="3" s="1"/>
  <c r="X516" i="3"/>
  <c r="Y516" i="3" s="1"/>
  <c r="X488" i="3"/>
  <c r="Y488" i="3" s="1"/>
  <c r="X472" i="3"/>
  <c r="Y472" i="3" s="1"/>
  <c r="X458" i="3"/>
  <c r="Y458" i="3" s="1"/>
  <c r="X418" i="3"/>
  <c r="Y418" i="3" s="1"/>
  <c r="X402" i="3"/>
  <c r="Y402" i="3" s="1"/>
  <c r="X354" i="3"/>
  <c r="Y354" i="3" s="1"/>
  <c r="X346" i="3"/>
  <c r="Y346" i="3" s="1"/>
  <c r="X334" i="3"/>
  <c r="Y334" i="3" s="1"/>
  <c r="X597" i="3"/>
  <c r="Y597" i="3" s="1"/>
  <c r="X566" i="3"/>
  <c r="Y566" i="3" s="1"/>
  <c r="X489" i="3"/>
  <c r="Y489" i="3" s="1"/>
  <c r="X481" i="3"/>
  <c r="Y481" i="3" s="1"/>
  <c r="X459" i="3"/>
  <c r="Y459" i="3" s="1"/>
  <c r="X447" i="3"/>
  <c r="Y447" i="3" s="1"/>
  <c r="X431" i="3"/>
  <c r="Y431" i="3" s="1"/>
  <c r="X427" i="3"/>
  <c r="Y427" i="3" s="1"/>
  <c r="X391" i="3"/>
  <c r="Y391" i="3" s="1"/>
  <c r="X375" i="3"/>
  <c r="Y375" i="3" s="1"/>
  <c r="X367" i="3"/>
  <c r="Y367" i="3" s="1"/>
  <c r="X506" i="3"/>
  <c r="Y506" i="3" s="1"/>
  <c r="X476" i="3"/>
  <c r="Y476" i="3" s="1"/>
  <c r="X509" i="3"/>
  <c r="Y509" i="3" s="1"/>
  <c r="X477" i="3"/>
  <c r="Y477" i="3" s="1"/>
  <c r="X360" i="3"/>
  <c r="Y360" i="3" s="1"/>
  <c r="X324" i="3"/>
  <c r="Y324" i="3" s="1"/>
  <c r="X300" i="3"/>
  <c r="Y300" i="3" s="1"/>
  <c r="X193" i="3"/>
  <c r="Y193" i="3" s="1"/>
  <c r="X177" i="3"/>
  <c r="Y177" i="3" s="1"/>
  <c r="X537" i="3"/>
  <c r="Y537" i="3" s="1"/>
  <c r="X335" i="3"/>
  <c r="Y335" i="3" s="1"/>
  <c r="X325" i="3"/>
  <c r="Y325" i="3" s="1"/>
  <c r="X311" i="3"/>
  <c r="Y311" i="3" s="1"/>
  <c r="X295" i="3"/>
  <c r="Y295" i="3" s="1"/>
  <c r="X282" i="3"/>
  <c r="Y282" i="3" s="1"/>
  <c r="X242" i="3"/>
  <c r="Y242" i="3" s="1"/>
  <c r="X448" i="3"/>
  <c r="Y448" i="3" s="1"/>
  <c r="X425" i="3"/>
  <c r="Y425" i="3" s="1"/>
  <c r="X396" i="3"/>
  <c r="Y396" i="3" s="1"/>
  <c r="X336" i="3"/>
  <c r="Y336" i="3" s="1"/>
  <c r="X283" i="3"/>
  <c r="Y283" i="3" s="1"/>
  <c r="X251" i="3"/>
  <c r="Y251" i="3" s="1"/>
  <c r="X231" i="3"/>
  <c r="Y231" i="3" s="1"/>
  <c r="X543" i="3"/>
  <c r="Y543" i="3" s="1"/>
  <c r="X272" i="3"/>
  <c r="Y272" i="3" s="1"/>
  <c r="X224" i="3"/>
  <c r="Y224" i="3" s="1"/>
  <c r="X163" i="3"/>
  <c r="Y163" i="3" s="1"/>
  <c r="X136" i="3"/>
  <c r="Y136" i="3" s="1"/>
  <c r="X32" i="3"/>
  <c r="Y32" i="3" s="1"/>
  <c r="X12" i="3"/>
  <c r="Y12" i="3" s="1"/>
  <c r="X381" i="3"/>
  <c r="Y381" i="3" s="1"/>
  <c r="X216" i="3"/>
  <c r="Y216" i="3" s="1"/>
  <c r="X172" i="3"/>
  <c r="Y172" i="3" s="1"/>
  <c r="X69" i="3"/>
  <c r="Y69" i="3" s="1"/>
  <c r="X29" i="3"/>
  <c r="Y29" i="3" s="1"/>
  <c r="X21" i="3"/>
  <c r="Y21" i="3" s="1"/>
  <c r="X34" i="3"/>
  <c r="Y34" i="3" s="1"/>
  <c r="X162" i="3"/>
  <c r="Y162" i="3" s="1"/>
  <c r="X151" i="3"/>
  <c r="Y151" i="3" s="1"/>
  <c r="X135" i="3"/>
  <c r="Y135" i="3" s="1"/>
  <c r="X39" i="3"/>
  <c r="Y39" i="3" s="1"/>
  <c r="X167" i="3"/>
  <c r="Y167" i="3" s="1"/>
  <c r="X82" i="3"/>
  <c r="Y82" i="3" s="1"/>
  <c r="X70" i="3"/>
  <c r="Y70" i="3" s="1"/>
  <c r="X54" i="3"/>
  <c r="Y54" i="3" s="1"/>
  <c r="X14" i="3"/>
  <c r="Y14" i="3" s="1"/>
  <c r="X6" i="3"/>
  <c r="Y6" i="3" s="1"/>
  <c r="X408" i="3"/>
  <c r="Y408" i="3" s="1"/>
  <c r="X55" i="3"/>
  <c r="Y55" i="3" s="1"/>
  <c r="X47" i="3"/>
  <c r="Y47" i="3" s="1"/>
  <c r="AD574" i="3"/>
  <c r="AE574" i="3" s="1"/>
  <c r="AD562" i="3"/>
  <c r="AE562" i="3" s="1"/>
  <c r="AD373" i="3"/>
  <c r="AE373" i="3" s="1"/>
  <c r="AD443" i="3"/>
  <c r="AE443" i="3" s="1"/>
  <c r="AD65" i="3"/>
  <c r="AE65" i="3" s="1"/>
  <c r="X639" i="3"/>
  <c r="Y639" i="3" s="1"/>
  <c r="X620" i="3"/>
  <c r="Y620" i="3" s="1"/>
  <c r="X294" i="3"/>
  <c r="Y294" i="3" s="1"/>
  <c r="X465" i="3"/>
  <c r="Y465" i="3" s="1"/>
  <c r="X594" i="3"/>
  <c r="Y594" i="3" s="1"/>
  <c r="X536" i="3"/>
  <c r="Y536" i="3" s="1"/>
  <c r="X498" i="3"/>
  <c r="Y498" i="3" s="1"/>
  <c r="X249" i="3"/>
  <c r="Y249" i="3" s="1"/>
  <c r="X238" i="3"/>
  <c r="Y238" i="3" s="1"/>
  <c r="X230" i="3"/>
  <c r="Y230" i="3" s="1"/>
  <c r="X206" i="3"/>
  <c r="Y206" i="3" s="1"/>
  <c r="X344" i="3"/>
  <c r="Y344" i="3" s="1"/>
  <c r="X223" i="3"/>
  <c r="Y223" i="3" s="1"/>
  <c r="X256" i="3"/>
  <c r="Y256" i="3" s="1"/>
  <c r="X156" i="3"/>
  <c r="Y156" i="3" s="1"/>
  <c r="X92" i="3"/>
  <c r="Y92" i="3" s="1"/>
  <c r="X389" i="3"/>
  <c r="Y389" i="3" s="1"/>
  <c r="X615" i="3"/>
  <c r="Y615" i="3" s="1"/>
  <c r="X584" i="3"/>
  <c r="Y584" i="3" s="1"/>
  <c r="X531" i="3"/>
  <c r="Y531" i="3" s="1"/>
  <c r="X487" i="3"/>
  <c r="Y487" i="3" s="1"/>
  <c r="X596" i="3"/>
  <c r="Y596" i="3" s="1"/>
  <c r="X486" i="3"/>
  <c r="Y486" i="3" s="1"/>
  <c r="X446" i="3"/>
  <c r="Y446" i="3" s="1"/>
  <c r="X374" i="3"/>
  <c r="Y374" i="3" s="1"/>
  <c r="X366" i="3"/>
  <c r="Y366" i="3" s="1"/>
  <c r="X322" i="3"/>
  <c r="Y322" i="3" s="1"/>
  <c r="X604" i="3"/>
  <c r="Y604" i="3" s="1"/>
  <c r="X395" i="3"/>
  <c r="Y395" i="3" s="1"/>
  <c r="X616" i="3"/>
  <c r="Y616" i="3" s="1"/>
  <c r="X518" i="3"/>
  <c r="Y518" i="3" s="1"/>
  <c r="X625" i="3"/>
  <c r="Y625" i="3" s="1"/>
  <c r="X281" i="3"/>
  <c r="Y281" i="3" s="1"/>
  <c r="X241" i="3"/>
  <c r="Y241" i="3" s="1"/>
  <c r="X161" i="3"/>
  <c r="Y161" i="3" s="1"/>
  <c r="X578" i="3"/>
  <c r="Y578" i="3" s="1"/>
  <c r="X333" i="3"/>
  <c r="Y333" i="3" s="1"/>
  <c r="X250" i="3"/>
  <c r="Y250" i="3" s="1"/>
  <c r="X352" i="3"/>
  <c r="Y352" i="3" s="1"/>
  <c r="X353" i="3"/>
  <c r="Y353" i="3" s="1"/>
  <c r="X345" i="3"/>
  <c r="Y345" i="3" s="1"/>
  <c r="X323" i="3"/>
  <c r="Y323" i="3" s="1"/>
  <c r="X171" i="3"/>
  <c r="Y171" i="3" s="1"/>
  <c r="X128" i="3"/>
  <c r="Y128" i="3" s="1"/>
  <c r="X68" i="3"/>
  <c r="Y68" i="3" s="1"/>
  <c r="X20" i="3"/>
  <c r="Y20" i="3" s="1"/>
  <c r="X4" i="3"/>
  <c r="Y4" i="3" s="1"/>
  <c r="X182" i="3"/>
  <c r="Y182" i="3" s="1"/>
  <c r="X157" i="3"/>
  <c r="Y157" i="3" s="1"/>
  <c r="X133" i="3"/>
  <c r="Y133" i="3" s="1"/>
  <c r="X97" i="3"/>
  <c r="Y97" i="3" s="1"/>
  <c r="X93" i="3"/>
  <c r="Y93" i="3" s="1"/>
  <c r="X81" i="3"/>
  <c r="Y81" i="3" s="1"/>
  <c r="X77" i="3"/>
  <c r="Y77" i="3" s="1"/>
  <c r="X53" i="3"/>
  <c r="Y53" i="3" s="1"/>
  <c r="X33" i="3"/>
  <c r="Y33" i="3" s="1"/>
  <c r="X46" i="3"/>
  <c r="Y46" i="3" s="1"/>
  <c r="X147" i="3"/>
  <c r="Y147" i="3" s="1"/>
  <c r="X115" i="3"/>
  <c r="Y115" i="3" s="1"/>
  <c r="X191" i="3"/>
  <c r="Y191" i="3" s="1"/>
  <c r="X150" i="3"/>
  <c r="Y150" i="3" s="1"/>
  <c r="X134" i="3"/>
  <c r="Y134" i="3" s="1"/>
  <c r="X466" i="3"/>
  <c r="Y466" i="3" s="1"/>
  <c r="X457" i="3"/>
  <c r="Y457" i="3" s="1"/>
  <c r="X401" i="3"/>
  <c r="Y401" i="3" s="1"/>
  <c r="X192" i="3"/>
  <c r="Y192" i="3" s="1"/>
  <c r="X186" i="3"/>
  <c r="Y186" i="3" s="1"/>
  <c r="X111" i="3"/>
  <c r="Y111" i="3" s="1"/>
  <c r="W671" i="3"/>
  <c r="AD634" i="3"/>
  <c r="AE634" i="3" s="1"/>
  <c r="AD530" i="3"/>
  <c r="AE530" i="3" s="1"/>
  <c r="AD572" i="3"/>
  <c r="AE572" i="3" s="1"/>
  <c r="AD559" i="3"/>
  <c r="AE559" i="3" s="1"/>
  <c r="AD440" i="3"/>
  <c r="AE440" i="3" s="1"/>
  <c r="AD45" i="3"/>
  <c r="AE45" i="3" s="1"/>
  <c r="AD62" i="3"/>
  <c r="AE62" i="3" s="1"/>
  <c r="AD594" i="3"/>
  <c r="AE594" i="3" s="1"/>
  <c r="AD498" i="3"/>
  <c r="AE498" i="3" s="1"/>
  <c r="AD536" i="3"/>
  <c r="AE536" i="3" s="1"/>
  <c r="AD389" i="3"/>
  <c r="AE389" i="3" s="1"/>
  <c r="AD639" i="3"/>
  <c r="AE639" i="3" s="1"/>
  <c r="AD465" i="3"/>
  <c r="AE465" i="3" s="1"/>
  <c r="AD344" i="3"/>
  <c r="AE344" i="3" s="1"/>
  <c r="AD256" i="3"/>
  <c r="AE256" i="3" s="1"/>
  <c r="AD249" i="3"/>
  <c r="AE249" i="3" s="1"/>
  <c r="AD620" i="3"/>
  <c r="AE620" i="3" s="1"/>
  <c r="AD238" i="3"/>
  <c r="AE238" i="3" s="1"/>
  <c r="AD230" i="3"/>
  <c r="AE230" i="3" s="1"/>
  <c r="AD294" i="3"/>
  <c r="AE294" i="3" s="1"/>
  <c r="AD156" i="3"/>
  <c r="AE156" i="3" s="1"/>
  <c r="AD92" i="3"/>
  <c r="AE92" i="3" s="1"/>
  <c r="AD206" i="3"/>
  <c r="AE206" i="3" s="1"/>
  <c r="AD223" i="3"/>
  <c r="AE223" i="3" s="1"/>
  <c r="X627" i="3"/>
  <c r="Y627" i="3" s="1"/>
  <c r="X544" i="3"/>
  <c r="Y544" i="3" s="1"/>
  <c r="X551" i="3"/>
  <c r="Y551" i="3" s="1"/>
  <c r="X382" i="3"/>
  <c r="Y382" i="3" s="1"/>
  <c r="X326" i="3"/>
  <c r="Y326" i="3" s="1"/>
  <c r="X525" i="3"/>
  <c r="Y525" i="3" s="1"/>
  <c r="X473" i="3"/>
  <c r="Y473" i="3" s="1"/>
  <c r="X419" i="3"/>
  <c r="Y419" i="3" s="1"/>
  <c r="X403" i="3"/>
  <c r="Y403" i="3" s="1"/>
  <c r="X490" i="3"/>
  <c r="Y490" i="3" s="1"/>
  <c r="X461" i="3"/>
  <c r="Y461" i="3" s="1"/>
  <c r="X409" i="3"/>
  <c r="Y409" i="3" s="1"/>
  <c r="X424" i="3"/>
  <c r="Y424" i="3" s="1"/>
  <c r="X368" i="3"/>
  <c r="Y368" i="3" s="1"/>
  <c r="X432" i="3"/>
  <c r="Y432" i="3" s="1"/>
  <c r="X376" i="3"/>
  <c r="Y376" i="3" s="1"/>
  <c r="X56" i="3"/>
  <c r="Y56" i="3" s="1"/>
  <c r="X48" i="3"/>
  <c r="Y48" i="3" s="1"/>
  <c r="X40" i="3"/>
  <c r="Y40" i="3" s="1"/>
  <c r="X460" i="3"/>
  <c r="Y460" i="3" s="1"/>
  <c r="X5" i="3"/>
  <c r="Y5" i="3" s="1"/>
  <c r="X561" i="3"/>
  <c r="Y561" i="3" s="1"/>
  <c r="X636" i="3"/>
  <c r="Y636" i="3" s="1"/>
  <c r="X442" i="3"/>
  <c r="Y442" i="3" s="1"/>
  <c r="X573" i="3"/>
  <c r="Y573" i="3" s="1"/>
  <c r="X415" i="3"/>
  <c r="Y415" i="3" s="1"/>
  <c r="X64" i="3"/>
  <c r="Y64" i="3" s="1"/>
  <c r="Y640" i="3" l="1"/>
  <c r="Y642" i="3" s="1"/>
  <c r="Z648" i="3"/>
  <c r="Z660" i="3"/>
  <c r="Z662" i="3"/>
  <c r="Z657" i="3"/>
  <c r="Z655" i="3"/>
  <c r="Z669" i="3"/>
  <c r="Z668" i="3"/>
  <c r="Z653" i="3"/>
  <c r="Z666" i="3"/>
  <c r="Z664" i="3"/>
  <c r="Z649" i="3"/>
  <c r="Z658" i="3"/>
  <c r="Z667" i="3"/>
  <c r="Z651" i="3"/>
  <c r="Z665" i="3"/>
  <c r="Z645" i="3"/>
  <c r="Z656" i="3"/>
  <c r="Z663" i="3"/>
  <c r="Z646" i="3"/>
  <c r="Z650" i="3"/>
  <c r="Z659" i="3"/>
  <c r="Z647" i="3"/>
  <c r="Z654" i="3"/>
  <c r="Z652" i="3"/>
  <c r="Z661" i="3"/>
  <c r="AA551" i="3" l="1"/>
  <c r="AB551" i="3" s="1"/>
  <c r="AA627" i="3"/>
  <c r="AB627" i="3" s="1"/>
  <c r="AA525" i="3"/>
  <c r="AB525" i="3" s="1"/>
  <c r="AA473" i="3"/>
  <c r="AB473" i="3" s="1"/>
  <c r="AA490" i="3"/>
  <c r="AB490" i="3" s="1"/>
  <c r="AA460" i="3"/>
  <c r="AB460" i="3" s="1"/>
  <c r="AA432" i="3"/>
  <c r="AB432" i="3" s="1"/>
  <c r="AA424" i="3"/>
  <c r="AB424" i="3" s="1"/>
  <c r="AA376" i="3"/>
  <c r="AB376" i="3" s="1"/>
  <c r="AA368" i="3"/>
  <c r="AB368" i="3" s="1"/>
  <c r="AA544" i="3"/>
  <c r="AB544" i="3" s="1"/>
  <c r="AA461" i="3"/>
  <c r="AB461" i="3" s="1"/>
  <c r="AA409" i="3"/>
  <c r="AB409" i="3" s="1"/>
  <c r="AA419" i="3"/>
  <c r="AB419" i="3" s="1"/>
  <c r="AA326" i="3"/>
  <c r="AB326" i="3" s="1"/>
  <c r="AA382" i="3"/>
  <c r="AB382" i="3" s="1"/>
  <c r="AA5" i="3"/>
  <c r="AB5" i="3" s="1"/>
  <c r="AA40" i="3"/>
  <c r="AB40" i="3" s="1"/>
  <c r="AA403" i="3"/>
  <c r="AB403" i="3" s="1"/>
  <c r="AA56" i="3"/>
  <c r="AB56" i="3" s="1"/>
  <c r="AA48" i="3"/>
  <c r="AB48" i="3" s="1"/>
  <c r="AA574" i="3"/>
  <c r="AB574" i="3" s="1"/>
  <c r="AA562" i="3"/>
  <c r="AB562" i="3" s="1"/>
  <c r="AA373" i="3"/>
  <c r="AB373" i="3" s="1"/>
  <c r="AA443" i="3"/>
  <c r="AB443" i="3" s="1"/>
  <c r="AA65" i="3"/>
  <c r="AB65" i="3" s="1"/>
  <c r="AA637" i="3"/>
  <c r="AB637" i="3" s="1"/>
  <c r="AA444" i="3"/>
  <c r="AB444" i="3" s="1"/>
  <c r="AA563" i="3"/>
  <c r="AB563" i="3" s="1"/>
  <c r="AA607" i="3"/>
  <c r="AB607" i="3" s="1"/>
  <c r="AA588" i="3"/>
  <c r="AB588" i="3" s="1"/>
  <c r="AA556" i="3"/>
  <c r="AB556" i="3" s="1"/>
  <c r="AA529" i="3"/>
  <c r="AB529" i="3" s="1"/>
  <c r="AA513" i="3"/>
  <c r="AB513" i="3" s="1"/>
  <c r="AA501" i="3"/>
  <c r="AB501" i="3" s="1"/>
  <c r="AA485" i="3"/>
  <c r="AB485" i="3" s="1"/>
  <c r="AA469" i="3"/>
  <c r="AB469" i="3" s="1"/>
  <c r="AA534" i="3"/>
  <c r="AB534" i="3" s="1"/>
  <c r="AA464" i="3"/>
  <c r="AB464" i="3" s="1"/>
  <c r="AA400" i="3"/>
  <c r="AB400" i="3" s="1"/>
  <c r="AA380" i="3"/>
  <c r="AB380" i="3" s="1"/>
  <c r="AA372" i="3"/>
  <c r="AB372" i="3" s="1"/>
  <c r="AA364" i="3"/>
  <c r="AB364" i="3" s="1"/>
  <c r="AA332" i="3"/>
  <c r="AB332" i="3" s="1"/>
  <c r="AA292" i="3"/>
  <c r="AB292" i="3" s="1"/>
  <c r="AA570" i="3"/>
  <c r="AB570" i="3" s="1"/>
  <c r="AA545" i="3"/>
  <c r="AB545" i="3" s="1"/>
  <c r="AA541" i="3"/>
  <c r="AB541" i="3" s="1"/>
  <c r="AA475" i="3"/>
  <c r="AB475" i="3" s="1"/>
  <c r="AA437" i="3"/>
  <c r="AB437" i="3" s="1"/>
  <c r="AA631" i="3"/>
  <c r="AB631" i="3" s="1"/>
  <c r="AA592" i="3"/>
  <c r="AB592" i="3" s="1"/>
  <c r="AA522" i="3"/>
  <c r="AB522" i="3" s="1"/>
  <c r="AA582" i="3"/>
  <c r="AB582" i="3" s="1"/>
  <c r="AA496" i="3"/>
  <c r="AB496" i="3" s="1"/>
  <c r="AA495" i="3"/>
  <c r="AB495" i="3" s="1"/>
  <c r="AA480" i="3"/>
  <c r="AB480" i="3" s="1"/>
  <c r="AA423" i="3"/>
  <c r="AB423" i="3" s="1"/>
  <c r="AA358" i="3"/>
  <c r="AB358" i="3" s="1"/>
  <c r="AA350" i="3"/>
  <c r="AB350" i="3" s="1"/>
  <c r="AA342" i="3"/>
  <c r="AB342" i="3" s="1"/>
  <c r="AA274" i="3"/>
  <c r="AB274" i="3" s="1"/>
  <c r="AA270" i="3"/>
  <c r="AB270" i="3" s="1"/>
  <c r="AA266" i="3"/>
  <c r="AB266" i="3" s="1"/>
  <c r="AA262" i="3"/>
  <c r="AB262" i="3" s="1"/>
  <c r="AA210" i="3"/>
  <c r="AB210" i="3" s="1"/>
  <c r="AA190" i="3"/>
  <c r="AB190" i="3" s="1"/>
  <c r="AA170" i="3"/>
  <c r="AB170" i="3" s="1"/>
  <c r="AA166" i="3"/>
  <c r="AB166" i="3" s="1"/>
  <c r="AA430" i="3"/>
  <c r="AB430" i="3" s="1"/>
  <c r="AA271" i="3"/>
  <c r="AB271" i="3" s="1"/>
  <c r="AA259" i="3"/>
  <c r="AB259" i="3" s="1"/>
  <c r="AA255" i="3"/>
  <c r="AB255" i="3" s="1"/>
  <c r="AA247" i="3"/>
  <c r="AB247" i="3" s="1"/>
  <c r="AA215" i="3"/>
  <c r="AB215" i="3" s="1"/>
  <c r="AA455" i="3"/>
  <c r="AB455" i="3" s="1"/>
  <c r="AA394" i="3"/>
  <c r="AB394" i="3" s="1"/>
  <c r="AA390" i="3"/>
  <c r="AB390" i="3" s="1"/>
  <c r="AA387" i="3"/>
  <c r="AB387" i="3" s="1"/>
  <c r="AA314" i="3"/>
  <c r="AB314" i="3" s="1"/>
  <c r="AA240" i="3"/>
  <c r="AB240" i="3" s="1"/>
  <c r="AA414" i="3"/>
  <c r="AB414" i="3" s="1"/>
  <c r="AA209" i="3"/>
  <c r="AB209" i="3" s="1"/>
  <c r="AA205" i="3"/>
  <c r="AB205" i="3" s="1"/>
  <c r="AA204" i="3"/>
  <c r="AB204" i="3" s="1"/>
  <c r="AA149" i="3"/>
  <c r="AB149" i="3" s="1"/>
  <c r="AA145" i="3"/>
  <c r="AB145" i="3" s="1"/>
  <c r="AA125" i="3"/>
  <c r="AB125" i="3" s="1"/>
  <c r="AA109" i="3"/>
  <c r="AB109" i="3" s="1"/>
  <c r="AA105" i="3"/>
  <c r="AB105" i="3" s="1"/>
  <c r="AA101" i="3"/>
  <c r="AB101" i="3" s="1"/>
  <c r="AA44" i="3"/>
  <c r="AB44" i="3" s="1"/>
  <c r="AA407" i="3"/>
  <c r="AB407" i="3" s="1"/>
  <c r="AA237" i="3"/>
  <c r="AB237" i="3" s="1"/>
  <c r="AA229" i="3"/>
  <c r="AB229" i="3" s="1"/>
  <c r="AA221" i="3"/>
  <c r="AB221" i="3" s="1"/>
  <c r="AA110" i="3"/>
  <c r="AB110" i="3" s="1"/>
  <c r="AA38" i="3"/>
  <c r="AB38" i="3" s="1"/>
  <c r="AA18" i="3"/>
  <c r="AB18" i="3" s="1"/>
  <c r="AA10" i="3"/>
  <c r="AB10" i="3" s="1"/>
  <c r="AA31" i="3"/>
  <c r="AB31" i="3" s="1"/>
  <c r="AA160" i="3"/>
  <c r="AB160" i="3" s="1"/>
  <c r="AA144" i="3"/>
  <c r="AB144" i="3" s="1"/>
  <c r="AA96" i="3"/>
  <c r="AB96" i="3" s="1"/>
  <c r="AA80" i="3"/>
  <c r="AB80" i="3" s="1"/>
  <c r="AA185" i="3"/>
  <c r="AB185" i="3" s="1"/>
  <c r="AA176" i="3"/>
  <c r="AB176" i="3" s="1"/>
  <c r="AA155" i="3"/>
  <c r="AB155" i="3" s="1"/>
  <c r="AA127" i="3"/>
  <c r="AB127" i="3" s="1"/>
  <c r="AA123" i="3"/>
  <c r="AB123" i="3" s="1"/>
  <c r="AA119" i="3"/>
  <c r="AB119" i="3" s="1"/>
  <c r="AA91" i="3"/>
  <c r="AB91" i="3" s="1"/>
  <c r="AA75" i="3"/>
  <c r="AB75" i="3" s="1"/>
  <c r="AA257" i="3"/>
  <c r="AB257" i="3" s="1"/>
  <c r="AA233" i="3"/>
  <c r="AB233" i="3" s="1"/>
  <c r="AA104" i="3"/>
  <c r="AB104" i="3" s="1"/>
  <c r="AA76" i="3"/>
  <c r="AB76" i="3" s="1"/>
  <c r="AA60" i="3"/>
  <c r="AB60" i="3" s="1"/>
  <c r="AA52" i="3"/>
  <c r="AB52" i="3" s="1"/>
  <c r="AA28" i="3"/>
  <c r="AB28" i="3" s="1"/>
  <c r="AA625" i="3"/>
  <c r="AB625" i="3" s="1"/>
  <c r="AA616" i="3"/>
  <c r="AB616" i="3" s="1"/>
  <c r="AA615" i="3"/>
  <c r="AB615" i="3" s="1"/>
  <c r="AA604" i="3"/>
  <c r="AB604" i="3" s="1"/>
  <c r="AA518" i="3"/>
  <c r="AB518" i="3" s="1"/>
  <c r="AA466" i="3"/>
  <c r="AB466" i="3" s="1"/>
  <c r="AA352" i="3"/>
  <c r="AB352" i="3" s="1"/>
  <c r="AA457" i="3"/>
  <c r="AB457" i="3" s="1"/>
  <c r="AA401" i="3"/>
  <c r="AB401" i="3" s="1"/>
  <c r="AA584" i="3"/>
  <c r="AB584" i="3" s="1"/>
  <c r="AA578" i="3"/>
  <c r="AB578" i="3" s="1"/>
  <c r="AA486" i="3"/>
  <c r="AB486" i="3" s="1"/>
  <c r="AA366" i="3"/>
  <c r="AB366" i="3" s="1"/>
  <c r="AA250" i="3"/>
  <c r="AB250" i="3" s="1"/>
  <c r="AA186" i="3"/>
  <c r="AB186" i="3" s="1"/>
  <c r="AA182" i="3"/>
  <c r="AB182" i="3" s="1"/>
  <c r="AA374" i="3"/>
  <c r="AB374" i="3" s="1"/>
  <c r="AA353" i="3"/>
  <c r="AB353" i="3" s="1"/>
  <c r="AA345" i="3"/>
  <c r="AB345" i="3" s="1"/>
  <c r="AA596" i="3"/>
  <c r="AB596" i="3" s="1"/>
  <c r="AA487" i="3"/>
  <c r="AB487" i="3" s="1"/>
  <c r="AA446" i="3"/>
  <c r="AB446" i="3" s="1"/>
  <c r="AA395" i="3"/>
  <c r="AB395" i="3" s="1"/>
  <c r="AA323" i="3"/>
  <c r="AB323" i="3" s="1"/>
  <c r="AA322" i="3"/>
  <c r="AB322" i="3" s="1"/>
  <c r="AA333" i="3"/>
  <c r="AB333" i="3" s="1"/>
  <c r="AA157" i="3"/>
  <c r="AB157" i="3" s="1"/>
  <c r="AA133" i="3"/>
  <c r="AB133" i="3" s="1"/>
  <c r="AA97" i="3"/>
  <c r="AB97" i="3" s="1"/>
  <c r="AA93" i="3"/>
  <c r="AB93" i="3" s="1"/>
  <c r="AA81" i="3"/>
  <c r="AB81" i="3" s="1"/>
  <c r="AA77" i="3"/>
  <c r="AB77" i="3" s="1"/>
  <c r="AA53" i="3"/>
  <c r="AB53" i="3" s="1"/>
  <c r="AA33" i="3"/>
  <c r="AB33" i="3" s="1"/>
  <c r="AA531" i="3"/>
  <c r="AB531" i="3" s="1"/>
  <c r="AA191" i="3"/>
  <c r="AB191" i="3" s="1"/>
  <c r="AA150" i="3"/>
  <c r="AB150" i="3" s="1"/>
  <c r="AA134" i="3"/>
  <c r="AB134" i="3" s="1"/>
  <c r="AA46" i="3"/>
  <c r="AB46" i="3" s="1"/>
  <c r="AA68" i="3"/>
  <c r="AB68" i="3" s="1"/>
  <c r="AA4" i="3"/>
  <c r="AB4" i="3" s="1"/>
  <c r="AA192" i="3"/>
  <c r="AB192" i="3" s="1"/>
  <c r="AA161" i="3"/>
  <c r="AB161" i="3" s="1"/>
  <c r="AA147" i="3"/>
  <c r="AB147" i="3" s="1"/>
  <c r="AA115" i="3"/>
  <c r="AB115" i="3" s="1"/>
  <c r="AA111" i="3"/>
  <c r="AB111" i="3" s="1"/>
  <c r="AA281" i="3"/>
  <c r="AB281" i="3" s="1"/>
  <c r="AA241" i="3"/>
  <c r="AB241" i="3" s="1"/>
  <c r="AA171" i="3"/>
  <c r="AB171" i="3" s="1"/>
  <c r="AA128" i="3"/>
  <c r="AB128" i="3" s="1"/>
  <c r="AA20" i="3"/>
  <c r="AB20" i="3" s="1"/>
  <c r="Z671" i="3"/>
  <c r="AA594" i="3"/>
  <c r="AB594" i="3" s="1"/>
  <c r="AA620" i="3"/>
  <c r="AB620" i="3" s="1"/>
  <c r="AA465" i="3"/>
  <c r="AB465" i="3" s="1"/>
  <c r="AA498" i="3"/>
  <c r="AB498" i="3" s="1"/>
  <c r="AA344" i="3"/>
  <c r="AB344" i="3" s="1"/>
  <c r="AA536" i="3"/>
  <c r="AB536" i="3" s="1"/>
  <c r="AA389" i="3"/>
  <c r="AB389" i="3" s="1"/>
  <c r="AA639" i="3"/>
  <c r="AB639" i="3" s="1"/>
  <c r="AA294" i="3"/>
  <c r="AB294" i="3" s="1"/>
  <c r="AA238" i="3"/>
  <c r="AB238" i="3" s="1"/>
  <c r="AA230" i="3"/>
  <c r="AB230" i="3" s="1"/>
  <c r="AA206" i="3"/>
  <c r="AB206" i="3" s="1"/>
  <c r="AA223" i="3"/>
  <c r="AB223" i="3" s="1"/>
  <c r="AA256" i="3"/>
  <c r="AB256" i="3" s="1"/>
  <c r="AA156" i="3"/>
  <c r="AB156" i="3" s="1"/>
  <c r="AA92" i="3"/>
  <c r="AB92" i="3" s="1"/>
  <c r="AA249" i="3"/>
  <c r="AB249" i="3" s="1"/>
  <c r="AA560" i="3"/>
  <c r="AB560" i="3" s="1"/>
  <c r="AA441" i="3"/>
  <c r="AB441" i="3" s="1"/>
  <c r="AA635" i="3"/>
  <c r="AB635" i="3" s="1"/>
  <c r="AA63" i="3"/>
  <c r="AB63" i="3" s="1"/>
  <c r="AA634" i="3"/>
  <c r="AB634" i="3" s="1"/>
  <c r="AA559" i="3"/>
  <c r="AB559" i="3" s="1"/>
  <c r="AA440" i="3"/>
  <c r="AB440" i="3" s="1"/>
  <c r="AA530" i="3"/>
  <c r="AB530" i="3" s="1"/>
  <c r="AA572" i="3"/>
  <c r="AB572" i="3" s="1"/>
  <c r="AA45" i="3"/>
  <c r="AB45" i="3" s="1"/>
  <c r="AA62" i="3"/>
  <c r="AB62" i="3" s="1"/>
  <c r="AA540" i="3"/>
  <c r="AB540" i="3" s="1"/>
  <c r="AA452" i="3"/>
  <c r="AB452" i="3" s="1"/>
  <c r="AA412" i="3"/>
  <c r="AB412" i="3" s="1"/>
  <c r="AA554" i="3"/>
  <c r="AB554" i="3" s="1"/>
  <c r="AA507" i="3"/>
  <c r="AB507" i="3" s="1"/>
  <c r="AA385" i="3"/>
  <c r="AB385" i="3" s="1"/>
  <c r="AA512" i="3"/>
  <c r="AB512" i="3" s="1"/>
  <c r="AA310" i="3"/>
  <c r="AB310" i="3" s="1"/>
  <c r="AA227" i="3"/>
  <c r="AB227" i="3" s="1"/>
  <c r="AA219" i="3"/>
  <c r="AB219" i="3" s="1"/>
  <c r="AA236" i="3"/>
  <c r="AB236" i="3" s="1"/>
  <c r="AA200" i="3"/>
  <c r="AB200" i="3" s="1"/>
  <c r="AA25" i="3"/>
  <c r="AB25" i="3" s="1"/>
  <c r="AA319" i="3"/>
  <c r="AB319" i="3" s="1"/>
  <c r="AA88" i="3"/>
  <c r="AB88" i="3" s="1"/>
  <c r="AA289" i="3"/>
  <c r="AB289" i="3" s="1"/>
  <c r="AA629" i="3"/>
  <c r="AB629" i="3" s="1"/>
  <c r="AA581" i="3"/>
  <c r="AB581" i="3" s="1"/>
  <c r="AA569" i="3"/>
  <c r="AB569" i="3" s="1"/>
  <c r="AA539" i="3"/>
  <c r="AB539" i="3" s="1"/>
  <c r="AA606" i="3"/>
  <c r="AB606" i="3" s="1"/>
  <c r="AA521" i="3"/>
  <c r="AB521" i="3" s="1"/>
  <c r="AA603" i="3"/>
  <c r="AB603" i="3" s="1"/>
  <c r="AA474" i="3"/>
  <c r="AB474" i="3" s="1"/>
  <c r="AA384" i="3"/>
  <c r="AB384" i="3" s="1"/>
  <c r="AA356" i="3"/>
  <c r="AB356" i="3" s="1"/>
  <c r="AA348" i="3"/>
  <c r="AB348" i="3" s="1"/>
  <c r="AA340" i="3"/>
  <c r="AB340" i="3" s="1"/>
  <c r="AA328" i="3"/>
  <c r="AB328" i="3" s="1"/>
  <c r="AA587" i="3"/>
  <c r="AB587" i="3" s="1"/>
  <c r="AA492" i="3"/>
  <c r="AB492" i="3" s="1"/>
  <c r="AA491" i="3"/>
  <c r="AB491" i="3" s="1"/>
  <c r="AA483" i="3"/>
  <c r="AB483" i="3" s="1"/>
  <c r="AA421" i="3"/>
  <c r="AB421" i="3" s="1"/>
  <c r="AA405" i="3"/>
  <c r="AB405" i="3" s="1"/>
  <c r="AA553" i="3"/>
  <c r="AB553" i="3" s="1"/>
  <c r="AA511" i="3"/>
  <c r="AB511" i="3" s="1"/>
  <c r="AA362" i="3"/>
  <c r="AB362" i="3" s="1"/>
  <c r="AA226" i="3"/>
  <c r="AB226" i="3" s="1"/>
  <c r="AA218" i="3"/>
  <c r="AB218" i="3" s="1"/>
  <c r="AA214" i="3"/>
  <c r="AB214" i="3" s="1"/>
  <c r="AA174" i="3"/>
  <c r="AB174" i="3" s="1"/>
  <c r="AA370" i="3"/>
  <c r="AB370" i="3" s="1"/>
  <c r="AA329" i="3"/>
  <c r="AB329" i="3" s="1"/>
  <c r="AA321" i="3"/>
  <c r="AB321" i="3" s="1"/>
  <c r="AA287" i="3"/>
  <c r="AB287" i="3" s="1"/>
  <c r="AA235" i="3"/>
  <c r="AB235" i="3" s="1"/>
  <c r="AA199" i="3"/>
  <c r="AB199" i="3" s="1"/>
  <c r="AA451" i="3"/>
  <c r="AB451" i="3" s="1"/>
  <c r="AA450" i="3"/>
  <c r="AB450" i="3" s="1"/>
  <c r="AA434" i="3"/>
  <c r="AB434" i="3" s="1"/>
  <c r="AA398" i="3"/>
  <c r="AB398" i="3" s="1"/>
  <c r="AA378" i="3"/>
  <c r="AB378" i="3" s="1"/>
  <c r="AA288" i="3"/>
  <c r="AB288" i="3" s="1"/>
  <c r="AA462" i="3"/>
  <c r="AB462" i="3" s="1"/>
  <c r="AA212" i="3"/>
  <c r="AB212" i="3" s="1"/>
  <c r="AA141" i="3"/>
  <c r="AB141" i="3" s="1"/>
  <c r="AA117" i="3"/>
  <c r="AB117" i="3" s="1"/>
  <c r="AA73" i="3"/>
  <c r="AB73" i="3" s="1"/>
  <c r="AA13" i="3"/>
  <c r="AB13" i="3" s="1"/>
  <c r="AA253" i="3"/>
  <c r="AB253" i="3" s="1"/>
  <c r="AA245" i="3"/>
  <c r="AB245" i="3" s="1"/>
  <c r="AA86" i="3"/>
  <c r="AB86" i="3" s="1"/>
  <c r="AA58" i="3"/>
  <c r="AB58" i="3" s="1"/>
  <c r="AA50" i="3"/>
  <c r="AB50" i="3" s="1"/>
  <c r="AA42" i="3"/>
  <c r="AB42" i="3" s="1"/>
  <c r="AA140" i="3"/>
  <c r="AB140" i="3" s="1"/>
  <c r="AA16" i="3"/>
  <c r="AB16" i="3" s="1"/>
  <c r="AA169" i="3"/>
  <c r="AB169" i="3" s="1"/>
  <c r="AA107" i="3"/>
  <c r="AB107" i="3" s="1"/>
  <c r="AA99" i="3"/>
  <c r="AB99" i="3" s="1"/>
  <c r="AA87" i="3"/>
  <c r="AB87" i="3" s="1"/>
  <c r="AA411" i="3"/>
  <c r="AB411" i="3" s="1"/>
  <c r="AA309" i="3"/>
  <c r="AB309" i="3" s="1"/>
  <c r="AA179" i="3"/>
  <c r="AB179" i="3" s="1"/>
  <c r="AA72" i="3"/>
  <c r="AB72" i="3" s="1"/>
  <c r="AA36" i="3"/>
  <c r="AB36" i="3" s="1"/>
  <c r="AA24" i="3"/>
  <c r="AB24" i="3" s="1"/>
  <c r="AA8" i="3"/>
  <c r="AB8" i="3" s="1"/>
  <c r="AA632" i="3"/>
  <c r="AB632" i="3" s="1"/>
  <c r="AA557" i="3"/>
  <c r="AB557" i="3" s="1"/>
  <c r="AA438" i="3"/>
  <c r="AB438" i="3" s="1"/>
  <c r="AA11" i="3"/>
  <c r="AB11" i="3" s="1"/>
  <c r="AA633" i="3"/>
  <c r="AB633" i="3" s="1"/>
  <c r="AA558" i="3"/>
  <c r="AB558" i="3" s="1"/>
  <c r="AA549" i="3"/>
  <c r="AB549" i="3" s="1"/>
  <c r="AA571" i="3"/>
  <c r="AB571" i="3" s="1"/>
  <c r="AA439" i="3"/>
  <c r="AB439" i="3" s="1"/>
  <c r="AA61" i="3"/>
  <c r="AB61" i="3" s="1"/>
  <c r="AA609" i="3"/>
  <c r="AB609" i="3" s="1"/>
  <c r="AA593" i="3"/>
  <c r="AB593" i="3" s="1"/>
  <c r="AA589" i="3"/>
  <c r="AB589" i="3" s="1"/>
  <c r="AA614" i="3"/>
  <c r="AB614" i="3" s="1"/>
  <c r="AA505" i="3"/>
  <c r="AB505" i="3" s="1"/>
  <c r="AA497" i="3"/>
  <c r="AB497" i="3" s="1"/>
  <c r="AA600" i="3"/>
  <c r="AB600" i="3" s="1"/>
  <c r="AA546" i="3"/>
  <c r="AB546" i="3" s="1"/>
  <c r="AA526" i="3"/>
  <c r="AB526" i="3" s="1"/>
  <c r="AA514" i="3"/>
  <c r="AB514" i="3" s="1"/>
  <c r="AA456" i="3"/>
  <c r="AB456" i="3" s="1"/>
  <c r="AA416" i="3"/>
  <c r="AB416" i="3" s="1"/>
  <c r="AA388" i="3"/>
  <c r="AB388" i="3" s="1"/>
  <c r="AA638" i="3"/>
  <c r="AB638" i="3" s="1"/>
  <c r="AA583" i="3"/>
  <c r="AB583" i="3" s="1"/>
  <c r="AA535" i="3"/>
  <c r="AB535" i="3" s="1"/>
  <c r="AA508" i="3"/>
  <c r="AB508" i="3" s="1"/>
  <c r="AA365" i="3"/>
  <c r="AB365" i="3" s="1"/>
  <c r="AA619" i="3"/>
  <c r="AB619" i="3" s="1"/>
  <c r="AA608" i="3"/>
  <c r="AB608" i="3" s="1"/>
  <c r="AA564" i="3"/>
  <c r="AB564" i="3" s="1"/>
  <c r="AA502" i="3"/>
  <c r="AB502" i="3" s="1"/>
  <c r="AA470" i="3"/>
  <c r="AB470" i="3" s="1"/>
  <c r="AA523" i="3"/>
  <c r="AB523" i="3" s="1"/>
  <c r="AA359" i="3"/>
  <c r="AB359" i="3" s="1"/>
  <c r="AA351" i="3"/>
  <c r="AB351" i="3" s="1"/>
  <c r="AA343" i="3"/>
  <c r="AB343" i="3" s="1"/>
  <c r="AA222" i="3"/>
  <c r="AB222" i="3" s="1"/>
  <c r="AA542" i="3"/>
  <c r="AB542" i="3" s="1"/>
  <c r="AA471" i="3"/>
  <c r="AB471" i="3" s="1"/>
  <c r="AA575" i="3"/>
  <c r="AB575" i="3" s="1"/>
  <c r="AA248" i="3"/>
  <c r="AB248" i="3" s="1"/>
  <c r="AA146" i="3"/>
  <c r="AB146" i="3" s="1"/>
  <c r="AA66" i="3"/>
  <c r="AB66" i="3" s="1"/>
  <c r="AA19" i="3"/>
  <c r="AB19" i="3" s="1"/>
  <c r="AA293" i="3"/>
  <c r="AB293" i="3" s="1"/>
  <c r="AA555" i="3"/>
  <c r="AB555" i="3" s="1"/>
  <c r="AA493" i="3"/>
  <c r="AB493" i="3" s="1"/>
  <c r="AA630" i="3"/>
  <c r="AB630" i="3" s="1"/>
  <c r="AA436" i="3"/>
  <c r="AB436" i="3" s="1"/>
  <c r="AA428" i="3"/>
  <c r="AB428" i="3" s="1"/>
  <c r="AA312" i="3"/>
  <c r="AB312" i="3" s="1"/>
  <c r="AA484" i="3"/>
  <c r="AB484" i="3" s="1"/>
  <c r="AA468" i="3"/>
  <c r="AB468" i="3" s="1"/>
  <c r="AA453" i="3"/>
  <c r="AB453" i="3" s="1"/>
  <c r="AA429" i="3"/>
  <c r="AB429" i="3" s="1"/>
  <c r="AA413" i="3"/>
  <c r="AB413" i="3" s="1"/>
  <c r="AA393" i="3"/>
  <c r="AB393" i="3" s="1"/>
  <c r="AA494" i="3"/>
  <c r="AB494" i="3" s="1"/>
  <c r="AA599" i="3"/>
  <c r="AB599" i="3" s="1"/>
  <c r="AA479" i="3"/>
  <c r="AB479" i="3" s="1"/>
  <c r="AA422" i="3"/>
  <c r="AB422" i="3" s="1"/>
  <c r="AA363" i="3"/>
  <c r="AB363" i="3" s="1"/>
  <c r="AA303" i="3"/>
  <c r="AB303" i="3" s="1"/>
  <c r="AA258" i="3"/>
  <c r="AB258" i="3" s="1"/>
  <c r="AA254" i="3"/>
  <c r="AB254" i="3" s="1"/>
  <c r="AA246" i="3"/>
  <c r="AB246" i="3" s="1"/>
  <c r="AA202" i="3"/>
  <c r="AB202" i="3" s="1"/>
  <c r="AA426" i="3"/>
  <c r="AB426" i="3" s="1"/>
  <c r="AA371" i="3"/>
  <c r="AB371" i="3" s="1"/>
  <c r="AA203" i="3"/>
  <c r="AB203" i="3" s="1"/>
  <c r="AA454" i="3"/>
  <c r="AB454" i="3" s="1"/>
  <c r="AA435" i="3"/>
  <c r="AB435" i="3" s="1"/>
  <c r="AA399" i="3"/>
  <c r="AB399" i="3" s="1"/>
  <c r="AA386" i="3"/>
  <c r="AB386" i="3" s="1"/>
  <c r="AA379" i="3"/>
  <c r="AB379" i="3" s="1"/>
  <c r="AA331" i="3"/>
  <c r="AB331" i="3" s="1"/>
  <c r="AA330" i="3"/>
  <c r="AB330" i="3" s="1"/>
  <c r="AA306" i="3"/>
  <c r="AB306" i="3" s="1"/>
  <c r="AA298" i="3"/>
  <c r="AB298" i="3" s="1"/>
  <c r="AA291" i="3"/>
  <c r="AB291" i="3" s="1"/>
  <c r="AA290" i="3"/>
  <c r="AB290" i="3" s="1"/>
  <c r="AA264" i="3"/>
  <c r="AB264" i="3" s="1"/>
  <c r="AA228" i="3"/>
  <c r="AB228" i="3" s="1"/>
  <c r="AA406" i="3"/>
  <c r="AB406" i="3" s="1"/>
  <c r="AA357" i="3"/>
  <c r="AB357" i="3" s="1"/>
  <c r="AA349" i="3"/>
  <c r="AB349" i="3" s="1"/>
  <c r="AA341" i="3"/>
  <c r="AB341" i="3" s="1"/>
  <c r="AA220" i="3"/>
  <c r="AB220" i="3" s="1"/>
  <c r="AA208" i="3"/>
  <c r="AB208" i="3" s="1"/>
  <c r="AA201" i="3"/>
  <c r="AB201" i="3" s="1"/>
  <c r="AA189" i="3"/>
  <c r="AB189" i="3" s="1"/>
  <c r="AA180" i="3"/>
  <c r="AB180" i="3" s="1"/>
  <c r="AA165" i="3"/>
  <c r="AB165" i="3" s="1"/>
  <c r="AA89" i="3"/>
  <c r="AB89" i="3" s="1"/>
  <c r="AA37" i="3"/>
  <c r="AB37" i="3" s="1"/>
  <c r="AA17" i="3"/>
  <c r="AB17" i="3" s="1"/>
  <c r="AA9" i="3"/>
  <c r="AB9" i="3" s="1"/>
  <c r="AA463" i="3"/>
  <c r="AB463" i="3" s="1"/>
  <c r="AA277" i="3"/>
  <c r="AB277" i="3" s="1"/>
  <c r="AA261" i="3"/>
  <c r="AB261" i="3" s="1"/>
  <c r="AA175" i="3"/>
  <c r="AB175" i="3" s="1"/>
  <c r="AA154" i="3"/>
  <c r="AB154" i="3" s="1"/>
  <c r="AA142" i="3"/>
  <c r="AB142" i="3" s="1"/>
  <c r="AA130" i="3"/>
  <c r="AB130" i="3" s="1"/>
  <c r="AA118" i="3"/>
  <c r="AB118" i="3" s="1"/>
  <c r="AA90" i="3"/>
  <c r="AB90" i="3" s="1"/>
  <c r="AA74" i="3"/>
  <c r="AB74" i="3" s="1"/>
  <c r="AA26" i="3"/>
  <c r="AB26" i="3" s="1"/>
  <c r="AA43" i="3"/>
  <c r="AB43" i="3" s="1"/>
  <c r="AA27" i="3"/>
  <c r="AB27" i="3" s="1"/>
  <c r="AA112" i="3"/>
  <c r="AB112" i="3" s="1"/>
  <c r="AA108" i="3"/>
  <c r="AB108" i="3" s="1"/>
  <c r="AA100" i="3"/>
  <c r="AB100" i="3" s="1"/>
  <c r="AA159" i="3"/>
  <c r="AB159" i="3" s="1"/>
  <c r="AA143" i="3"/>
  <c r="AB143" i="3" s="1"/>
  <c r="AA103" i="3"/>
  <c r="AB103" i="3" s="1"/>
  <c r="AA95" i="3"/>
  <c r="AB95" i="3" s="1"/>
  <c r="AA79" i="3"/>
  <c r="AB79" i="3" s="1"/>
  <c r="AA59" i="3"/>
  <c r="AB59" i="3" s="1"/>
  <c r="AA51" i="3"/>
  <c r="AB51" i="3" s="1"/>
  <c r="AA628" i="3"/>
  <c r="AB628" i="3" s="1"/>
  <c r="AA580" i="3"/>
  <c r="AB580" i="3" s="1"/>
  <c r="AA548" i="3"/>
  <c r="AB548" i="3" s="1"/>
  <c r="AA533" i="3"/>
  <c r="AB533" i="3" s="1"/>
  <c r="AA517" i="3"/>
  <c r="AB517" i="3" s="1"/>
  <c r="AA618" i="3"/>
  <c r="AB618" i="3" s="1"/>
  <c r="AA538" i="3"/>
  <c r="AB538" i="3" s="1"/>
  <c r="AA482" i="3"/>
  <c r="AB482" i="3" s="1"/>
  <c r="AA420" i="3"/>
  <c r="AB420" i="3" s="1"/>
  <c r="AA404" i="3"/>
  <c r="AB404" i="3" s="1"/>
  <c r="AA392" i="3"/>
  <c r="AB392" i="3" s="1"/>
  <c r="AA528" i="3"/>
  <c r="AB528" i="3" s="1"/>
  <c r="AA520" i="3"/>
  <c r="AB520" i="3" s="1"/>
  <c r="AA500" i="3"/>
  <c r="AB500" i="3" s="1"/>
  <c r="AA467" i="3"/>
  <c r="AB467" i="3" s="1"/>
  <c r="AA449" i="3"/>
  <c r="AB449" i="3" s="1"/>
  <c r="AA433" i="3"/>
  <c r="AB433" i="3" s="1"/>
  <c r="AA397" i="3"/>
  <c r="AB397" i="3" s="1"/>
  <c r="AA377" i="3"/>
  <c r="AB377" i="3" s="1"/>
  <c r="AA369" i="3"/>
  <c r="AB369" i="3" s="1"/>
  <c r="AA361" i="3"/>
  <c r="AB361" i="3" s="1"/>
  <c r="AA552" i="3"/>
  <c r="AB552" i="3" s="1"/>
  <c r="AA510" i="3"/>
  <c r="AB510" i="3" s="1"/>
  <c r="AA478" i="3"/>
  <c r="AB478" i="3" s="1"/>
  <c r="AA327" i="3"/>
  <c r="AB327" i="3" s="1"/>
  <c r="AA302" i="3"/>
  <c r="AB302" i="3" s="1"/>
  <c r="AA286" i="3"/>
  <c r="AB286" i="3" s="1"/>
  <c r="AA198" i="3"/>
  <c r="AB198" i="3" s="1"/>
  <c r="AA504" i="3"/>
  <c r="AB504" i="3" s="1"/>
  <c r="AA383" i="3"/>
  <c r="AB383" i="3" s="1"/>
  <c r="AA355" i="3"/>
  <c r="AB355" i="3" s="1"/>
  <c r="AA347" i="3"/>
  <c r="AB347" i="3" s="1"/>
  <c r="AA339" i="3"/>
  <c r="AB339" i="3" s="1"/>
  <c r="AA252" i="3"/>
  <c r="AB252" i="3" s="1"/>
  <c r="AA244" i="3"/>
  <c r="AB244" i="3" s="1"/>
  <c r="AA197" i="3"/>
  <c r="AB197" i="3" s="1"/>
  <c r="AA153" i="3"/>
  <c r="AB153" i="3" s="1"/>
  <c r="AA85" i="3"/>
  <c r="AB85" i="3" s="1"/>
  <c r="AA57" i="3"/>
  <c r="AB57" i="3" s="1"/>
  <c r="AA49" i="3"/>
  <c r="AB49" i="3" s="1"/>
  <c r="AA41" i="3"/>
  <c r="AB41" i="3" s="1"/>
  <c r="AA30" i="3"/>
  <c r="AB30" i="3" s="1"/>
  <c r="AA35" i="3"/>
  <c r="AB35" i="3" s="1"/>
  <c r="AA23" i="3"/>
  <c r="AB23" i="3" s="1"/>
  <c r="AA15" i="3"/>
  <c r="AB15" i="3" s="1"/>
  <c r="AA410" i="3"/>
  <c r="AB410" i="3" s="1"/>
  <c r="AA184" i="3"/>
  <c r="AB184" i="3" s="1"/>
  <c r="AA139" i="3"/>
  <c r="AB139" i="3" s="1"/>
  <c r="AA7" i="3"/>
  <c r="AB7" i="3" s="1"/>
  <c r="AA568" i="3"/>
  <c r="AB568" i="3" s="1"/>
  <c r="AA617" i="3"/>
  <c r="AB617" i="3" s="1"/>
  <c r="AA597" i="3"/>
  <c r="AB597" i="3" s="1"/>
  <c r="AA585" i="3"/>
  <c r="AB585" i="3" s="1"/>
  <c r="AA623" i="3"/>
  <c r="AB623" i="3" s="1"/>
  <c r="AA579" i="3"/>
  <c r="AB579" i="3" s="1"/>
  <c r="AA547" i="3"/>
  <c r="AB547" i="3" s="1"/>
  <c r="AA543" i="3"/>
  <c r="AB543" i="3" s="1"/>
  <c r="AA626" i="3"/>
  <c r="AB626" i="3" s="1"/>
  <c r="AA537" i="3"/>
  <c r="AB537" i="3" s="1"/>
  <c r="AA509" i="3"/>
  <c r="AB509" i="3" s="1"/>
  <c r="AA489" i="3"/>
  <c r="AB489" i="3" s="1"/>
  <c r="AA481" i="3"/>
  <c r="AB481" i="3" s="1"/>
  <c r="AA477" i="3"/>
  <c r="AB477" i="3" s="1"/>
  <c r="AA640" i="3"/>
  <c r="AA566" i="3"/>
  <c r="AB566" i="3" s="1"/>
  <c r="AA506" i="3"/>
  <c r="AB506" i="3" s="1"/>
  <c r="AA448" i="3"/>
  <c r="AB448" i="3" s="1"/>
  <c r="AA408" i="3"/>
  <c r="AB408" i="3" s="1"/>
  <c r="AA396" i="3"/>
  <c r="AB396" i="3" s="1"/>
  <c r="AA360" i="3"/>
  <c r="AB360" i="3" s="1"/>
  <c r="AA336" i="3"/>
  <c r="AB336" i="3" s="1"/>
  <c r="AA324" i="3"/>
  <c r="AB324" i="3" s="1"/>
  <c r="AA300" i="3"/>
  <c r="AB300" i="3" s="1"/>
  <c r="AA527" i="3"/>
  <c r="AB527" i="3" s="1"/>
  <c r="AA519" i="3"/>
  <c r="AB519" i="3" s="1"/>
  <c r="AA499" i="3"/>
  <c r="AB499" i="3" s="1"/>
  <c r="AA476" i="3"/>
  <c r="AB476" i="3" s="1"/>
  <c r="AA425" i="3"/>
  <c r="AB425" i="3" s="1"/>
  <c r="AA381" i="3"/>
  <c r="AB381" i="3" s="1"/>
  <c r="AA590" i="3"/>
  <c r="AB590" i="3" s="1"/>
  <c r="AA524" i="3"/>
  <c r="AB524" i="3" s="1"/>
  <c r="AA367" i="3"/>
  <c r="AB367" i="3" s="1"/>
  <c r="AA335" i="3"/>
  <c r="AB335" i="3" s="1"/>
  <c r="AA334" i="3"/>
  <c r="AB334" i="3" s="1"/>
  <c r="AA311" i="3"/>
  <c r="AB311" i="3" s="1"/>
  <c r="AA295" i="3"/>
  <c r="AB295" i="3" s="1"/>
  <c r="AA282" i="3"/>
  <c r="AB282" i="3" s="1"/>
  <c r="AA242" i="3"/>
  <c r="AB242" i="3" s="1"/>
  <c r="AA162" i="3"/>
  <c r="AB162" i="3" s="1"/>
  <c r="AA472" i="3"/>
  <c r="AB472" i="3" s="1"/>
  <c r="AA431" i="3"/>
  <c r="AB431" i="3" s="1"/>
  <c r="AA427" i="3"/>
  <c r="AB427" i="3" s="1"/>
  <c r="AA375" i="3"/>
  <c r="AB375" i="3" s="1"/>
  <c r="AA283" i="3"/>
  <c r="AB283" i="3" s="1"/>
  <c r="AA251" i="3"/>
  <c r="AB251" i="3" s="1"/>
  <c r="AA231" i="3"/>
  <c r="AB231" i="3" s="1"/>
  <c r="AA550" i="3"/>
  <c r="AB550" i="3" s="1"/>
  <c r="AA516" i="3"/>
  <c r="AB516" i="3" s="1"/>
  <c r="AA503" i="3"/>
  <c r="AB503" i="3" s="1"/>
  <c r="AA488" i="3"/>
  <c r="AB488" i="3" s="1"/>
  <c r="AA459" i="3"/>
  <c r="AB459" i="3" s="1"/>
  <c r="AA458" i="3"/>
  <c r="AB458" i="3" s="1"/>
  <c r="AA447" i="3"/>
  <c r="AB447" i="3" s="1"/>
  <c r="AA402" i="3"/>
  <c r="AB402" i="3" s="1"/>
  <c r="AA391" i="3"/>
  <c r="AB391" i="3" s="1"/>
  <c r="AA354" i="3"/>
  <c r="AB354" i="3" s="1"/>
  <c r="AA346" i="3"/>
  <c r="AB346" i="3" s="1"/>
  <c r="AA272" i="3"/>
  <c r="AB272" i="3" s="1"/>
  <c r="AA224" i="3"/>
  <c r="AB224" i="3" s="1"/>
  <c r="AA325" i="3"/>
  <c r="AB325" i="3" s="1"/>
  <c r="AA216" i="3"/>
  <c r="AB216" i="3" s="1"/>
  <c r="AA193" i="3"/>
  <c r="AB193" i="3" s="1"/>
  <c r="AA172" i="3"/>
  <c r="AB172" i="3" s="1"/>
  <c r="AA69" i="3"/>
  <c r="AB69" i="3" s="1"/>
  <c r="AA29" i="3"/>
  <c r="AB29" i="3" s="1"/>
  <c r="AA21" i="3"/>
  <c r="AB21" i="3" s="1"/>
  <c r="AA167" i="3"/>
  <c r="AB167" i="3" s="1"/>
  <c r="AA82" i="3"/>
  <c r="AB82" i="3" s="1"/>
  <c r="AA70" i="3"/>
  <c r="AB70" i="3" s="1"/>
  <c r="AA54" i="3"/>
  <c r="AB54" i="3" s="1"/>
  <c r="AA34" i="3"/>
  <c r="AB34" i="3" s="1"/>
  <c r="AA14" i="3"/>
  <c r="AB14" i="3" s="1"/>
  <c r="AA6" i="3"/>
  <c r="AB6" i="3" s="1"/>
  <c r="AA55" i="3"/>
  <c r="AB55" i="3" s="1"/>
  <c r="AA39" i="3"/>
  <c r="AB39" i="3" s="1"/>
  <c r="AA136" i="3"/>
  <c r="AB136" i="3" s="1"/>
  <c r="AA12" i="3"/>
  <c r="AB12" i="3" s="1"/>
  <c r="AA418" i="3"/>
  <c r="AB418" i="3" s="1"/>
  <c r="AA177" i="3"/>
  <c r="AB177" i="3" s="1"/>
  <c r="AA151" i="3"/>
  <c r="AB151" i="3" s="1"/>
  <c r="AA135" i="3"/>
  <c r="AB135" i="3" s="1"/>
  <c r="AA47" i="3"/>
  <c r="AB47" i="3" s="1"/>
  <c r="AA532" i="3"/>
  <c r="AB532" i="3" s="1"/>
  <c r="AA163" i="3"/>
  <c r="AB163" i="3" s="1"/>
  <c r="AA32" i="3"/>
  <c r="AB32" i="3" s="1"/>
  <c r="AA621" i="3"/>
  <c r="AB621" i="3" s="1"/>
  <c r="AA613" i="3"/>
  <c r="AB613" i="3" s="1"/>
  <c r="AA605" i="3"/>
  <c r="AB605" i="3" s="1"/>
  <c r="AA601" i="3"/>
  <c r="AB601" i="3" s="1"/>
  <c r="AA577" i="3"/>
  <c r="AB577" i="3" s="1"/>
  <c r="AA610" i="3"/>
  <c r="AB610" i="3" s="1"/>
  <c r="AA602" i="3"/>
  <c r="AB602" i="3" s="1"/>
  <c r="AA586" i="3"/>
  <c r="AB586" i="3" s="1"/>
  <c r="AA567" i="3"/>
  <c r="AB567" i="3" s="1"/>
  <c r="AA612" i="3"/>
  <c r="AB612" i="3" s="1"/>
  <c r="AA316" i="3"/>
  <c r="AB316" i="3" s="1"/>
  <c r="AA308" i="3"/>
  <c r="AB308" i="3" s="1"/>
  <c r="AA304" i="3"/>
  <c r="AB304" i="3" s="1"/>
  <c r="AA296" i="3"/>
  <c r="AB296" i="3" s="1"/>
  <c r="AA624" i="3"/>
  <c r="AB624" i="3" s="1"/>
  <c r="AA591" i="3"/>
  <c r="AB591" i="3" s="1"/>
  <c r="AA611" i="3"/>
  <c r="AB611" i="3" s="1"/>
  <c r="AA598" i="3"/>
  <c r="AB598" i="3" s="1"/>
  <c r="AA278" i="3"/>
  <c r="AB278" i="3" s="1"/>
  <c r="AA234" i="3"/>
  <c r="AB234" i="3" s="1"/>
  <c r="AA194" i="3"/>
  <c r="AB194" i="3" s="1"/>
  <c r="AA178" i="3"/>
  <c r="AB178" i="3" s="1"/>
  <c r="AA595" i="3"/>
  <c r="AB595" i="3" s="1"/>
  <c r="AA337" i="3"/>
  <c r="AB337" i="3" s="1"/>
  <c r="AA313" i="3"/>
  <c r="AB313" i="3" s="1"/>
  <c r="AA305" i="3"/>
  <c r="AB305" i="3" s="1"/>
  <c r="AA297" i="3"/>
  <c r="AB297" i="3" s="1"/>
  <c r="AA279" i="3"/>
  <c r="AB279" i="3" s="1"/>
  <c r="AA275" i="3"/>
  <c r="AB275" i="3" s="1"/>
  <c r="AA267" i="3"/>
  <c r="AB267" i="3" s="1"/>
  <c r="AA263" i="3"/>
  <c r="AB263" i="3" s="1"/>
  <c r="AA243" i="3"/>
  <c r="AB243" i="3" s="1"/>
  <c r="AA239" i="3"/>
  <c r="AB239" i="3" s="1"/>
  <c r="AA211" i="3"/>
  <c r="AB211" i="3" s="1"/>
  <c r="AA207" i="3"/>
  <c r="AB207" i="3" s="1"/>
  <c r="AA195" i="3"/>
  <c r="AB195" i="3" s="1"/>
  <c r="AA338" i="3"/>
  <c r="AB338" i="3" s="1"/>
  <c r="AA315" i="3"/>
  <c r="AB315" i="3" s="1"/>
  <c r="AA307" i="3"/>
  <c r="AB307" i="3" s="1"/>
  <c r="AA299" i="3"/>
  <c r="AB299" i="3" s="1"/>
  <c r="AA284" i="3"/>
  <c r="AB284" i="3" s="1"/>
  <c r="AA280" i="3"/>
  <c r="AB280" i="3" s="1"/>
  <c r="AA276" i="3"/>
  <c r="AB276" i="3" s="1"/>
  <c r="AA268" i="3"/>
  <c r="AB268" i="3" s="1"/>
  <c r="AA260" i="3"/>
  <c r="AB260" i="3" s="1"/>
  <c r="AA232" i="3"/>
  <c r="AB232" i="3" s="1"/>
  <c r="AA217" i="3"/>
  <c r="AB217" i="3" s="1"/>
  <c r="AA213" i="3"/>
  <c r="AB213" i="3" s="1"/>
  <c r="AA196" i="3"/>
  <c r="AB196" i="3" s="1"/>
  <c r="AA188" i="3"/>
  <c r="AB188" i="3" s="1"/>
  <c r="AA181" i="3"/>
  <c r="AB181" i="3" s="1"/>
  <c r="AA173" i="3"/>
  <c r="AB173" i="3" s="1"/>
  <c r="AA164" i="3"/>
  <c r="AB164" i="3" s="1"/>
  <c r="AA137" i="3"/>
  <c r="AB137" i="3" s="1"/>
  <c r="AA129" i="3"/>
  <c r="AB129" i="3" s="1"/>
  <c r="AA121" i="3"/>
  <c r="AB121" i="3" s="1"/>
  <c r="AA113" i="3"/>
  <c r="AB113" i="3" s="1"/>
  <c r="AA318" i="3"/>
  <c r="AB318" i="3" s="1"/>
  <c r="AA285" i="3"/>
  <c r="AB285" i="3" s="1"/>
  <c r="AA269" i="3"/>
  <c r="AB269" i="3" s="1"/>
  <c r="AA183" i="3"/>
  <c r="AB183" i="3" s="1"/>
  <c r="AA158" i="3"/>
  <c r="AB158" i="3" s="1"/>
  <c r="AA138" i="3"/>
  <c r="AB138" i="3" s="1"/>
  <c r="AA126" i="3"/>
  <c r="AB126" i="3" s="1"/>
  <c r="AA122" i="3"/>
  <c r="AB122" i="3" s="1"/>
  <c r="AA114" i="3"/>
  <c r="AB114" i="3" s="1"/>
  <c r="AA106" i="3"/>
  <c r="AB106" i="3" s="1"/>
  <c r="AA102" i="3"/>
  <c r="AB102" i="3" s="1"/>
  <c r="AA98" i="3"/>
  <c r="AB98" i="3" s="1"/>
  <c r="AA94" i="3"/>
  <c r="AB94" i="3" s="1"/>
  <c r="AA78" i="3"/>
  <c r="AB78" i="3" s="1"/>
  <c r="AA22" i="3"/>
  <c r="AB22" i="3" s="1"/>
  <c r="AA152" i="3"/>
  <c r="AB152" i="3" s="1"/>
  <c r="AA148" i="3"/>
  <c r="AB148" i="3" s="1"/>
  <c r="AA120" i="3"/>
  <c r="AB120" i="3" s="1"/>
  <c r="AA168" i="3"/>
  <c r="AB168" i="3" s="1"/>
  <c r="AA131" i="3"/>
  <c r="AB131" i="3" s="1"/>
  <c r="AA83" i="3"/>
  <c r="AB83" i="3" s="1"/>
  <c r="AA71" i="3"/>
  <c r="AB71" i="3" s="1"/>
  <c r="AA622" i="3"/>
  <c r="AB622" i="3" s="1"/>
  <c r="AA301" i="3"/>
  <c r="AB301" i="3" s="1"/>
  <c r="AA273" i="3"/>
  <c r="AB273" i="3" s="1"/>
  <c r="AA265" i="3"/>
  <c r="AB265" i="3" s="1"/>
  <c r="AA225" i="3"/>
  <c r="AB225" i="3" s="1"/>
  <c r="AA187" i="3"/>
  <c r="AB187" i="3" s="1"/>
  <c r="AA132" i="3"/>
  <c r="AB132" i="3" s="1"/>
  <c r="AA124" i="3"/>
  <c r="AB124" i="3" s="1"/>
  <c r="AA116" i="3"/>
  <c r="AB116" i="3" s="1"/>
  <c r="AA84" i="3"/>
  <c r="AB84" i="3" s="1"/>
  <c r="AA573" i="3"/>
  <c r="AB573" i="3" s="1"/>
  <c r="AA561" i="3"/>
  <c r="AB561" i="3" s="1"/>
  <c r="AA636" i="3"/>
  <c r="AB636" i="3" s="1"/>
  <c r="AA442" i="3"/>
  <c r="AB442" i="3" s="1"/>
  <c r="AA415" i="3"/>
  <c r="AB415" i="3" s="1"/>
  <c r="AA64" i="3"/>
  <c r="AB64" i="3" s="1"/>
  <c r="AB640" i="3" l="1"/>
  <c r="AC664" i="3"/>
  <c r="AC651" i="3"/>
  <c r="AC661" i="3"/>
  <c r="AC669" i="3"/>
  <c r="AC650" i="3"/>
  <c r="AC658" i="3"/>
  <c r="AC657" i="3"/>
  <c r="AC652" i="3"/>
  <c r="AC645" i="3"/>
  <c r="AC662" i="3"/>
  <c r="AC666" i="3"/>
  <c r="AB642" i="3"/>
  <c r="AD635" i="3" l="1"/>
  <c r="AE635" i="3" s="1"/>
  <c r="AD441" i="3"/>
  <c r="AE441" i="3" s="1"/>
  <c r="AD560" i="3"/>
  <c r="AE560" i="3" s="1"/>
  <c r="AD63" i="3"/>
  <c r="AE63" i="3" s="1"/>
  <c r="AD636" i="3"/>
  <c r="AE636" i="3" s="1"/>
  <c r="AD573" i="3"/>
  <c r="AE573" i="3" s="1"/>
  <c r="AD561" i="3"/>
  <c r="AE561" i="3" s="1"/>
  <c r="AD442" i="3"/>
  <c r="AE442" i="3" s="1"/>
  <c r="AD415" i="3"/>
  <c r="AE415" i="3" s="1"/>
  <c r="AD64" i="3"/>
  <c r="AE64" i="3" s="1"/>
  <c r="AD633" i="3"/>
  <c r="AE633" i="3" s="1"/>
  <c r="AD558" i="3"/>
  <c r="AE558" i="3" s="1"/>
  <c r="AD549" i="3"/>
  <c r="AE549" i="3" s="1"/>
  <c r="AD571" i="3"/>
  <c r="AE571" i="3" s="1"/>
  <c r="AD439" i="3"/>
  <c r="AE439" i="3" s="1"/>
  <c r="AD61" i="3"/>
  <c r="AE61" i="3" s="1"/>
  <c r="AD578" i="3"/>
  <c r="AE578" i="3" s="1"/>
  <c r="AD604" i="3"/>
  <c r="AE604" i="3" s="1"/>
  <c r="AD596" i="3"/>
  <c r="AE596" i="3" s="1"/>
  <c r="AD625" i="3"/>
  <c r="AE625" i="3" s="1"/>
  <c r="AD584" i="3"/>
  <c r="AE584" i="3" s="1"/>
  <c r="AD518" i="3"/>
  <c r="AE518" i="3" s="1"/>
  <c r="AD486" i="3"/>
  <c r="AE486" i="3" s="1"/>
  <c r="AD466" i="3"/>
  <c r="AE466" i="3" s="1"/>
  <c r="AD457" i="3"/>
  <c r="AE457" i="3" s="1"/>
  <c r="AD401" i="3"/>
  <c r="AE401" i="3" s="1"/>
  <c r="AD353" i="3"/>
  <c r="AE353" i="3" s="1"/>
  <c r="AD345" i="3"/>
  <c r="AE345" i="3" s="1"/>
  <c r="AD333" i="3"/>
  <c r="AE333" i="3" s="1"/>
  <c r="AD616" i="3"/>
  <c r="AE616" i="3" s="1"/>
  <c r="AD615" i="3"/>
  <c r="AE615" i="3" s="1"/>
  <c r="AD446" i="3"/>
  <c r="AE446" i="3" s="1"/>
  <c r="AD374" i="3"/>
  <c r="AE374" i="3" s="1"/>
  <c r="AD366" i="3"/>
  <c r="AE366" i="3" s="1"/>
  <c r="AD531" i="3"/>
  <c r="AE531" i="3" s="1"/>
  <c r="AD487" i="3"/>
  <c r="AE487" i="3" s="1"/>
  <c r="AD352" i="3"/>
  <c r="AE352" i="3" s="1"/>
  <c r="AD192" i="3"/>
  <c r="AE192" i="3" s="1"/>
  <c r="AD395" i="3"/>
  <c r="AE395" i="3" s="1"/>
  <c r="AD323" i="3"/>
  <c r="AE323" i="3" s="1"/>
  <c r="AD322" i="3"/>
  <c r="AE322" i="3" s="1"/>
  <c r="AD281" i="3"/>
  <c r="AE281" i="3" s="1"/>
  <c r="AD241" i="3"/>
  <c r="AE241" i="3" s="1"/>
  <c r="AD250" i="3"/>
  <c r="AE250" i="3" s="1"/>
  <c r="AD191" i="3"/>
  <c r="AE191" i="3" s="1"/>
  <c r="AD161" i="3"/>
  <c r="AE161" i="3" s="1"/>
  <c r="AD147" i="3"/>
  <c r="AE147" i="3" s="1"/>
  <c r="AD115" i="3"/>
  <c r="AE115" i="3" s="1"/>
  <c r="AD111" i="3"/>
  <c r="AE111" i="3" s="1"/>
  <c r="AD186" i="3"/>
  <c r="AE186" i="3" s="1"/>
  <c r="AD128" i="3"/>
  <c r="AE128" i="3" s="1"/>
  <c r="AD68" i="3"/>
  <c r="AE68" i="3" s="1"/>
  <c r="AD20" i="3"/>
  <c r="AE20" i="3" s="1"/>
  <c r="AD4" i="3"/>
  <c r="AE4" i="3" s="1"/>
  <c r="AD33" i="3"/>
  <c r="AE33" i="3" s="1"/>
  <c r="AD150" i="3"/>
  <c r="AE150" i="3" s="1"/>
  <c r="AD134" i="3"/>
  <c r="AE134" i="3" s="1"/>
  <c r="AD46" i="3"/>
  <c r="AE46" i="3" s="1"/>
  <c r="AD171" i="3"/>
  <c r="AE171" i="3" s="1"/>
  <c r="AD157" i="3"/>
  <c r="AE157" i="3" s="1"/>
  <c r="AD133" i="3"/>
  <c r="AE133" i="3" s="1"/>
  <c r="AD97" i="3"/>
  <c r="AE97" i="3" s="1"/>
  <c r="AD93" i="3"/>
  <c r="AE93" i="3" s="1"/>
  <c r="AD81" i="3"/>
  <c r="AE81" i="3" s="1"/>
  <c r="AD77" i="3"/>
  <c r="AE77" i="3" s="1"/>
  <c r="AD53" i="3"/>
  <c r="AE53" i="3" s="1"/>
  <c r="AD182" i="3"/>
  <c r="AE182" i="3" s="1"/>
  <c r="AC671" i="3"/>
  <c r="AD544" i="3"/>
  <c r="AE544" i="3" s="1"/>
  <c r="AD490" i="3"/>
  <c r="AE490" i="3" s="1"/>
  <c r="AD461" i="3"/>
  <c r="AE461" i="3" s="1"/>
  <c r="AD409" i="3"/>
  <c r="AE409" i="3" s="1"/>
  <c r="AD627" i="3"/>
  <c r="AE627" i="3" s="1"/>
  <c r="AD382" i="3"/>
  <c r="AE382" i="3" s="1"/>
  <c r="AD551" i="3"/>
  <c r="AE551" i="3" s="1"/>
  <c r="AD424" i="3"/>
  <c r="AE424" i="3" s="1"/>
  <c r="AD368" i="3"/>
  <c r="AE368" i="3" s="1"/>
  <c r="AD525" i="3"/>
  <c r="AE525" i="3" s="1"/>
  <c r="AD432" i="3"/>
  <c r="AE432" i="3" s="1"/>
  <c r="AD376" i="3"/>
  <c r="AE376" i="3" s="1"/>
  <c r="AD473" i="3"/>
  <c r="AE473" i="3" s="1"/>
  <c r="AD460" i="3"/>
  <c r="AE460" i="3" s="1"/>
  <c r="AD403" i="3"/>
  <c r="AE403" i="3" s="1"/>
  <c r="AD419" i="3"/>
  <c r="AE419" i="3" s="1"/>
  <c r="AD326" i="3"/>
  <c r="AE326" i="3" s="1"/>
  <c r="AD56" i="3"/>
  <c r="AE56" i="3" s="1"/>
  <c r="AD48" i="3"/>
  <c r="AE48" i="3" s="1"/>
  <c r="AD40" i="3"/>
  <c r="AE40" i="3" s="1"/>
  <c r="AD5" i="3"/>
  <c r="AE5" i="3" s="1"/>
  <c r="AD563" i="3"/>
  <c r="AE563" i="3" s="1"/>
  <c r="AD637" i="3"/>
  <c r="AE637" i="3" s="1"/>
  <c r="AD444" i="3"/>
  <c r="AE444" i="3" s="1"/>
  <c r="AD630" i="3"/>
  <c r="AE630" i="3" s="1"/>
  <c r="AD494" i="3"/>
  <c r="AE494" i="3" s="1"/>
  <c r="AD555" i="3"/>
  <c r="AE555" i="3" s="1"/>
  <c r="AD484" i="3"/>
  <c r="AE484" i="3" s="1"/>
  <c r="AD468" i="3"/>
  <c r="AE468" i="3" s="1"/>
  <c r="AD453" i="3"/>
  <c r="AE453" i="3" s="1"/>
  <c r="AD429" i="3"/>
  <c r="AE429" i="3" s="1"/>
  <c r="AD413" i="3"/>
  <c r="AE413" i="3" s="1"/>
  <c r="AD393" i="3"/>
  <c r="AE393" i="3" s="1"/>
  <c r="AD357" i="3"/>
  <c r="AE357" i="3" s="1"/>
  <c r="AD349" i="3"/>
  <c r="AE349" i="3" s="1"/>
  <c r="AD341" i="3"/>
  <c r="AE341" i="3" s="1"/>
  <c r="AD493" i="3"/>
  <c r="AE493" i="3" s="1"/>
  <c r="AD454" i="3"/>
  <c r="AE454" i="3" s="1"/>
  <c r="AD426" i="3"/>
  <c r="AE426" i="3" s="1"/>
  <c r="AD422" i="3"/>
  <c r="AE422" i="3" s="1"/>
  <c r="AD406" i="3"/>
  <c r="AE406" i="3" s="1"/>
  <c r="AD386" i="3"/>
  <c r="AE386" i="3" s="1"/>
  <c r="AD599" i="3"/>
  <c r="AE599" i="3" s="1"/>
  <c r="AD479" i="3"/>
  <c r="AE479" i="3" s="1"/>
  <c r="AD428" i="3"/>
  <c r="AE428" i="3" s="1"/>
  <c r="AD371" i="3"/>
  <c r="AE371" i="3" s="1"/>
  <c r="AD312" i="3"/>
  <c r="AE312" i="3" s="1"/>
  <c r="AD264" i="3"/>
  <c r="AE264" i="3" s="1"/>
  <c r="AD228" i="3"/>
  <c r="AE228" i="3" s="1"/>
  <c r="AD220" i="3"/>
  <c r="AE220" i="3" s="1"/>
  <c r="AD208" i="3"/>
  <c r="AE208" i="3" s="1"/>
  <c r="AD180" i="3"/>
  <c r="AE180" i="3" s="1"/>
  <c r="AD436" i="3"/>
  <c r="AE436" i="3" s="1"/>
  <c r="AD435" i="3"/>
  <c r="AE435" i="3" s="1"/>
  <c r="AD399" i="3"/>
  <c r="AE399" i="3" s="1"/>
  <c r="AD379" i="3"/>
  <c r="AE379" i="3" s="1"/>
  <c r="AD331" i="3"/>
  <c r="AE331" i="3" s="1"/>
  <c r="AD330" i="3"/>
  <c r="AE330" i="3" s="1"/>
  <c r="AD306" i="3"/>
  <c r="AE306" i="3" s="1"/>
  <c r="AD298" i="3"/>
  <c r="AE298" i="3" s="1"/>
  <c r="AD291" i="3"/>
  <c r="AE291" i="3" s="1"/>
  <c r="AD290" i="3"/>
  <c r="AE290" i="3" s="1"/>
  <c r="AD277" i="3"/>
  <c r="AE277" i="3" s="1"/>
  <c r="AD261" i="3"/>
  <c r="AE261" i="3" s="1"/>
  <c r="AD201" i="3"/>
  <c r="AE201" i="3" s="1"/>
  <c r="AD463" i="3"/>
  <c r="AE463" i="3" s="1"/>
  <c r="AD258" i="3"/>
  <c r="AE258" i="3" s="1"/>
  <c r="AD254" i="3"/>
  <c r="AE254" i="3" s="1"/>
  <c r="AD246" i="3"/>
  <c r="AE246" i="3" s="1"/>
  <c r="AD175" i="3"/>
  <c r="AE175" i="3" s="1"/>
  <c r="AD159" i="3"/>
  <c r="AE159" i="3" s="1"/>
  <c r="AD143" i="3"/>
  <c r="AE143" i="3" s="1"/>
  <c r="AD103" i="3"/>
  <c r="AE103" i="3" s="1"/>
  <c r="AD95" i="3"/>
  <c r="AE95" i="3" s="1"/>
  <c r="AD79" i="3"/>
  <c r="AE79" i="3" s="1"/>
  <c r="AD59" i="3"/>
  <c r="AE59" i="3" s="1"/>
  <c r="AD51" i="3"/>
  <c r="AE51" i="3" s="1"/>
  <c r="AD43" i="3"/>
  <c r="AE43" i="3" s="1"/>
  <c r="AD27" i="3"/>
  <c r="AE27" i="3" s="1"/>
  <c r="AD303" i="3"/>
  <c r="AE303" i="3" s="1"/>
  <c r="AD112" i="3"/>
  <c r="AE112" i="3" s="1"/>
  <c r="AD108" i="3"/>
  <c r="AE108" i="3" s="1"/>
  <c r="AD100" i="3"/>
  <c r="AE100" i="3" s="1"/>
  <c r="AD37" i="3"/>
  <c r="AE37" i="3" s="1"/>
  <c r="AD17" i="3"/>
  <c r="AE17" i="3" s="1"/>
  <c r="AD154" i="3"/>
  <c r="AE154" i="3" s="1"/>
  <c r="AD142" i="3"/>
  <c r="AE142" i="3" s="1"/>
  <c r="AD118" i="3"/>
  <c r="AE118" i="3" s="1"/>
  <c r="AD90" i="3"/>
  <c r="AE90" i="3" s="1"/>
  <c r="AD74" i="3"/>
  <c r="AE74" i="3" s="1"/>
  <c r="AD363" i="3"/>
  <c r="AE363" i="3" s="1"/>
  <c r="AD202" i="3"/>
  <c r="AE202" i="3" s="1"/>
  <c r="AD189" i="3"/>
  <c r="AE189" i="3" s="1"/>
  <c r="AD165" i="3"/>
  <c r="AE165" i="3" s="1"/>
  <c r="AD89" i="3"/>
  <c r="AE89" i="3" s="1"/>
  <c r="AD9" i="3"/>
  <c r="AE9" i="3" s="1"/>
  <c r="AD203" i="3"/>
  <c r="AE203" i="3" s="1"/>
  <c r="AD130" i="3"/>
  <c r="AE130" i="3" s="1"/>
  <c r="AD26" i="3"/>
  <c r="AE26" i="3" s="1"/>
  <c r="AD618" i="3"/>
  <c r="AE618" i="3" s="1"/>
  <c r="AD580" i="3"/>
  <c r="AE580" i="3" s="1"/>
  <c r="AD568" i="3"/>
  <c r="AE568" i="3" s="1"/>
  <c r="AD552" i="3"/>
  <c r="AE552" i="3" s="1"/>
  <c r="AD548" i="3"/>
  <c r="AE548" i="3" s="1"/>
  <c r="AD510" i="3"/>
  <c r="AE510" i="3" s="1"/>
  <c r="AD482" i="3"/>
  <c r="AE482" i="3" s="1"/>
  <c r="AD478" i="3"/>
  <c r="AE478" i="3" s="1"/>
  <c r="AD528" i="3"/>
  <c r="AE528" i="3" s="1"/>
  <c r="AD520" i="3"/>
  <c r="AE520" i="3" s="1"/>
  <c r="AD500" i="3"/>
  <c r="AE500" i="3" s="1"/>
  <c r="AD467" i="3"/>
  <c r="AE467" i="3" s="1"/>
  <c r="AD449" i="3"/>
  <c r="AE449" i="3" s="1"/>
  <c r="AD433" i="3"/>
  <c r="AE433" i="3" s="1"/>
  <c r="AD397" i="3"/>
  <c r="AE397" i="3" s="1"/>
  <c r="AD377" i="3"/>
  <c r="AE377" i="3" s="1"/>
  <c r="AD369" i="3"/>
  <c r="AE369" i="3" s="1"/>
  <c r="AD361" i="3"/>
  <c r="AE361" i="3" s="1"/>
  <c r="AD410" i="3"/>
  <c r="AE410" i="3" s="1"/>
  <c r="AD504" i="3"/>
  <c r="AE504" i="3" s="1"/>
  <c r="AD252" i="3"/>
  <c r="AE252" i="3" s="1"/>
  <c r="AD244" i="3"/>
  <c r="AE244" i="3" s="1"/>
  <c r="AD184" i="3"/>
  <c r="AE184" i="3" s="1"/>
  <c r="AD538" i="3"/>
  <c r="AE538" i="3" s="1"/>
  <c r="AD392" i="3"/>
  <c r="AE392" i="3" s="1"/>
  <c r="AD383" i="3"/>
  <c r="AE383" i="3" s="1"/>
  <c r="AD355" i="3"/>
  <c r="AE355" i="3" s="1"/>
  <c r="AD347" i="3"/>
  <c r="AE347" i="3" s="1"/>
  <c r="AD339" i="3"/>
  <c r="AE339" i="3" s="1"/>
  <c r="AD197" i="3"/>
  <c r="AE197" i="3" s="1"/>
  <c r="AD517" i="3"/>
  <c r="AE517" i="3" s="1"/>
  <c r="AD404" i="3"/>
  <c r="AE404" i="3" s="1"/>
  <c r="AD286" i="3"/>
  <c r="AE286" i="3" s="1"/>
  <c r="AD302" i="3"/>
  <c r="AE302" i="3" s="1"/>
  <c r="AD139" i="3"/>
  <c r="AE139" i="3" s="1"/>
  <c r="AD35" i="3"/>
  <c r="AE35" i="3" s="1"/>
  <c r="AD23" i="3"/>
  <c r="AE23" i="3" s="1"/>
  <c r="AD15" i="3"/>
  <c r="AE15" i="3" s="1"/>
  <c r="AD7" i="3"/>
  <c r="AE7" i="3" s="1"/>
  <c r="AD533" i="3"/>
  <c r="AE533" i="3" s="1"/>
  <c r="AD420" i="3"/>
  <c r="AE420" i="3" s="1"/>
  <c r="AD41" i="3"/>
  <c r="AE41" i="3" s="1"/>
  <c r="AD30" i="3"/>
  <c r="AE30" i="3" s="1"/>
  <c r="AD628" i="3"/>
  <c r="AE628" i="3" s="1"/>
  <c r="AD327" i="3"/>
  <c r="AE327" i="3" s="1"/>
  <c r="AD198" i="3"/>
  <c r="AE198" i="3" s="1"/>
  <c r="AD153" i="3"/>
  <c r="AE153" i="3" s="1"/>
  <c r="AD85" i="3"/>
  <c r="AE85" i="3" s="1"/>
  <c r="AD57" i="3"/>
  <c r="AE57" i="3" s="1"/>
  <c r="AD49" i="3"/>
  <c r="AE49" i="3" s="1"/>
  <c r="AD582" i="3"/>
  <c r="AE582" i="3" s="1"/>
  <c r="AD570" i="3"/>
  <c r="AE570" i="3" s="1"/>
  <c r="AD588" i="3"/>
  <c r="AE588" i="3" s="1"/>
  <c r="AD556" i="3"/>
  <c r="AE556" i="3" s="1"/>
  <c r="AD631" i="3"/>
  <c r="AE631" i="3" s="1"/>
  <c r="AD592" i="3"/>
  <c r="AE592" i="3" s="1"/>
  <c r="AD541" i="3"/>
  <c r="AE541" i="3" s="1"/>
  <c r="AD534" i="3"/>
  <c r="AE534" i="3" s="1"/>
  <c r="AD522" i="3"/>
  <c r="AE522" i="3" s="1"/>
  <c r="AD545" i="3"/>
  <c r="AE545" i="3" s="1"/>
  <c r="AD475" i="3"/>
  <c r="AE475" i="3" s="1"/>
  <c r="AD437" i="3"/>
  <c r="AE437" i="3" s="1"/>
  <c r="AD607" i="3"/>
  <c r="AE607" i="3" s="1"/>
  <c r="AD529" i="3"/>
  <c r="AE529" i="3" s="1"/>
  <c r="AD501" i="3"/>
  <c r="AE501" i="3" s="1"/>
  <c r="AD485" i="3"/>
  <c r="AE485" i="3" s="1"/>
  <c r="AD469" i="3"/>
  <c r="AE469" i="3" s="1"/>
  <c r="AD430" i="3"/>
  <c r="AE430" i="3" s="1"/>
  <c r="AD414" i="3"/>
  <c r="AE414" i="3" s="1"/>
  <c r="AD394" i="3"/>
  <c r="AE394" i="3" s="1"/>
  <c r="AD390" i="3"/>
  <c r="AE390" i="3" s="1"/>
  <c r="AD358" i="3"/>
  <c r="AE358" i="3" s="1"/>
  <c r="AD496" i="3"/>
  <c r="AE496" i="3" s="1"/>
  <c r="AD495" i="3"/>
  <c r="AE495" i="3" s="1"/>
  <c r="AD480" i="3"/>
  <c r="AE480" i="3" s="1"/>
  <c r="AD513" i="3"/>
  <c r="AE513" i="3" s="1"/>
  <c r="AD372" i="3"/>
  <c r="AE372" i="3" s="1"/>
  <c r="AD240" i="3"/>
  <c r="AE240" i="3" s="1"/>
  <c r="AD204" i="3"/>
  <c r="AE204" i="3" s="1"/>
  <c r="AD176" i="3"/>
  <c r="AE176" i="3" s="1"/>
  <c r="AD455" i="3"/>
  <c r="AE455" i="3" s="1"/>
  <c r="AD400" i="3"/>
  <c r="AE400" i="3" s="1"/>
  <c r="AD387" i="3"/>
  <c r="AE387" i="3" s="1"/>
  <c r="AD380" i="3"/>
  <c r="AE380" i="3" s="1"/>
  <c r="AD314" i="3"/>
  <c r="AE314" i="3" s="1"/>
  <c r="AD257" i="3"/>
  <c r="AE257" i="3" s="1"/>
  <c r="AD237" i="3"/>
  <c r="AE237" i="3" s="1"/>
  <c r="AD233" i="3"/>
  <c r="AE233" i="3" s="1"/>
  <c r="AD229" i="3"/>
  <c r="AE229" i="3" s="1"/>
  <c r="AD221" i="3"/>
  <c r="AE221" i="3" s="1"/>
  <c r="AD209" i="3"/>
  <c r="AE209" i="3" s="1"/>
  <c r="AD205" i="3"/>
  <c r="AE205" i="3" s="1"/>
  <c r="AD464" i="3"/>
  <c r="AE464" i="3" s="1"/>
  <c r="AD407" i="3"/>
  <c r="AE407" i="3" s="1"/>
  <c r="AD332" i="3"/>
  <c r="AE332" i="3" s="1"/>
  <c r="AD292" i="3"/>
  <c r="AE292" i="3" s="1"/>
  <c r="AD274" i="3"/>
  <c r="AE274" i="3" s="1"/>
  <c r="AD270" i="3"/>
  <c r="AE270" i="3" s="1"/>
  <c r="AD266" i="3"/>
  <c r="AE266" i="3" s="1"/>
  <c r="AD262" i="3"/>
  <c r="AE262" i="3" s="1"/>
  <c r="AD423" i="3"/>
  <c r="AE423" i="3" s="1"/>
  <c r="AD185" i="3"/>
  <c r="AE185" i="3" s="1"/>
  <c r="AD155" i="3"/>
  <c r="AE155" i="3" s="1"/>
  <c r="AD127" i="3"/>
  <c r="AE127" i="3" s="1"/>
  <c r="AD123" i="3"/>
  <c r="AE123" i="3" s="1"/>
  <c r="AD119" i="3"/>
  <c r="AE119" i="3" s="1"/>
  <c r="AD91" i="3"/>
  <c r="AE91" i="3" s="1"/>
  <c r="AD75" i="3"/>
  <c r="AE75" i="3" s="1"/>
  <c r="AD31" i="3"/>
  <c r="AE31" i="3" s="1"/>
  <c r="AD350" i="3"/>
  <c r="AE350" i="3" s="1"/>
  <c r="AD342" i="3"/>
  <c r="AE342" i="3" s="1"/>
  <c r="AD259" i="3"/>
  <c r="AE259" i="3" s="1"/>
  <c r="AD170" i="3"/>
  <c r="AE170" i="3" s="1"/>
  <c r="AD160" i="3"/>
  <c r="AE160" i="3" s="1"/>
  <c r="AD144" i="3"/>
  <c r="AE144" i="3" s="1"/>
  <c r="AD104" i="3"/>
  <c r="AE104" i="3" s="1"/>
  <c r="AD96" i="3"/>
  <c r="AE96" i="3" s="1"/>
  <c r="AD80" i="3"/>
  <c r="AE80" i="3" s="1"/>
  <c r="AD76" i="3"/>
  <c r="AE76" i="3" s="1"/>
  <c r="AD60" i="3"/>
  <c r="AE60" i="3" s="1"/>
  <c r="AD52" i="3"/>
  <c r="AE52" i="3" s="1"/>
  <c r="AD44" i="3"/>
  <c r="AE44" i="3" s="1"/>
  <c r="AD28" i="3"/>
  <c r="AE28" i="3" s="1"/>
  <c r="AD166" i="3"/>
  <c r="AE166" i="3" s="1"/>
  <c r="AD110" i="3"/>
  <c r="AE110" i="3" s="1"/>
  <c r="AD10" i="3"/>
  <c r="AE10" i="3" s="1"/>
  <c r="AD210" i="3"/>
  <c r="AE210" i="3" s="1"/>
  <c r="AD149" i="3"/>
  <c r="AE149" i="3" s="1"/>
  <c r="AD145" i="3"/>
  <c r="AE145" i="3" s="1"/>
  <c r="AD125" i="3"/>
  <c r="AE125" i="3" s="1"/>
  <c r="AD109" i="3"/>
  <c r="AE109" i="3" s="1"/>
  <c r="AD105" i="3"/>
  <c r="AE105" i="3" s="1"/>
  <c r="AD101" i="3"/>
  <c r="AE101" i="3" s="1"/>
  <c r="AD364" i="3"/>
  <c r="AE364" i="3" s="1"/>
  <c r="AD271" i="3"/>
  <c r="AE271" i="3" s="1"/>
  <c r="AD255" i="3"/>
  <c r="AE255" i="3" s="1"/>
  <c r="AD247" i="3"/>
  <c r="AE247" i="3" s="1"/>
  <c r="AD215" i="3"/>
  <c r="AE215" i="3" s="1"/>
  <c r="AD190" i="3"/>
  <c r="AE190" i="3" s="1"/>
  <c r="AD38" i="3"/>
  <c r="AE38" i="3" s="1"/>
  <c r="AD18" i="3"/>
  <c r="AE18" i="3" s="1"/>
  <c r="AE642" i="3" l="1"/>
</calcChain>
</file>

<file path=xl/sharedStrings.xml><?xml version="1.0" encoding="utf-8"?>
<sst xmlns="http://schemas.openxmlformats.org/spreadsheetml/2006/main" count="16504" uniqueCount="1224">
  <si>
    <t>UNSTA - Pres 2025 Aprobado JG ABR-26 (Esc.3) - Distribución x Centros de Costos - Carga Sist. Pres. 260505</t>
  </si>
  <si>
    <t>PERIODO PRESUP 2026: MAR-DIC</t>
  </si>
  <si>
    <t>CLASE</t>
  </si>
  <si>
    <t>DESCRUB</t>
  </si>
  <si>
    <t>4- SUB-UNIDAD</t>
  </si>
  <si>
    <t xml:space="preserve"> mar-26</t>
  </si>
  <si>
    <t xml:space="preserve"> abr-26</t>
  </si>
  <si>
    <t xml:space="preserve"> may-26</t>
  </si>
  <si>
    <t xml:space="preserve"> jun-26</t>
  </si>
  <si>
    <t xml:space="preserve"> jul-26</t>
  </si>
  <si>
    <t xml:space="preserve"> ago-26</t>
  </si>
  <si>
    <t xml:space="preserve"> sep-26</t>
  </si>
  <si>
    <t xml:space="preserve"> oct-26</t>
  </si>
  <si>
    <t xml:space="preserve"> nov-26</t>
  </si>
  <si>
    <t xml:space="preserve"> dic-26</t>
  </si>
  <si>
    <t xml:space="preserve"> PRES. TOTAL</t>
  </si>
  <si>
    <t>SEDE CENTRAL</t>
  </si>
  <si>
    <t>EGRESOS</t>
  </si>
  <si>
    <t>GTOS FUNCIONAM.</t>
  </si>
  <si>
    <t>Administracion General</t>
  </si>
  <si>
    <t>Serv. Plan. Econ. Fciero.</t>
  </si>
  <si>
    <t>Capacitación</t>
  </si>
  <si>
    <t>Honorarios Profesionales</t>
  </si>
  <si>
    <t>Serv. Econon. Fcieros.</t>
  </si>
  <si>
    <t>Diversos</t>
  </si>
  <si>
    <t>Mantenimiento de Edificios y bienes de Uso</t>
  </si>
  <si>
    <t>Otros Servicios</t>
  </si>
  <si>
    <t>Representación</t>
  </si>
  <si>
    <t>Útiles de Oficina e Impresiones</t>
  </si>
  <si>
    <t xml:space="preserve"> -</t>
  </si>
  <si>
    <t>Gastos Financieros e Impuestos</t>
  </si>
  <si>
    <t>SECR. ACADÉMICA</t>
  </si>
  <si>
    <t>Serv. Bibliotecas SC</t>
  </si>
  <si>
    <t>Serv. Certif. y Títulos</t>
  </si>
  <si>
    <t>Movilidad y Cons Pers Cond. y Adm.</t>
  </si>
  <si>
    <t>Serv. Ed. A Distancia</t>
  </si>
  <si>
    <t>GTOS PERSONAL</t>
  </si>
  <si>
    <t>Honorarios Docentes</t>
  </si>
  <si>
    <t>Promoción y Propaganda</t>
  </si>
  <si>
    <t>Serv. Econ. Financ.</t>
  </si>
  <si>
    <t>Serv. Desarrollo de Fondos</t>
  </si>
  <si>
    <t>Serv. de Tecn. de la Inform.</t>
  </si>
  <si>
    <t>Serv. de Infraest. y Manten.</t>
  </si>
  <si>
    <t>Serv. de Limpieza e Insumos</t>
  </si>
  <si>
    <t>Serv. Contab. y Liquid. Haberes</t>
  </si>
  <si>
    <t>CAMPUS YERBA BUENA</t>
  </si>
  <si>
    <t>Campus Yerba Buena</t>
  </si>
  <si>
    <t>Serv. de Energía Electr, Agua y Gas</t>
  </si>
  <si>
    <t>Serv. de Vigilancia y Seguridad</t>
  </si>
  <si>
    <t>Alquileres</t>
  </si>
  <si>
    <t>VICE-RECT. FORM.</t>
  </si>
  <si>
    <t>Depto.Form.Hum.Crist.</t>
  </si>
  <si>
    <t>FAC. CS JURID. POLIT. SOC.</t>
  </si>
  <si>
    <t>Abog. c/Proc.Interm.</t>
  </si>
  <si>
    <t>Decanato Fac. Der. Cs. Pol.</t>
  </si>
  <si>
    <t>Movilidad y Cons Pers Docente</t>
  </si>
  <si>
    <t>Lic.Comunicación Social</t>
  </si>
  <si>
    <t>Lic.Cs. Políticas</t>
  </si>
  <si>
    <t>Locución Nacional</t>
  </si>
  <si>
    <t>Procuración</t>
  </si>
  <si>
    <t>Maestría en Derecho Empresario</t>
  </si>
  <si>
    <t>Licenciatura en Medios Audiovisuales</t>
  </si>
  <si>
    <t>DIPLOMATURA MEDIACION y METODOS RES CONFLICTOS2021</t>
  </si>
  <si>
    <t>Licenciatura en Medio audiovisuales (Ed a distancia)</t>
  </si>
  <si>
    <t>Licenciatura en Ciencias Politicas (Ed a distancia)</t>
  </si>
  <si>
    <t>Lic. en Seguridad y Protección Ciudadana</t>
  </si>
  <si>
    <t>TEC. UNIV. EN PROTEC. Y SEG. CIUDADANA</t>
  </si>
  <si>
    <t>LIC LITERATURA INF Y JUV</t>
  </si>
  <si>
    <t>LIC. Comunicación Digital AED</t>
  </si>
  <si>
    <t>ESP COMUNICACIÓN DE GOBIERNO Y MKT</t>
  </si>
  <si>
    <t>ESP COMUNICACIÓN ESTRATÉGICA</t>
  </si>
  <si>
    <t>Lic. Ciencias Sociales</t>
  </si>
  <si>
    <t>ESP  MéTODOS DE RESOLUCIóN DE CONFLICTOS 2025</t>
  </si>
  <si>
    <t>Especialización en Comunicación</t>
  </si>
  <si>
    <t>FAC. CS. SALUD</t>
  </si>
  <si>
    <t>Decanato Fac. Cs. Salud</t>
  </si>
  <si>
    <t>Lic.Diagnóstico por Imágenes</t>
  </si>
  <si>
    <t>Lic.Nutrición</t>
  </si>
  <si>
    <t>Lic.Psicología</t>
  </si>
  <si>
    <t>Lic.Terapia Ocupacional</t>
  </si>
  <si>
    <t>Licenciatura en Gastronomía</t>
  </si>
  <si>
    <t>Medicina</t>
  </si>
  <si>
    <t>Lic. Trabajo Social</t>
  </si>
  <si>
    <t>Esp. En Nutricion</t>
  </si>
  <si>
    <t>LIC KINESIOLOGIA Y FISIATRIA</t>
  </si>
  <si>
    <t>Lic. Instrumentación quirúrgica</t>
  </si>
  <si>
    <t>Proyecto Educacion fisica</t>
  </si>
  <si>
    <t>FAC. ECON. Y ADM.</t>
  </si>
  <si>
    <t>Cont.Púb.+CP/LAE 1-2-3</t>
  </si>
  <si>
    <t>Decanato Fac. Ec.y Adm.</t>
  </si>
  <si>
    <t>Lic.Comercializ.+Tecnic.</t>
  </si>
  <si>
    <t>Lic.Turismo</t>
  </si>
  <si>
    <t>MBA</t>
  </si>
  <si>
    <t>ESP. EN DIRECCIÓN ESTRATÉGICA DE RECURSOS HUMANOS</t>
  </si>
  <si>
    <t>Lic. En Marketing</t>
  </si>
  <si>
    <t>Especialización en Marketing</t>
  </si>
  <si>
    <t>FAC. HUMANIDADES</t>
  </si>
  <si>
    <t>Centro de Idiomas</t>
  </si>
  <si>
    <t>Decanato Fac. Hum.</t>
  </si>
  <si>
    <t>Inst. Invest. Históricas</t>
  </si>
  <si>
    <t>Lic.Filosofía</t>
  </si>
  <si>
    <t>Depto. De Educación</t>
  </si>
  <si>
    <t>Ingles Orientacion Histórica</t>
  </si>
  <si>
    <t>Licenciatura en Historia (Ed a distancia)</t>
  </si>
  <si>
    <t>Lic. en Gestión Educativa (Ed a distancia)</t>
  </si>
  <si>
    <t>Licenciatura en Ciencias Sociales (UH3)</t>
  </si>
  <si>
    <t>LIC. EN CIENCIAS DEL COMPORTAMIENTO</t>
  </si>
  <si>
    <t>TEC. GESTION EDUCATIVA</t>
  </si>
  <si>
    <t>LIC. GESTION DE ORG</t>
  </si>
  <si>
    <t>TEC. EN GESTION UNIVERSITARIA</t>
  </si>
  <si>
    <t>Lic. Gestión Cultural</t>
  </si>
  <si>
    <t>HERRAMIENTA PED Y DIG</t>
  </si>
  <si>
    <t>FAC. INGENIERIA</t>
  </si>
  <si>
    <t>Decanato Fac. Ingen.</t>
  </si>
  <si>
    <t>Ingeniería Industrial</t>
  </si>
  <si>
    <t>Lic. Logística y Transporte</t>
  </si>
  <si>
    <t>Lic.Diseño Gráfico</t>
  </si>
  <si>
    <t>Lic.Higiene y Seguridad Lab.</t>
  </si>
  <si>
    <t>Tec. en Diseño Multimedial</t>
  </si>
  <si>
    <t>Tecnicatura Universitaria en Desarrollo y Calidad de Software</t>
  </si>
  <si>
    <t>Ingeniería ambiental</t>
  </si>
  <si>
    <t>Lic. Diseño de interiores</t>
  </si>
  <si>
    <t>Técnico en Desarrollo de Software (Ed a distancia)</t>
  </si>
  <si>
    <t>INGENIERIA EN INTELIGENCIA ARTIFICIAL</t>
  </si>
  <si>
    <t>Tec. Universitaria en automatización y robótica</t>
  </si>
  <si>
    <t>RECTOR</t>
  </si>
  <si>
    <t>Rector</t>
  </si>
  <si>
    <t>Secretaría Académica</t>
  </si>
  <si>
    <t>Serv. Académicos</t>
  </si>
  <si>
    <t>Serv. Alumnos</t>
  </si>
  <si>
    <t>JUNTA DE GOBIERNO</t>
  </si>
  <si>
    <t>Servicios de Aseguramiento de la Calidad</t>
  </si>
  <si>
    <t>Serv. Editorial</t>
  </si>
  <si>
    <t>Servicios de Extensión y Vinc. Con el medio</t>
  </si>
  <si>
    <t>SECR. GENERAL</t>
  </si>
  <si>
    <t>Secretaría General</t>
  </si>
  <si>
    <t>Serv. Desarrollo de Personas</t>
  </si>
  <si>
    <t>Serv. Protoc. Cerem. Gtion Espac. Comunes</t>
  </si>
  <si>
    <t>Servicios de Comunicaciones y Estrategias On line</t>
  </si>
  <si>
    <t>Serv. de Telefonía y Comunic.</t>
  </si>
  <si>
    <t>Servicios Legales y Técnicos</t>
  </si>
  <si>
    <t>SEDE CENTRAL-CC</t>
  </si>
  <si>
    <t>Auditoría y Consultoría Externa</t>
  </si>
  <si>
    <t>Junta de Gobierno</t>
  </si>
  <si>
    <t>Sede Central-CC</t>
  </si>
  <si>
    <t>Serv. de Seguros</t>
  </si>
  <si>
    <t>Subsidios y Contribuciones</t>
  </si>
  <si>
    <t>Dir. Pastoral</t>
  </si>
  <si>
    <t>Vice-Rect. de Formación</t>
  </si>
  <si>
    <t>Serv. Auditoria Operativa</t>
  </si>
  <si>
    <t>Compras</t>
  </si>
  <si>
    <t>Servicios de Investigación y Desarrollo</t>
  </si>
  <si>
    <t>CUC</t>
  </si>
  <si>
    <t>CIU</t>
  </si>
  <si>
    <t>Serv. Contable</t>
  </si>
  <si>
    <t>Promocion Institucional</t>
  </si>
  <si>
    <t>Direccion Academica</t>
  </si>
  <si>
    <t>Secretaria Academica</t>
  </si>
  <si>
    <t>Pastoral</t>
  </si>
  <si>
    <t>CUC-SEDE CUC</t>
  </si>
  <si>
    <t>CUC-Campus</t>
  </si>
  <si>
    <t>CUC-CUC</t>
  </si>
  <si>
    <t>CUC-Laboratorios Anexo II</t>
  </si>
  <si>
    <t>Taller de Fotografia con celular</t>
  </si>
  <si>
    <t>CUC-FAC. CS. SALUD</t>
  </si>
  <si>
    <t>CUC-Nutrición</t>
  </si>
  <si>
    <t>CUC-Psicología</t>
  </si>
  <si>
    <t>CUC-Terapia Ocupacional</t>
  </si>
  <si>
    <t>JUEGO Y MENTE</t>
  </si>
  <si>
    <t>CUC-FAC. CS JURID. POLIT. SOC.</t>
  </si>
  <si>
    <t>CUC-Abogacía</t>
  </si>
  <si>
    <t>CUC-Notariado</t>
  </si>
  <si>
    <t>Diplomatura en Act. Y Perf. En proc. Trib</t>
  </si>
  <si>
    <t>CUC-FAC. ECON. Y ADM.</t>
  </si>
  <si>
    <t>CUC-Contador PUBLICO</t>
  </si>
  <si>
    <t>CUC-Lic. RR.HH.</t>
  </si>
  <si>
    <t>TRABAJO EN EQUIPO</t>
  </si>
  <si>
    <t>EXCEL PARA PRINCIPIANTES</t>
  </si>
  <si>
    <t>ORATORIA Y COMUNICACION INTEGRAL</t>
  </si>
  <si>
    <t>CUC-FAC. INGENIERIA</t>
  </si>
  <si>
    <t>CUC-Lic. Higiene y Seg.</t>
  </si>
  <si>
    <t>CUC- Ingeniería Informática</t>
  </si>
  <si>
    <t>CUC-Ingeniería Industrial</t>
  </si>
  <si>
    <t>Transformacion Digital en la Gest Inst del Aula</t>
  </si>
  <si>
    <t>INNOVAR LA CLASE MAGISTRAL</t>
  </si>
  <si>
    <t>CUC-FAC DE HUMANIDADES</t>
  </si>
  <si>
    <t>CUC-Centro de idiomas</t>
  </si>
  <si>
    <t>C.E.O.P. (Bs As)</t>
  </si>
  <si>
    <t>Personal Administrativo</t>
  </si>
  <si>
    <t>Personal de Direccion</t>
  </si>
  <si>
    <t>Instituto Beato Angelico</t>
  </si>
  <si>
    <t>Personal de Maestranza</t>
  </si>
  <si>
    <t>Personal Docente</t>
  </si>
  <si>
    <t>Notariado</t>
  </si>
  <si>
    <t>ESP. EN DIAGNOSTICO POR IMÁGENES</t>
  </si>
  <si>
    <t>Lic.Adm.Empresas</t>
  </si>
  <si>
    <t>Lic.RRHH</t>
  </si>
  <si>
    <t>Filosofía</t>
  </si>
  <si>
    <t>Profesorado en Derecho</t>
  </si>
  <si>
    <t>Profesorado en Ciencias Políticas</t>
  </si>
  <si>
    <t>Licenciatura en Historia</t>
  </si>
  <si>
    <t>Profesorado en Cs. Economicas</t>
  </si>
  <si>
    <t>Profesorado Universitario en Educación</t>
  </si>
  <si>
    <t>Ingeniería Informática</t>
  </si>
  <si>
    <t>Lic.Gest. Ambiental</t>
  </si>
  <si>
    <t>Bioingeniería</t>
  </si>
  <si>
    <t>Arquitectura</t>
  </si>
  <si>
    <t>OPPDom. (Convento)</t>
  </si>
  <si>
    <t>Serv. Biblioteca y Editorial</t>
  </si>
  <si>
    <t>Serv. Orientacion Vocacional Educat.</t>
  </si>
  <si>
    <t>Serv. de Extens. y Vinc. con el medio</t>
  </si>
  <si>
    <t>CUC-Lic. Adm. Emp.</t>
  </si>
  <si>
    <t>CUC-Licenciatura en comercialización</t>
  </si>
  <si>
    <t>CUC-Lic. En Marketing</t>
  </si>
  <si>
    <t>CUC- Técnico Universitario Desarrollo y Calidad de Software</t>
  </si>
  <si>
    <t>Profesorado Universitario en Cs. Económicas</t>
  </si>
  <si>
    <t>Profesorado Universitario de Ingles</t>
  </si>
  <si>
    <t>Profesorado Universitario en Derecho</t>
  </si>
  <si>
    <t>Profesorado en Ciencias Políticas - CUC</t>
  </si>
  <si>
    <t>Profesorado Universitario *</t>
  </si>
  <si>
    <t>Licenciatura en Ciencias Sociales</t>
  </si>
  <si>
    <t>Insumos de Laboratorio</t>
  </si>
  <si>
    <t>Fondo Fijo</t>
  </si>
  <si>
    <t>Serv. Custodia de Archivos</t>
  </si>
  <si>
    <t>Suscripciones Digitales</t>
  </si>
  <si>
    <t>Tributos y tasas Municipales</t>
  </si>
  <si>
    <t>Tributos y tasas Nacionales</t>
  </si>
  <si>
    <t>Tributos y tasas Provinciales</t>
  </si>
  <si>
    <t>INVERSIONES</t>
  </si>
  <si>
    <t>Equipos Informáticos</t>
  </si>
  <si>
    <t>Muebles y Utiles e Instalaciones</t>
  </si>
  <si>
    <t>Equipos audio y tv</t>
  </si>
  <si>
    <t>Equipamiento</t>
  </si>
  <si>
    <t>Bibliografía</t>
  </si>
  <si>
    <t>Ampliac.y mejoras edificios</t>
  </si>
  <si>
    <t>Campus Yerba Buena-Ampliación Edificio 2</t>
  </si>
  <si>
    <t>Construcción de Edificios</t>
  </si>
  <si>
    <t>Bibliotecas Digitales</t>
  </si>
  <si>
    <t>CEOP</t>
  </si>
  <si>
    <t>INGRESOS</t>
  </si>
  <si>
    <t>INGR. CUOTAS GRADO</t>
  </si>
  <si>
    <t>FILOSOFIA</t>
  </si>
  <si>
    <t>TEOLOGIA</t>
  </si>
  <si>
    <t>CIENCIAS DE LA SALUD</t>
  </si>
  <si>
    <t>EA - ESP EN NUTRICIÓN CON O EN OBES</t>
  </si>
  <si>
    <t>EA - ESPECIALIZACIÓN EN DIAGNÓSTICO POR IMÁGENES</t>
  </si>
  <si>
    <t>LIC. EN DIAG. POR  IMAGENES</t>
  </si>
  <si>
    <t>LIC. EN GASTRONOMIA</t>
  </si>
  <si>
    <t>LIC.EN PSICOLOGIA</t>
  </si>
  <si>
    <t>LIC.TERA.OCUPACIONAL</t>
  </si>
  <si>
    <t>LICENCIATURA EN KINESIOLOGÍA Y FISIATRÍA</t>
  </si>
  <si>
    <t>MEDICINA</t>
  </si>
  <si>
    <t>CS. JUR. POL. Y SOC.</t>
  </si>
  <si>
    <t>ABOGACIA</t>
  </si>
  <si>
    <t>EA - LICENCIATURA EN CIENCIAS POLITICAS</t>
  </si>
  <si>
    <t>EA - LICENCIATURA EN COMUNICACIÓN DIGITAL -CCC-</t>
  </si>
  <si>
    <t>EA - LICENCIATURA EN MEDIOS AUDIOVISUALES- CCC-</t>
  </si>
  <si>
    <t>EA - LICENCIATURA EN TEORÍA Y GEST. DE LAS ORGANIZ.</t>
  </si>
  <si>
    <t>EA- ESP. EN COMUNICACIÓN DE GOBIERNO Y MARKETING POLÍTICO</t>
  </si>
  <si>
    <t>EA- ESP. EN COMUNICACIÓN ESTRATÉGICA DIGITAL</t>
  </si>
  <si>
    <t>EA- LIC. EN CIENCIAS SOCIALES</t>
  </si>
  <si>
    <t>EA- LIC. EN SEGURIDAD Y PROTECCIÓN CIUDADANA- CCC</t>
  </si>
  <si>
    <t>ESP. EN MÉT. ALT. DE RES.DE C.</t>
  </si>
  <si>
    <t>LIC. EN CIENCIAS SOCIALES</t>
  </si>
  <si>
    <t>LIC. EN TEORIA Y GEST. DE LAS ORGANIZACIONES</t>
  </si>
  <si>
    <t>LIC.COMUNIC. SOCIAL</t>
  </si>
  <si>
    <t>LOCUCION NACIONAL</t>
  </si>
  <si>
    <t>NOTARIADO</t>
  </si>
  <si>
    <t>PROCURACION</t>
  </si>
  <si>
    <t>ECONOMÍA Y ADMINISTRACIÓN</t>
  </si>
  <si>
    <t>CONTADOR PUBLICO</t>
  </si>
  <si>
    <t>EA - LICENCIATURA EN MARKETING</t>
  </si>
  <si>
    <t>ESP EN MARKETING ESTRATÉGICO Y NEG DIGITALES (Distancia)</t>
  </si>
  <si>
    <t>LIC.EN ADM.DE EMPR.</t>
  </si>
  <si>
    <t>LIC.EN RECURSOS HUMANOS</t>
  </si>
  <si>
    <t>LICENCIATURA EN MANAGEMENT TURÍSTICO</t>
  </si>
  <si>
    <t>LICENCIATURA EN MARKETING</t>
  </si>
  <si>
    <t>EA - LIC. EN HISTORIA -CCC-</t>
  </si>
  <si>
    <t>EA - LICENCIATURA EN CS. DEL COMPORTAMIENTO</t>
  </si>
  <si>
    <t>EA - LICENCIATURA EN GESTIÓN CULTURAL</t>
  </si>
  <si>
    <t>EA - LICENCIATURA EN GESTIÓN EDUCATIVA –CCC-</t>
  </si>
  <si>
    <t>LIC. EN INGLÉS - CCC</t>
  </si>
  <si>
    <t>PROF.  UNIV. EN CS. ECONÓMICAS - CCC-</t>
  </si>
  <si>
    <t>PROF. CS. POLITICAS - COMP. CURRIC.</t>
  </si>
  <si>
    <t>PROF. DERECHO - COMP. CURRIC.</t>
  </si>
  <si>
    <t>PROF. UNIVERSIT. EN EDUCACIÓN - CCC -</t>
  </si>
  <si>
    <t>PROF. UNIVERSITARIO DE INGLES</t>
  </si>
  <si>
    <t>INGENIERÍA</t>
  </si>
  <si>
    <t>BIOINGENIERÍA</t>
  </si>
  <si>
    <t>EA - LIC.EN LOG. Y GEST. DEL TRANSPORTE</t>
  </si>
  <si>
    <t>EA - LICENCIATURA EN HIG. Y SEGURIDAD LAB.</t>
  </si>
  <si>
    <t>EA - TEC. UNIV. EN DES. Y CAL DE SOFTWARE</t>
  </si>
  <si>
    <t>ING. EN INFORMATICA</t>
  </si>
  <si>
    <t>ING.AMBIENTAL</t>
  </si>
  <si>
    <t>ING.INDUSTRIAL</t>
  </si>
  <si>
    <t>INGENIERÍA EN INTELIGENCIA ARTIFICIAL</t>
  </si>
  <si>
    <t>LIC. EN DISEÑO DE INTERIORES</t>
  </si>
  <si>
    <t>LIC. EN DISEÑO GRÁFICO</t>
  </si>
  <si>
    <t>LIC. EN DISEÑO MULTIMEDIAL</t>
  </si>
  <si>
    <t>LIC.HIGIENE Y SEG.LABORAL</t>
  </si>
  <si>
    <t>TEC. UNIV. EN AUTOMAT. Y ROBÓTICA</t>
  </si>
  <si>
    <t>TEC. UNIV. EN DES. Y CALIDAD DE SOFTWARE</t>
  </si>
  <si>
    <t>TECNICATURA EN HIGIENE Y SEGURIDAD EN EL TRABAJO</t>
  </si>
  <si>
    <t>LICENCIATURA EN NUTRICION</t>
  </si>
  <si>
    <t>LIC. EN CIENCIAS POLITICAS</t>
  </si>
  <si>
    <t>LIC.COMUNIC. DIGITAL</t>
  </si>
  <si>
    <t>BONIFICACIONES</t>
  </si>
  <si>
    <t>REDUCC. BECAS</t>
  </si>
  <si>
    <t>REDUCC. SEDE</t>
  </si>
  <si>
    <t>INGR. MATRICULAS GRADO</t>
  </si>
  <si>
    <t>CURSOS EXTENSION</t>
  </si>
  <si>
    <t>INGRESOS VARIOS</t>
  </si>
  <si>
    <t>INGR. FINANCIEROS</t>
  </si>
  <si>
    <t>Servicios de Extensión y de Relaciones Inst.</t>
  </si>
  <si>
    <t>Talleres</t>
  </si>
  <si>
    <t>Sede</t>
  </si>
  <si>
    <t>Tipo</t>
  </si>
  <si>
    <t>Descripción tipo</t>
  </si>
  <si>
    <t>Unidad</t>
  </si>
  <si>
    <t>Sub unidad</t>
  </si>
  <si>
    <t>Categoria</t>
  </si>
  <si>
    <t>Concepto</t>
  </si>
  <si>
    <t>marzo</t>
  </si>
  <si>
    <t xml:space="preserve"> 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</si>
  <si>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</si>
  <si>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</si>
  <si>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</si>
  <si>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</si>
  <si>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</si>
  <si>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</si>
  <si>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</si>
  <si>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</si>
  <si>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CENTRAL</t>
  </si>
  <si>
    <t>Administrativo</t>
  </si>
  <si>
    <t>Académico</t>
  </si>
  <si>
    <t>CONCEPCIÓN</t>
  </si>
  <si>
    <t>SEDE CUC</t>
  </si>
  <si>
    <t>Campus</t>
  </si>
  <si>
    <t>Laboratorios Anexo II</t>
  </si>
  <si>
    <t>Nutrición</t>
  </si>
  <si>
    <t>Psicología</t>
  </si>
  <si>
    <t>Terapia Ocupacional</t>
  </si>
  <si>
    <t>Abogacía</t>
  </si>
  <si>
    <t>Contador PUBLICO</t>
  </si>
  <si>
    <t>Lic. RR.HH.</t>
  </si>
  <si>
    <t>Lic. Higiene y Seg.</t>
  </si>
  <si>
    <t xml:space="preserve"> Ingeniería Informática</t>
  </si>
  <si>
    <t>FAC DE HUMANIDADES</t>
  </si>
  <si>
    <t>Centro de idiomas</t>
  </si>
  <si>
    <t>BUENOS AIRES</t>
  </si>
  <si>
    <t>Lic. Adm. Emp.</t>
  </si>
  <si>
    <t>Licenciatura en comercialización</t>
  </si>
  <si>
    <t xml:space="preserve"> Técnico Universitario Desarrollo y Calidad de Software</t>
  </si>
  <si>
    <t>1- UNIDAD</t>
  </si>
  <si>
    <t>DESCTIPO</t>
  </si>
  <si>
    <t>Tipo de gasto</t>
  </si>
  <si>
    <t>CTA.SCTA</t>
  </si>
  <si>
    <t>%</t>
  </si>
  <si>
    <t>Prorrateo</t>
  </si>
  <si>
    <t>523102032.20002</t>
  </si>
  <si>
    <t>523102032.20012</t>
  </si>
  <si>
    <t>523102030.20007</t>
  </si>
  <si>
    <t>523102030.20016</t>
  </si>
  <si>
    <t>523102030.20026</t>
  </si>
  <si>
    <t>523102030.20020</t>
  </si>
  <si>
    <t>523102030.20018</t>
  </si>
  <si>
    <t>523102030.20011</t>
  </si>
  <si>
    <t>523113004.20007</t>
  </si>
  <si>
    <t>523113004.20026</t>
  </si>
  <si>
    <t>523113033.20007</t>
  </si>
  <si>
    <t>523113033.20016</t>
  </si>
  <si>
    <t>523113033.20026</t>
  </si>
  <si>
    <t>523113033.20020</t>
  </si>
  <si>
    <t>523113033.20018</t>
  </si>
  <si>
    <t>523113033.20027</t>
  </si>
  <si>
    <t>523113065.20002</t>
  </si>
  <si>
    <t>523113065.20007</t>
  </si>
  <si>
    <t>523113065.20012</t>
  </si>
  <si>
    <t>523113065.20016</t>
  </si>
  <si>
    <t>523113065.20026</t>
  </si>
  <si>
    <t>523113065.20019</t>
  </si>
  <si>
    <t>523113065.20020</t>
  </si>
  <si>
    <t>522113065.20020</t>
  </si>
  <si>
    <t>523113065.20018</t>
  </si>
  <si>
    <t>523102034.20007</t>
  </si>
  <si>
    <t>523102034.20016</t>
  </si>
  <si>
    <t>523102034.20018</t>
  </si>
  <si>
    <t>523102066.20007</t>
  </si>
  <si>
    <t>523102023.20002</t>
  </si>
  <si>
    <t>523102023.20007</t>
  </si>
  <si>
    <t>523102023.20016</t>
  </si>
  <si>
    <t>523102023.20026</t>
  </si>
  <si>
    <t>523102023.20020</t>
  </si>
  <si>
    <t>523102023.20018</t>
  </si>
  <si>
    <t>523102044.20007</t>
  </si>
  <si>
    <t>523102044.20012</t>
  </si>
  <si>
    <t>523102044.20016</t>
  </si>
  <si>
    <t>523102044.20026</t>
  </si>
  <si>
    <t>523102044.20020</t>
  </si>
  <si>
    <t>523102044.20018</t>
  </si>
  <si>
    <t>523102044.20008</t>
  </si>
  <si>
    <t>523102027.20002</t>
  </si>
  <si>
    <t>523102027.20007</t>
  </si>
  <si>
    <t>523102027.20012</t>
  </si>
  <si>
    <t>523102027.20016</t>
  </si>
  <si>
    <t>523102027.20026</t>
  </si>
  <si>
    <t>523102027.20020</t>
  </si>
  <si>
    <t>523102027.20018</t>
  </si>
  <si>
    <t>523119098.20002</t>
  </si>
  <si>
    <t>523119098.20007</t>
  </si>
  <si>
    <t>522119098.20007</t>
  </si>
  <si>
    <t>523119098.20012</t>
  </si>
  <si>
    <t>523119098.20016</t>
  </si>
  <si>
    <t>523119098.20026</t>
  </si>
  <si>
    <t>523119098.20020</t>
  </si>
  <si>
    <t>523119098.20018</t>
  </si>
  <si>
    <t>523119098.20015</t>
  </si>
  <si>
    <t>523119098.20008</t>
  </si>
  <si>
    <t>523119098.20022</t>
  </si>
  <si>
    <t>523119098.20025</t>
  </si>
  <si>
    <t>523119098.20023</t>
  </si>
  <si>
    <t>522119098.20027</t>
  </si>
  <si>
    <t>523119098.20001</t>
  </si>
  <si>
    <t>523111006.20002</t>
  </si>
  <si>
    <t>523111006.20007</t>
  </si>
  <si>
    <t>521111006.20007</t>
  </si>
  <si>
    <t>521111006.20012</t>
  </si>
  <si>
    <t>521111006.20026</t>
  </si>
  <si>
    <t>523111006.20026</t>
  </si>
  <si>
    <t>523111006.20020</t>
  </si>
  <si>
    <t>523111006.20018</t>
  </si>
  <si>
    <t>521111006.20018</t>
  </si>
  <si>
    <t>521106001.20002</t>
  </si>
  <si>
    <t>521106001.20012</t>
  </si>
  <si>
    <t>521106001.20020</t>
  </si>
  <si>
    <t>521106001.20018</t>
  </si>
  <si>
    <t>523106016.20002</t>
  </si>
  <si>
    <t>523106016.20007</t>
  </si>
  <si>
    <t>522106016.20012</t>
  </si>
  <si>
    <t>523106016.20012</t>
  </si>
  <si>
    <t>523106016.20016</t>
  </si>
  <si>
    <t>522106016.20026</t>
  </si>
  <si>
    <t>523106016.20026</t>
  </si>
  <si>
    <t>523106016.20019</t>
  </si>
  <si>
    <t>523106016.20020</t>
  </si>
  <si>
    <t>524106016.20020</t>
  </si>
  <si>
    <t>523106016.20018</t>
  </si>
  <si>
    <t>523106016.20028</t>
  </si>
  <si>
    <t>521106050.20002</t>
  </si>
  <si>
    <t>521106050.20012</t>
  </si>
  <si>
    <t>521106050.20020</t>
  </si>
  <si>
    <t>521106050.20018</t>
  </si>
  <si>
    <t>521106097.20002</t>
  </si>
  <si>
    <t>521106097.20012</t>
  </si>
  <si>
    <t>521106097.20026</t>
  </si>
  <si>
    <t>521106097.20020</t>
  </si>
  <si>
    <t>521106097.20018</t>
  </si>
  <si>
    <t>521106055.20012</t>
  </si>
  <si>
    <t>521106055.20020</t>
  </si>
  <si>
    <t>521106055.20018</t>
  </si>
  <si>
    <t>521106085.20018</t>
  </si>
  <si>
    <t>521106098.20012</t>
  </si>
  <si>
    <t>521106098.20026</t>
  </si>
  <si>
    <t>521106098.20020</t>
  </si>
  <si>
    <t>FORMACIÓN EN MEDIACIÓN 2016</t>
  </si>
  <si>
    <t>522306006.20018</t>
  </si>
  <si>
    <t>521106090.20018</t>
  </si>
  <si>
    <t>522306107.20002</t>
  </si>
  <si>
    <t>522306107.20020</t>
  </si>
  <si>
    <t>521106003.20012</t>
  </si>
  <si>
    <t>521106004.20012</t>
  </si>
  <si>
    <t>521106006.20002</t>
  </si>
  <si>
    <t>521106006.20012</t>
  </si>
  <si>
    <t>521106006.20026</t>
  </si>
  <si>
    <t>521106006.20020</t>
  </si>
  <si>
    <t>521106008.20018</t>
  </si>
  <si>
    <t>521106100.20012</t>
  </si>
  <si>
    <t>521106005.20012</t>
  </si>
  <si>
    <t>Lic. en Seguridad y Protección Ciudadana (Ed a distancia)</t>
  </si>
  <si>
    <t>521106007.20012</t>
  </si>
  <si>
    <t>521106007.20018</t>
  </si>
  <si>
    <t>522306215.20012</t>
  </si>
  <si>
    <t>522306215.20018</t>
  </si>
  <si>
    <t>522306216.20012</t>
  </si>
  <si>
    <t>522306216.20018</t>
  </si>
  <si>
    <t>521106101.20002</t>
  </si>
  <si>
    <t>521106101.20012</t>
  </si>
  <si>
    <t>521106101.20020</t>
  </si>
  <si>
    <t>522306214.20012</t>
  </si>
  <si>
    <t>522106216.20012</t>
  </si>
  <si>
    <t>523105016.20002</t>
  </si>
  <si>
    <t>524105016.20002</t>
  </si>
  <si>
    <t>523105016.20007</t>
  </si>
  <si>
    <t>524105016.20007</t>
  </si>
  <si>
    <t>523105016.20012</t>
  </si>
  <si>
    <t>524105016.20012</t>
  </si>
  <si>
    <t>523105016.20016</t>
  </si>
  <si>
    <t>523105016.20026</t>
  </si>
  <si>
    <t>524105016.20026</t>
  </si>
  <si>
    <t>523105016.20020</t>
  </si>
  <si>
    <t>524105016.20020</t>
  </si>
  <si>
    <t>523105016.20018</t>
  </si>
  <si>
    <t>524105016.20018</t>
  </si>
  <si>
    <t>523105016.20027</t>
  </si>
  <si>
    <t>521105056.20002</t>
  </si>
  <si>
    <t>521105056.20012</t>
  </si>
  <si>
    <t>521105056.20018</t>
  </si>
  <si>
    <t>521105054.20002</t>
  </si>
  <si>
    <t>521105054.20007</t>
  </si>
  <si>
    <t>521105054.20012</t>
  </si>
  <si>
    <t>521105054.20016</t>
  </si>
  <si>
    <t>521105054.20020</t>
  </si>
  <si>
    <t>521105054.20018</t>
  </si>
  <si>
    <t>521105054.20028</t>
  </si>
  <si>
    <t>521105053.20002</t>
  </si>
  <si>
    <t>521105053.20012</t>
  </si>
  <si>
    <t>521105053.20020</t>
  </si>
  <si>
    <t>521105053.20018</t>
  </si>
  <si>
    <t>521105035.20002</t>
  </si>
  <si>
    <t>521105035.20007</t>
  </si>
  <si>
    <t>521105055.20007</t>
  </si>
  <si>
    <t>521105035.20012</t>
  </si>
  <si>
    <t>521105035.20020</t>
  </si>
  <si>
    <t>521105035.20018</t>
  </si>
  <si>
    <t>521105057.20007</t>
  </si>
  <si>
    <t>521105057.20012</t>
  </si>
  <si>
    <t>521105057.20026</t>
  </si>
  <si>
    <t>521105057.20018</t>
  </si>
  <si>
    <t>521105058.20002</t>
  </si>
  <si>
    <t>521105058.20007</t>
  </si>
  <si>
    <t>521105058.20012</t>
  </si>
  <si>
    <t>521105058.20026</t>
  </si>
  <si>
    <t>521105058.20020</t>
  </si>
  <si>
    <t>521105058.20018</t>
  </si>
  <si>
    <t>521105059.20007</t>
  </si>
  <si>
    <t>521105059.20012</t>
  </si>
  <si>
    <t>521105059.20026</t>
  </si>
  <si>
    <t>521105059.20020</t>
  </si>
  <si>
    <t xml:space="preserve">Esp. En Nutricion </t>
  </si>
  <si>
    <t>522305112.20012</t>
  </si>
  <si>
    <t>521105060.20002</t>
  </si>
  <si>
    <t>521105060.20012</t>
  </si>
  <si>
    <t>521105060.20016</t>
  </si>
  <si>
    <t>521105060.20018</t>
  </si>
  <si>
    <t>521106061.20002</t>
  </si>
  <si>
    <t>521106064.20012</t>
  </si>
  <si>
    <t>521107008.20012</t>
  </si>
  <si>
    <t>521107008.20020</t>
  </si>
  <si>
    <t>521107008.20018</t>
  </si>
  <si>
    <t>523107016.20002</t>
  </si>
  <si>
    <t>524107016.20002</t>
  </si>
  <si>
    <t>523107016.20007</t>
  </si>
  <si>
    <t>523107016.20012</t>
  </si>
  <si>
    <t>524107016.20012</t>
  </si>
  <si>
    <t>522107016.20012</t>
  </si>
  <si>
    <t>523107016.20016</t>
  </si>
  <si>
    <t>524107016.20016</t>
  </si>
  <si>
    <t>523107016.20026</t>
  </si>
  <si>
    <t>522107016.20019</t>
  </si>
  <si>
    <t>523107016.20020</t>
  </si>
  <si>
    <t>524107016.20020</t>
  </si>
  <si>
    <t>522107016.20020</t>
  </si>
  <si>
    <t>523107016.20018</t>
  </si>
  <si>
    <t>524107016.20018</t>
  </si>
  <si>
    <t>522107016.20028</t>
  </si>
  <si>
    <t>521107048.20012</t>
  </si>
  <si>
    <t>521107048.20020</t>
  </si>
  <si>
    <t>521107048.20018</t>
  </si>
  <si>
    <t>521107049.20018</t>
  </si>
  <si>
    <t>521107047.20012</t>
  </si>
  <si>
    <t>521107047.20026</t>
  </si>
  <si>
    <t>521107054.20012</t>
  </si>
  <si>
    <t>521107054.20026</t>
  </si>
  <si>
    <t>521107054.20018</t>
  </si>
  <si>
    <t>521107075.20007</t>
  </si>
  <si>
    <t>521107075.20012</t>
  </si>
  <si>
    <t>521107075.20026</t>
  </si>
  <si>
    <t>521107075.20019</t>
  </si>
  <si>
    <t>521107075.20020</t>
  </si>
  <si>
    <t>521107075.20018</t>
  </si>
  <si>
    <t>521107075.20027</t>
  </si>
  <si>
    <t>521107075.20028</t>
  </si>
  <si>
    <t>522307106.20007</t>
  </si>
  <si>
    <t>522307106.20012</t>
  </si>
  <si>
    <t>522307106.20026</t>
  </si>
  <si>
    <t>522307106.20019</t>
  </si>
  <si>
    <t>522307106.20020</t>
  </si>
  <si>
    <t>522307106.20018</t>
  </si>
  <si>
    <t>522307106.20028</t>
  </si>
  <si>
    <t>521107050.20007</t>
  </si>
  <si>
    <t>521107050.20012</t>
  </si>
  <si>
    <t>521107050.20018</t>
  </si>
  <si>
    <t>522307158.20012</t>
  </si>
  <si>
    <t>522307158.20026</t>
  </si>
  <si>
    <t>522307158.20019</t>
  </si>
  <si>
    <t>522307158.20018</t>
  </si>
  <si>
    <t>522307158.20028</t>
  </si>
  <si>
    <t>521108040.20012</t>
  </si>
  <si>
    <t>521108040.20018</t>
  </si>
  <si>
    <t>523108016.20002</t>
  </si>
  <si>
    <t>523108016.20007</t>
  </si>
  <si>
    <t>523108016.20012</t>
  </si>
  <si>
    <t>523108016.20016</t>
  </si>
  <si>
    <t>523108016.20026</t>
  </si>
  <si>
    <t>523108016.20020</t>
  </si>
  <si>
    <t>523108016.20018</t>
  </si>
  <si>
    <t>523108016.20027</t>
  </si>
  <si>
    <t>523108016.20028</t>
  </si>
  <si>
    <t>524108012.20002</t>
  </si>
  <si>
    <t>524108012.20007</t>
  </si>
  <si>
    <t>524108012.20016</t>
  </si>
  <si>
    <t>524108012.20026</t>
  </si>
  <si>
    <t>524108012.20020</t>
  </si>
  <si>
    <t>524108012.20018</t>
  </si>
  <si>
    <t>524108012.20028</t>
  </si>
  <si>
    <t>521108097.20018</t>
  </si>
  <si>
    <t>521108005.20020</t>
  </si>
  <si>
    <t>521108005.20018</t>
  </si>
  <si>
    <t>521108001.20012</t>
  </si>
  <si>
    <t>521108001.20020</t>
  </si>
  <si>
    <t>521108001.20018</t>
  </si>
  <si>
    <t>521108002.20012</t>
  </si>
  <si>
    <t>521108002.20020</t>
  </si>
  <si>
    <t>Ingles Orientación Literaria</t>
  </si>
  <si>
    <t>521108003.20012</t>
  </si>
  <si>
    <t>521108003.20018</t>
  </si>
  <si>
    <t>521108008.20012</t>
  </si>
  <si>
    <t>521108099.20012</t>
  </si>
  <si>
    <t>521108009.20012</t>
  </si>
  <si>
    <t>521108009.20018</t>
  </si>
  <si>
    <t>521108100.20018</t>
  </si>
  <si>
    <t>521108016.20007</t>
  </si>
  <si>
    <t>521108016.20012</t>
  </si>
  <si>
    <t>521108016.20018</t>
  </si>
  <si>
    <t>521108101.20012</t>
  </si>
  <si>
    <t>521108102.20012</t>
  </si>
  <si>
    <t>521108102.20020</t>
  </si>
  <si>
    <t>521108104.20012</t>
  </si>
  <si>
    <t>521108103.20012</t>
  </si>
  <si>
    <t>522308177.20012</t>
  </si>
  <si>
    <t>523109016.20002</t>
  </si>
  <si>
    <t>523109016.20007</t>
  </si>
  <si>
    <t>524109016.20007</t>
  </si>
  <si>
    <t>523109016.20012</t>
  </si>
  <si>
    <t>522109016.20012</t>
  </si>
  <si>
    <t>523109016.20016</t>
  </si>
  <si>
    <t>523109016.20026</t>
  </si>
  <si>
    <t>524109016.20026</t>
  </si>
  <si>
    <t>523109016.20019</t>
  </si>
  <si>
    <t>522109016.20020</t>
  </si>
  <si>
    <t>523109016.20020</t>
  </si>
  <si>
    <t>523109016.20018</t>
  </si>
  <si>
    <t>523109016.20027</t>
  </si>
  <si>
    <t>523109016.20028</t>
  </si>
  <si>
    <t>521109009.20007</t>
  </si>
  <si>
    <t>521109009.20012</t>
  </si>
  <si>
    <t>521109010.20012</t>
  </si>
  <si>
    <t>521109010.20020</t>
  </si>
  <si>
    <t>521109091.20012</t>
  </si>
  <si>
    <t>521109052.20007</t>
  </si>
  <si>
    <t>521109052.20012</t>
  </si>
  <si>
    <t>521109052.20016</t>
  </si>
  <si>
    <t>521109052.20020</t>
  </si>
  <si>
    <t>521109011.20012</t>
  </si>
  <si>
    <t>521109070.20012</t>
  </si>
  <si>
    <t>521109070.20020</t>
  </si>
  <si>
    <t>521109007.20012</t>
  </si>
  <si>
    <t>521109019.20012</t>
  </si>
  <si>
    <t>521109019.20026</t>
  </si>
  <si>
    <t>521109019.20019</t>
  </si>
  <si>
    <t>521109003.20007</t>
  </si>
  <si>
    <t>521109003.20020</t>
  </si>
  <si>
    <t>521109071.20012</t>
  </si>
  <si>
    <t>521109071.20018</t>
  </si>
  <si>
    <t>521109008.20012</t>
  </si>
  <si>
    <t>521109112.20012</t>
  </si>
  <si>
    <t>521109112.20001</t>
  </si>
  <si>
    <t>521109113.20012</t>
  </si>
  <si>
    <t>521109113.20019</t>
  </si>
  <si>
    <t>521109113.20001</t>
  </si>
  <si>
    <t>D.  EN ALTA DIRECCIóN DE EQUIPOS DE TECNOL</t>
  </si>
  <si>
    <t>522309149.20026</t>
  </si>
  <si>
    <t>523112061.20002</t>
  </si>
  <si>
    <t>524112061.20002</t>
  </si>
  <si>
    <t>523112061.20007</t>
  </si>
  <si>
    <t>524112061.20007</t>
  </si>
  <si>
    <t>522112061.20012</t>
  </si>
  <si>
    <t>523112061.20016</t>
  </si>
  <si>
    <t>523112061.20026</t>
  </si>
  <si>
    <t>524112061.20026</t>
  </si>
  <si>
    <t>523112061.20020</t>
  </si>
  <si>
    <t>524112061.20020</t>
  </si>
  <si>
    <t>523112061.20018</t>
  </si>
  <si>
    <t>523113064.20002</t>
  </si>
  <si>
    <t>523113064.20007</t>
  </si>
  <si>
    <t>521113064.20007</t>
  </si>
  <si>
    <t>522113064.20007</t>
  </si>
  <si>
    <t>523113064.20012</t>
  </si>
  <si>
    <t>521113064.20012</t>
  </si>
  <si>
    <t>523113064.20016</t>
  </si>
  <si>
    <t>523113064.20026</t>
  </si>
  <si>
    <t>523113064.20020</t>
  </si>
  <si>
    <t>523113064.20018</t>
  </si>
  <si>
    <t>523113064.20027</t>
  </si>
  <si>
    <t>523113064.20028</t>
  </si>
  <si>
    <t>523113073.20002</t>
  </si>
  <si>
    <t>523113073.20007</t>
  </si>
  <si>
    <t>523113073.20016</t>
  </si>
  <si>
    <t>523113073.20026</t>
  </si>
  <si>
    <t>523113073.20020</t>
  </si>
  <si>
    <t>523113073.20018</t>
  </si>
  <si>
    <t>523113073.20027</t>
  </si>
  <si>
    <t>523113007.20002</t>
  </si>
  <si>
    <t>523113026.20002</t>
  </si>
  <si>
    <t>523113026.20007</t>
  </si>
  <si>
    <t>523113026.20016</t>
  </si>
  <si>
    <t>523113026.20026</t>
  </si>
  <si>
    <t>523113026.20020</t>
  </si>
  <si>
    <t>523113026.20018</t>
  </si>
  <si>
    <t>523113026.20027</t>
  </si>
  <si>
    <t>523113007.20007</t>
  </si>
  <si>
    <t>523113007.20016</t>
  </si>
  <si>
    <t>523113007.20026</t>
  </si>
  <si>
    <t>523113007.20020</t>
  </si>
  <si>
    <t>523113007.20018</t>
  </si>
  <si>
    <t>523113007.20027</t>
  </si>
  <si>
    <t>523113022.20002</t>
  </si>
  <si>
    <t>523113022.20007</t>
  </si>
  <si>
    <t>523113022.20012</t>
  </si>
  <si>
    <t>523113022.20016</t>
  </si>
  <si>
    <t>523113022.20026</t>
  </si>
  <si>
    <t>523113022.20020</t>
  </si>
  <si>
    <t>523113022.20018</t>
  </si>
  <si>
    <t>523113022.20023</t>
  </si>
  <si>
    <t>523113024.20002</t>
  </si>
  <si>
    <t>523113024.20007</t>
  </si>
  <si>
    <t>523113024.20012</t>
  </si>
  <si>
    <t>523113024.20016</t>
  </si>
  <si>
    <t>523113024.20026</t>
  </si>
  <si>
    <t>523113024.20020</t>
  </si>
  <si>
    <t>523113024.20018</t>
  </si>
  <si>
    <t>522113068.20007</t>
  </si>
  <si>
    <t>522113068.20012</t>
  </si>
  <si>
    <t>522113068.20016</t>
  </si>
  <si>
    <t>522113068.20026</t>
  </si>
  <si>
    <t>522113068.20019</t>
  </si>
  <si>
    <t>522113068.20020</t>
  </si>
  <si>
    <t>522113068.20018</t>
  </si>
  <si>
    <t>522113068.20027</t>
  </si>
  <si>
    <t>522113068.20028</t>
  </si>
  <si>
    <t>523115018.20018</t>
  </si>
  <si>
    <t>523115069.20007</t>
  </si>
  <si>
    <t>523115069.20016</t>
  </si>
  <si>
    <t>523115069.20020</t>
  </si>
  <si>
    <t>523115069.20018</t>
  </si>
  <si>
    <t>523115066.20002</t>
  </si>
  <si>
    <t>523115066.20007</t>
  </si>
  <si>
    <t>523115066.20016</t>
  </si>
  <si>
    <t>523115066.20026</t>
  </si>
  <si>
    <t>523115066.20020</t>
  </si>
  <si>
    <t>523115066.20018</t>
  </si>
  <si>
    <t>523115025.20002</t>
  </si>
  <si>
    <t>523115025.20007</t>
  </si>
  <si>
    <t>523115025.20012</t>
  </si>
  <si>
    <t>523115025.20016</t>
  </si>
  <si>
    <t>523115025.20026</t>
  </si>
  <si>
    <t>523115025.20020</t>
  </si>
  <si>
    <t>523115025.20018</t>
  </si>
  <si>
    <t>523115015.20007</t>
  </si>
  <si>
    <t>523115015.20012</t>
  </si>
  <si>
    <t>523115015.20016</t>
  </si>
  <si>
    <t>523115015.20026</t>
  </si>
  <si>
    <t>523115015.20019</t>
  </si>
  <si>
    <t>523115015.20020</t>
  </si>
  <si>
    <t>523115015.20018</t>
  </si>
  <si>
    <t>523115015.20025</t>
  </si>
  <si>
    <t>523115015.20027</t>
  </si>
  <si>
    <t>523115015.20001</t>
  </si>
  <si>
    <t>523115013.20007</t>
  </si>
  <si>
    <t>523115013.20012</t>
  </si>
  <si>
    <t>523115013.20016</t>
  </si>
  <si>
    <t>523115013.20026</t>
  </si>
  <si>
    <t>523115013.20020</t>
  </si>
  <si>
    <t>523115013.20018</t>
  </si>
  <si>
    <t>523102089.20020</t>
  </si>
  <si>
    <t>523102014.20007</t>
  </si>
  <si>
    <t>523102014.20020</t>
  </si>
  <si>
    <t>523102046.20007</t>
  </si>
  <si>
    <t>523102046.20020</t>
  </si>
  <si>
    <t>523101046.20020</t>
  </si>
  <si>
    <t>523102046.20018</t>
  </si>
  <si>
    <t>523102081.20007</t>
  </si>
  <si>
    <t>523102081.20012</t>
  </si>
  <si>
    <t>523102081.20016</t>
  </si>
  <si>
    <t>523102081.20026</t>
  </si>
  <si>
    <t>523102081.20020</t>
  </si>
  <si>
    <t>522102081.20020</t>
  </si>
  <si>
    <t>523102081.20018</t>
  </si>
  <si>
    <t>523102081.20011</t>
  </si>
  <si>
    <t>523102081.20015</t>
  </si>
  <si>
    <t>523102081.20008</t>
  </si>
  <si>
    <t>523102081.20022</t>
  </si>
  <si>
    <t>523102081.20025</t>
  </si>
  <si>
    <t>523102081.20023</t>
  </si>
  <si>
    <t>523102081.20024</t>
  </si>
  <si>
    <t>523102081.20001</t>
  </si>
  <si>
    <t>523118017.20002</t>
  </si>
  <si>
    <t>523118017.20007</t>
  </si>
  <si>
    <t>522118017.20007</t>
  </si>
  <si>
    <t>523118017.20016</t>
  </si>
  <si>
    <t>523118017.20026</t>
  </si>
  <si>
    <t>522118017.20026</t>
  </si>
  <si>
    <t>523118017.20019</t>
  </si>
  <si>
    <t>522118017.20020</t>
  </si>
  <si>
    <t>523118017.20020</t>
  </si>
  <si>
    <t>523118017.20018</t>
  </si>
  <si>
    <t>523118017.20027</t>
  </si>
  <si>
    <t>523118082.20002</t>
  </si>
  <si>
    <t>523118082.20007</t>
  </si>
  <si>
    <t>521118082.20007</t>
  </si>
  <si>
    <t>523118082.20012</t>
  </si>
  <si>
    <t>521118082.20012</t>
  </si>
  <si>
    <t>523118082.20026</t>
  </si>
  <si>
    <t>523118082.20020</t>
  </si>
  <si>
    <t>523118082.20018</t>
  </si>
  <si>
    <t>523118082.20028</t>
  </si>
  <si>
    <t>523102040.20002</t>
  </si>
  <si>
    <t>523102040.20016</t>
  </si>
  <si>
    <t>523102040.20020</t>
  </si>
  <si>
    <t>523102040.20018</t>
  </si>
  <si>
    <t>523102040.20027</t>
  </si>
  <si>
    <t>523101040.20027</t>
  </si>
  <si>
    <t>523101013.20007</t>
  </si>
  <si>
    <t>523101013.20012</t>
  </si>
  <si>
    <t>523101013.20026</t>
  </si>
  <si>
    <t>523101013.20018</t>
  </si>
  <si>
    <t>523101026.20007</t>
  </si>
  <si>
    <t>523102024.20007</t>
  </si>
  <si>
    <t>523102024.20016</t>
  </si>
  <si>
    <t>523102024.20020</t>
  </si>
  <si>
    <t>523102024.20018</t>
  </si>
  <si>
    <t>523102065.20007</t>
  </si>
  <si>
    <t>523102065.20016</t>
  </si>
  <si>
    <t>523102065.20026</t>
  </si>
  <si>
    <t>523102065.20020</t>
  </si>
  <si>
    <t>523102065.20018</t>
  </si>
  <si>
    <t>523113021.20002</t>
  </si>
  <si>
    <t>524113021.20002</t>
  </si>
  <si>
    <t>523113021.20007</t>
  </si>
  <si>
    <t>524113021.20007</t>
  </si>
  <si>
    <t>524113021.20012</t>
  </si>
  <si>
    <t>523113021.20026</t>
  </si>
  <si>
    <t>524113021.20026</t>
  </si>
  <si>
    <t>523113021.20020</t>
  </si>
  <si>
    <t>524113021.20020</t>
  </si>
  <si>
    <t>523113021.20018</t>
  </si>
  <si>
    <t>524113021.20018</t>
  </si>
  <si>
    <t>523113021.20027</t>
  </si>
  <si>
    <t>523113021.20028</t>
  </si>
  <si>
    <t>533101001.20007</t>
  </si>
  <si>
    <t>533101001.20016</t>
  </si>
  <si>
    <t>533101001.20018</t>
  </si>
  <si>
    <t>533101001.20027</t>
  </si>
  <si>
    <t>533101005.20007</t>
  </si>
  <si>
    <t>533101005.20016</t>
  </si>
  <si>
    <t>533101005.20027</t>
  </si>
  <si>
    <t>533101009.20007</t>
  </si>
  <si>
    <t>533101009.20019</t>
  </si>
  <si>
    <t>533101009.20027</t>
  </si>
  <si>
    <t>533101007.20007</t>
  </si>
  <si>
    <t>533101007.20016</t>
  </si>
  <si>
    <t>533101007.20026</t>
  </si>
  <si>
    <t>533101007.20019</t>
  </si>
  <si>
    <t>533101007.20018</t>
  </si>
  <si>
    <t>533101007.20027</t>
  </si>
  <si>
    <t>533101007.20001</t>
  </si>
  <si>
    <t>533101002.20007</t>
  </si>
  <si>
    <t>533101002.20016</t>
  </si>
  <si>
    <t>533101003.20002</t>
  </si>
  <si>
    <t>533101003.20007</t>
  </si>
  <si>
    <t>533101003.20016</t>
  </si>
  <si>
    <t>533101003.20026</t>
  </si>
  <si>
    <t>533101003.20018</t>
  </si>
  <si>
    <t>533101003.20027</t>
  </si>
  <si>
    <t>531101010.20007</t>
  </si>
  <si>
    <t>531101010.20012</t>
  </si>
  <si>
    <t>531101010.20027</t>
  </si>
  <si>
    <t>533101004.20007</t>
  </si>
  <si>
    <t>533101004.20016</t>
  </si>
  <si>
    <t>533101004.20018</t>
  </si>
  <si>
    <t>533101004.20008</t>
  </si>
  <si>
    <t>533101006.20002</t>
  </si>
  <si>
    <t>533101006.20007</t>
  </si>
  <si>
    <t>533101006.20016</t>
  </si>
  <si>
    <t>533101006.20018</t>
  </si>
  <si>
    <t>533101006.20027</t>
  </si>
  <si>
    <t>533101006.20028</t>
  </si>
  <si>
    <t>532101019.20007</t>
  </si>
  <si>
    <t>532101019.20016</t>
  </si>
  <si>
    <t>532101019.20026</t>
  </si>
  <si>
    <t>532101019.20019</t>
  </si>
  <si>
    <t>532101019.20018</t>
  </si>
  <si>
    <t>532101019.20027</t>
  </si>
  <si>
    <t>533101011.20007</t>
  </si>
  <si>
    <t>533101011.20012</t>
  </si>
  <si>
    <t>533101011.20018</t>
  </si>
  <si>
    <t>533101011.20027</t>
  </si>
  <si>
    <t>533102008.20007</t>
  </si>
  <si>
    <t>533102008.20016</t>
  </si>
  <si>
    <t>533102008.20015</t>
  </si>
  <si>
    <t>533102007.20007</t>
  </si>
  <si>
    <t>533102007.20012</t>
  </si>
  <si>
    <t>533102007.20016</t>
  </si>
  <si>
    <t>533102007.20026</t>
  </si>
  <si>
    <t>533102007.20019</t>
  </si>
  <si>
    <t>533102007.20020</t>
  </si>
  <si>
    <t>533102007.20018</t>
  </si>
  <si>
    <t>533102007.20011</t>
  </si>
  <si>
    <t>533102007.20015</t>
  </si>
  <si>
    <t>533102007.20008</t>
  </si>
  <si>
    <t>533102007.20022</t>
  </si>
  <si>
    <t>533102007.20025</t>
  </si>
  <si>
    <t>533102007.20023</t>
  </si>
  <si>
    <t>533102007.20024</t>
  </si>
  <si>
    <t>533102007.20027</t>
  </si>
  <si>
    <t>533102007.20001</t>
  </si>
  <si>
    <t>533102021.20007</t>
  </si>
  <si>
    <t>533102021.20012</t>
  </si>
  <si>
    <t>533102021.20016</t>
  </si>
  <si>
    <t>533102021.20026</t>
  </si>
  <si>
    <t>533102021.20018</t>
  </si>
  <si>
    <t>533102021.20015</t>
  </si>
  <si>
    <t>533102021.20008</t>
  </si>
  <si>
    <t>533102021.20025</t>
  </si>
  <si>
    <t>533102021.20023</t>
  </si>
  <si>
    <t>533102021.20027</t>
  </si>
  <si>
    <t>533102021.20001</t>
  </si>
  <si>
    <t>532409002.20012</t>
  </si>
  <si>
    <t>531107016.20002</t>
  </si>
  <si>
    <t>531107016.20007</t>
  </si>
  <si>
    <t>531107016.20016</t>
  </si>
  <si>
    <t>531107016.20026</t>
  </si>
  <si>
    <t>531107016.20018</t>
  </si>
  <si>
    <t>531107016.20027</t>
  </si>
  <si>
    <t>531107017.20002</t>
  </si>
  <si>
    <t>531107017.20007</t>
  </si>
  <si>
    <t>531107017.20012</t>
  </si>
  <si>
    <t>531107017.20026</t>
  </si>
  <si>
    <t>531107017.20018</t>
  </si>
  <si>
    <t>531107017.20027</t>
  </si>
  <si>
    <t>531107018.20007</t>
  </si>
  <si>
    <t>531107018.20012</t>
  </si>
  <si>
    <t>531107018.20018</t>
  </si>
  <si>
    <t>531107018.20027</t>
  </si>
  <si>
    <t>531107018.20028</t>
  </si>
  <si>
    <t>532407004.20012</t>
  </si>
  <si>
    <t>531104011.20002</t>
  </si>
  <si>
    <t>531104011.20007</t>
  </si>
  <si>
    <t>531104011.20012</t>
  </si>
  <si>
    <t>531104011.20020</t>
  </si>
  <si>
    <t>531104011.20027</t>
  </si>
  <si>
    <t>531104012.20012</t>
  </si>
  <si>
    <t>CUC-Lic en Cs Políticas</t>
  </si>
  <si>
    <t>531104026.20012</t>
  </si>
  <si>
    <t>532404001.20026</t>
  </si>
  <si>
    <t>531105013.20002</t>
  </si>
  <si>
    <t>531105013.20012</t>
  </si>
  <si>
    <t>531105013.20026</t>
  </si>
  <si>
    <t>531105013.20018</t>
  </si>
  <si>
    <t>531105013.20027</t>
  </si>
  <si>
    <t>531105015.20027</t>
  </si>
  <si>
    <t>532407001.20012</t>
  </si>
  <si>
    <t>LIDERAZGO TRANSFORMACIONAL</t>
  </si>
  <si>
    <t>532305001.20012</t>
  </si>
  <si>
    <t>532405003.20012</t>
  </si>
  <si>
    <t>532405004.20012</t>
  </si>
  <si>
    <t>531106014.20027</t>
  </si>
  <si>
    <t>531106017.20002</t>
  </si>
  <si>
    <t>531106015.20002</t>
  </si>
  <si>
    <t>531106015.20007</t>
  </si>
  <si>
    <t>531106015.20016</t>
  </si>
  <si>
    <t>531106015.20027</t>
  </si>
  <si>
    <t>531106015.20028</t>
  </si>
  <si>
    <t>532406002.20012</t>
  </si>
  <si>
    <t>532406003.20012</t>
  </si>
  <si>
    <t>531108010.20007</t>
  </si>
  <si>
    <t>531108010.20012</t>
  </si>
  <si>
    <t>543104001.20002</t>
  </si>
  <si>
    <t>543104001.20007</t>
  </si>
  <si>
    <t>543104001.20012</t>
  </si>
  <si>
    <t>543104001.20016</t>
  </si>
  <si>
    <t>543104001.20026</t>
  </si>
  <si>
    <t>543104001.20020</t>
  </si>
  <si>
    <t>543104001.20018</t>
  </si>
  <si>
    <t>543104001.20011</t>
  </si>
  <si>
    <t>543104001.20015</t>
  </si>
  <si>
    <t>543104001.20008</t>
  </si>
  <si>
    <t>543104001.20022</t>
  </si>
  <si>
    <t>543104001.20025</t>
  </si>
  <si>
    <t>543104001.20024</t>
  </si>
  <si>
    <t>543104001.20027</t>
  </si>
  <si>
    <t>543104001.20028</t>
  </si>
  <si>
    <t>C.E.O.P. (Bs As)-Filosofía</t>
  </si>
  <si>
    <t>544104005.20007</t>
  </si>
  <si>
    <t>Total General</t>
  </si>
  <si>
    <t>Honorarios</t>
  </si>
  <si>
    <t>Serv. De Limpieza e Insumos</t>
  </si>
  <si>
    <t>Serv. Custodia de archivos</t>
  </si>
  <si>
    <t>Control Total</t>
  </si>
  <si>
    <t>A distribuir</t>
  </si>
  <si>
    <t>Tipo sueldo</t>
  </si>
  <si>
    <t>523102032.10002</t>
  </si>
  <si>
    <t>523102030.10002</t>
  </si>
  <si>
    <t>523102034.10001</t>
  </si>
  <si>
    <t>523102001.10001</t>
  </si>
  <si>
    <t>523102033.10001</t>
  </si>
  <si>
    <t>523119098.10002</t>
  </si>
  <si>
    <t>523119098.10001</t>
  </si>
  <si>
    <t>523119098.10004</t>
  </si>
  <si>
    <t>523111006.10002</t>
  </si>
  <si>
    <t>523111006.10001</t>
  </si>
  <si>
    <t>521111006.10003</t>
  </si>
  <si>
    <t>521106001.10003</t>
  </si>
  <si>
    <t>523106016.10002</t>
  </si>
  <si>
    <t>523106016.10001</t>
  </si>
  <si>
    <t>521106050.10003</t>
  </si>
  <si>
    <t>521106097.10003</t>
  </si>
  <si>
    <t>521106055.10003</t>
  </si>
  <si>
    <t>521106002.10003</t>
  </si>
  <si>
    <t>521106098.10003</t>
  </si>
  <si>
    <t>521106006.10003</t>
  </si>
  <si>
    <t>522306215.10003</t>
  </si>
  <si>
    <t>521106101.10003</t>
  </si>
  <si>
    <t>523105016.10002</t>
  </si>
  <si>
    <t>523105016.10001</t>
  </si>
  <si>
    <t>523105016.10003</t>
  </si>
  <si>
    <t>521105056.10003</t>
  </si>
  <si>
    <t>521105054.10003</t>
  </si>
  <si>
    <t>521105053.10003</t>
  </si>
  <si>
    <t>521105035.10003</t>
  </si>
  <si>
    <t>521105057.10003</t>
  </si>
  <si>
    <t>521105058.10003</t>
  </si>
  <si>
    <t>521105059.10003</t>
  </si>
  <si>
    <t>521105060.10003</t>
  </si>
  <si>
    <t>522305185.10003</t>
  </si>
  <si>
    <t>521106061.10003</t>
  </si>
  <si>
    <t>521106064.10003</t>
  </si>
  <si>
    <t>521107008.10003</t>
  </si>
  <si>
    <t>523107016.10002</t>
  </si>
  <si>
    <t>523107016.10001</t>
  </si>
  <si>
    <t>521107048.10003</t>
  </si>
  <si>
    <t>521107049.10003</t>
  </si>
  <si>
    <t>521107047.10003</t>
  </si>
  <si>
    <t>521107054.10003</t>
  </si>
  <si>
    <t>521107050.10003</t>
  </si>
  <si>
    <t>521108040.10003</t>
  </si>
  <si>
    <t>523108016.10002</t>
  </si>
  <si>
    <t>523108016.10001</t>
  </si>
  <si>
    <t>521108041.10003</t>
  </si>
  <si>
    <t>524108012.10002</t>
  </si>
  <si>
    <t>524108012.10003</t>
  </si>
  <si>
    <t>521108096.10003</t>
  </si>
  <si>
    <t>521108095.10003</t>
  </si>
  <si>
    <t>521108097.10003</t>
  </si>
  <si>
    <t>521108005.10003</t>
  </si>
  <si>
    <t>521108007.10003</t>
  </si>
  <si>
    <t>521108001.10003</t>
  </si>
  <si>
    <t>521108002.10003</t>
  </si>
  <si>
    <t>521108098.10003</t>
  </si>
  <si>
    <t>521108099.10003</t>
  </si>
  <si>
    <t>521108009.10003</t>
  </si>
  <si>
    <t>521108100.10003</t>
  </si>
  <si>
    <t>521108103.10003</t>
  </si>
  <si>
    <t>523109016.10002</t>
  </si>
  <si>
    <t>523109016.10001</t>
  </si>
  <si>
    <t>523109016.10003</t>
  </si>
  <si>
    <t>521109009.10003</t>
  </si>
  <si>
    <t>521109010.10003</t>
  </si>
  <si>
    <t>521109091.10003</t>
  </si>
  <si>
    <t>521109052.10003</t>
  </si>
  <si>
    <t>521109088.10003</t>
  </si>
  <si>
    <t>521109011.10003</t>
  </si>
  <si>
    <t>521109070.10003</t>
  </si>
  <si>
    <t>521109007.10003</t>
  </si>
  <si>
    <t>521109019.10003</t>
  </si>
  <si>
    <t>521109003.10003</t>
  </si>
  <si>
    <t>521109071.10003</t>
  </si>
  <si>
    <t>521109112.10003</t>
  </si>
  <si>
    <t>521109113.10003</t>
  </si>
  <si>
    <t>521109013.10003</t>
  </si>
  <si>
    <t>523112061.10002</t>
  </si>
  <si>
    <t>523112061.10001</t>
  </si>
  <si>
    <t>523112061.10004</t>
  </si>
  <si>
    <t>523113033.10002</t>
  </si>
  <si>
    <t>523113026.10002</t>
  </si>
  <si>
    <t>523113026.10001</t>
  </si>
  <si>
    <t>523113065.10002</t>
  </si>
  <si>
    <t>523113065.10001</t>
  </si>
  <si>
    <t>523113065.10003</t>
  </si>
  <si>
    <t>523115069.10002</t>
  </si>
  <si>
    <t>523115069.10001</t>
  </si>
  <si>
    <t>523115066.10002</t>
  </si>
  <si>
    <t>523115066.10001</t>
  </si>
  <si>
    <t>523115025.10002</t>
  </si>
  <si>
    <t>523115015.10002</t>
  </si>
  <si>
    <t>523115015.10001</t>
  </si>
  <si>
    <t>523115013.10002</t>
  </si>
  <si>
    <t>523115013.10001</t>
  </si>
  <si>
    <t>523102003.10004</t>
  </si>
  <si>
    <t>523102081.10002</t>
  </si>
  <si>
    <t>523102081.10003</t>
  </si>
  <si>
    <t>523118017.10002</t>
  </si>
  <si>
    <t>523118017.10001</t>
  </si>
  <si>
    <t>521118017.10003</t>
  </si>
  <si>
    <t>523118082.10002</t>
  </si>
  <si>
    <t>521118082.10003</t>
  </si>
  <si>
    <t>523102040.10002</t>
  </si>
  <si>
    <t>523101040.10002</t>
  </si>
  <si>
    <t>523102040.10001</t>
  </si>
  <si>
    <t>523101040.10001</t>
  </si>
  <si>
    <t>523101013.10002</t>
  </si>
  <si>
    <t>523101013.10001</t>
  </si>
  <si>
    <t>523101026.10002</t>
  </si>
  <si>
    <t>523101026.10001</t>
  </si>
  <si>
    <t>523102023.10002</t>
  </si>
  <si>
    <t>523102023.10001</t>
  </si>
  <si>
    <t>523102044.10002</t>
  </si>
  <si>
    <t>523102044.10001</t>
  </si>
  <si>
    <t>523102044.10004</t>
  </si>
  <si>
    <t>523102027.10002</t>
  </si>
  <si>
    <t>523102027.10001</t>
  </si>
  <si>
    <t>523102024.10002</t>
  </si>
  <si>
    <t>523113064.10002</t>
  </si>
  <si>
    <t>523113064.10001</t>
  </si>
  <si>
    <t>521113064.10003</t>
  </si>
  <si>
    <t>523113064.10003</t>
  </si>
  <si>
    <t>523113073.10002</t>
  </si>
  <si>
    <t>523113073.10001</t>
  </si>
  <si>
    <t>521113073.10003</t>
  </si>
  <si>
    <t>523113007.10002</t>
  </si>
  <si>
    <t>523113007.10001</t>
  </si>
  <si>
    <t>523113022.10002</t>
  </si>
  <si>
    <t>523113022.10001</t>
  </si>
  <si>
    <t>523113024.10002</t>
  </si>
  <si>
    <t>523113024.10001</t>
  </si>
  <si>
    <t>522113068.10002</t>
  </si>
  <si>
    <t>522113068.10001</t>
  </si>
  <si>
    <t>522113068.10003</t>
  </si>
  <si>
    <t>523102065.10002</t>
  </si>
  <si>
    <t>523102065.10001</t>
  </si>
  <si>
    <t>523113021.10002</t>
  </si>
  <si>
    <t>524113021.10002</t>
  </si>
  <si>
    <t>523113021.10001</t>
  </si>
  <si>
    <t>523113021.10003</t>
  </si>
  <si>
    <t>524113021.10003</t>
  </si>
  <si>
    <t>533101001.10002</t>
  </si>
  <si>
    <t>533101001.10001</t>
  </si>
  <si>
    <t>533101001.10003</t>
  </si>
  <si>
    <t>533101005.10002</t>
  </si>
  <si>
    <t>533101009.10002</t>
  </si>
  <si>
    <t>533101007.10002</t>
  </si>
  <si>
    <t>533101002.10002</t>
  </si>
  <si>
    <t>533101003.10002</t>
  </si>
  <si>
    <t>531101010.10003</t>
  </si>
  <si>
    <t>533101004.10002</t>
  </si>
  <si>
    <t>533101004.10004</t>
  </si>
  <si>
    <t>533101006.10002</t>
  </si>
  <si>
    <t>533101006.10001</t>
  </si>
  <si>
    <t>532101019.10002</t>
  </si>
  <si>
    <t>532101019.10003</t>
  </si>
  <si>
    <t>533101010.10003</t>
  </si>
  <si>
    <t>533102007.10002</t>
  </si>
  <si>
    <t>533102007.10003</t>
  </si>
  <si>
    <t>510315002.10004</t>
  </si>
  <si>
    <t>531107016.10003</t>
  </si>
  <si>
    <t>531107017.10003</t>
  </si>
  <si>
    <t>531107018.10003</t>
  </si>
  <si>
    <t>531104011.10003</t>
  </si>
  <si>
    <t>531104012.10003</t>
  </si>
  <si>
    <t>531105013.10003</t>
  </si>
  <si>
    <t>531105026.10003</t>
  </si>
  <si>
    <t>531105015.10003</t>
  </si>
  <si>
    <t>531105027.10003</t>
  </si>
  <si>
    <t>531105028.10003</t>
  </si>
  <si>
    <t>531106014.10003</t>
  </si>
  <si>
    <t>531106017.10003</t>
  </si>
  <si>
    <t>531106018.10003</t>
  </si>
  <si>
    <t>531106015.10003</t>
  </si>
  <si>
    <t>531108013.10003</t>
  </si>
  <si>
    <t>531108011.10003</t>
  </si>
  <si>
    <t>531108014.10003</t>
  </si>
  <si>
    <t>531108015.10003</t>
  </si>
  <si>
    <t>531108016.10003</t>
  </si>
  <si>
    <t>531108017.10003</t>
  </si>
  <si>
    <t>543104001.10002</t>
  </si>
  <si>
    <t>543104001.10001</t>
  </si>
  <si>
    <t>543104001.10003</t>
  </si>
  <si>
    <t>INGR. CUOTAS</t>
  </si>
  <si>
    <t>LIC. TRABAJO SOCIAL (ART. ISMP)</t>
  </si>
  <si>
    <t>LIC. EN SEG. Y PROTEC. CIUDADANA</t>
  </si>
  <si>
    <t>MAEST. EN DER. EMPRESARIO</t>
  </si>
  <si>
    <t>TEC.UNIV.EN SEG. Y PROT.CIUD.</t>
  </si>
  <si>
    <t>ESP EN MARKETING ESTRATÉGICO Y NEGOCIOS DIGITALES</t>
  </si>
  <si>
    <t>ESP. EN DIRECCIÓN ESTRATÉGICA EN RRHH</t>
  </si>
  <si>
    <t>ESPECIALIZACIÓN EN TRIBUTACIÓN</t>
  </si>
  <si>
    <t>LIC.COMERCIALIZACION</t>
  </si>
  <si>
    <t>MAEST.DIR.Y ADM.EMP.</t>
  </si>
  <si>
    <t>HUMANIDADES</t>
  </si>
  <si>
    <t>ACT. ACAD:HERRAM. PEDAG. Y DIG. P LA TAREA DE LA GEST. INST.</t>
  </si>
  <si>
    <t>CENTRO DE IDIOMAS</t>
  </si>
  <si>
    <t>LIC. EN HISTORIA -CCC-</t>
  </si>
  <si>
    <t>LIC. EN INGLÉS - ORIENTACIÓN LINGÜÍSTICA</t>
  </si>
  <si>
    <t>LIC. EN INGLÉS - ORIENTACIÓN LITERARIA</t>
  </si>
  <si>
    <t>LIC. EN LIT. INF. Y JUV. EN LA ERA DIG. CCC</t>
  </si>
  <si>
    <t>LIC.EN FILOSOFIA</t>
  </si>
  <si>
    <t>PROF.EN FILOSOFIA</t>
  </si>
  <si>
    <t>LIC. EN LOGÍSTICA Y G.DE TRANSP.</t>
  </si>
  <si>
    <t>TEC.HIG.SEG.LABORAL</t>
  </si>
  <si>
    <t>TECNICATURA UNIVERSITARIA EN INFORMÁTICA</t>
  </si>
  <si>
    <t>TECNICO EN DISEÑO MULTIMEDIAL</t>
  </si>
  <si>
    <t>INGR. MATRICULAS</t>
  </si>
  <si>
    <t>OTROS INGR.</t>
  </si>
  <si>
    <t>Cursos</t>
  </si>
  <si>
    <t>CUC-ADMINISTRADOR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</si>
</sst>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mmm&quot;-&quot;yy"/>
    <numFmt numFmtId="165" formatCode="_-&quot;$&quot;\ * #,##0.00_-;\-&quot;$&quot;\ * #,##0.00_-;_-&quot;$&quot;\ * &quot;-&quot;??_-;_-@"/>
    <numFmt numFmtId="166" formatCode="#,##0.00;\(#,##0.00\);\-"/>
  </numFmts>
  <fonts count="9" x14ac:knownFonts="1">
    <font>
      <sz val="10"/>
      <color rgb="FF000000"/>
      <name val="Arial"/>
      <scheme val="minor"/>
    </font>
    <font>
      <b/>
      <sz val="10"/>
      <color rgb="FF0000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FF0000"/>
      <name val="Arial"/>
    </font>
    <font>
      <sz val="10"/>
      <color rgb="FF000000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17" fontId="2" fillId="0" borderId="0" xfId="0" applyNumberFormat="1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4" fontId="3" fillId="0" borderId="0" xfId="0" applyNumberFormat="1" applyFont="1" applyAlignment="1"/>
    <xf numFmtId="4" fontId="3" fillId="0" borderId="0" xfId="0" applyNumberFormat="1" applyFont="1"/>
    <xf numFmtId="0" fontId="3" fillId="0" borderId="0" xfId="0" applyFont="1"/>
    <xf numFmtId="0" fontId="2" fillId="0" borderId="0" xfId="0" applyFont="1" applyAlignment="1"/>
    <xf numFmtId="0" fontId="1" fillId="2" borderId="1" xfId="0" applyFont="1" applyFill="1" applyBorder="1" applyAlignment="1"/>
    <xf numFmtId="0" fontId="4" fillId="0" borderId="0" xfId="0" applyFont="1"/>
    <xf numFmtId="0" fontId="5" fillId="0" borderId="0" xfId="0" applyFont="1" applyAlignment="1"/>
    <xf numFmtId="10" fontId="1" fillId="3" borderId="1" xfId="0" applyNumberFormat="1" applyFont="1" applyFill="1" applyBorder="1" applyAlignment="1"/>
    <xf numFmtId="44" fontId="1" fillId="3" borderId="1" xfId="0" applyNumberFormat="1" applyFont="1" applyFill="1" applyBorder="1" applyAlignment="1"/>
    <xf numFmtId="0" fontId="5" fillId="0" borderId="0" xfId="0" applyFont="1"/>
    <xf numFmtId="44" fontId="2" fillId="0" borderId="0" xfId="0" applyNumberFormat="1" applyFont="1"/>
    <xf numFmtId="10" fontId="2" fillId="0" borderId="0" xfId="0" applyNumberFormat="1" applyFont="1"/>
    <xf numFmtId="4" fontId="6" fillId="0" borderId="0" xfId="0" applyNumberFormat="1" applyFont="1"/>
    <xf numFmtId="0" fontId="2" fillId="2" borderId="0" xfId="0" applyFont="1" applyFill="1" applyAlignment="1"/>
    <xf numFmtId="44" fontId="3" fillId="0" borderId="0" xfId="0" applyNumberFormat="1" applyFont="1"/>
    <xf numFmtId="0" fontId="7" fillId="0" borderId="0" xfId="0" applyFont="1" applyAlignment="1"/>
    <xf numFmtId="0" fontId="8" fillId="4" borderId="2" xfId="0" applyFont="1" applyFill="1" applyBorder="1" applyAlignment="1"/>
    <xf numFmtId="0" fontId="8" fillId="4" borderId="2" xfId="0" applyFont="1" applyFill="1" applyBorder="1" applyAlignment="1"/>
    <xf numFmtId="0" fontId="8" fillId="3" borderId="2" xfId="0" applyFont="1" applyFill="1" applyBorder="1" applyAlignment="1"/>
    <xf numFmtId="0" fontId="7" fillId="2" borderId="0" xfId="0" applyFont="1" applyFill="1" applyAlignment="1"/>
    <xf numFmtId="0" fontId="3" fillId="5" borderId="0" xfId="0" applyFont="1" applyFill="1"/>
    <xf numFmtId="0" fontId="3" fillId="5" borderId="0" xfId="0" applyFont="1" applyFill="1" applyAlignment="1"/>
    <xf numFmtId="0" fontId="8" fillId="5" borderId="2" xfId="0" applyFont="1" applyFill="1" applyBorder="1" applyAlignment="1"/>
    <xf numFmtId="4" fontId="3" fillId="5" borderId="0" xfId="0" applyNumberFormat="1" applyFont="1" applyFill="1" applyAlignment="1"/>
    <xf numFmtId="44" fontId="2" fillId="0" borderId="0" xfId="0" applyNumberFormat="1" applyFont="1"/>
    <xf numFmtId="0" fontId="3" fillId="6" borderId="0" xfId="0" applyFont="1" applyFill="1" applyAlignment="1"/>
    <xf numFmtId="164" fontId="1" fillId="2" borderId="1" xfId="0" applyNumberFormat="1" applyFont="1" applyFill="1" applyBorder="1"/>
    <xf numFmtId="0" fontId="1" fillId="3" borderId="1" xfId="0" applyFont="1" applyFill="1" applyBorder="1" applyAlignment="1"/>
    <xf numFmtId="44" fontId="6" fillId="0" borderId="0" xfId="0" applyNumberFormat="1" applyFont="1"/>
    <xf numFmtId="44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44" fontId="3" fillId="0" borderId="0" xfId="0" applyNumberFormat="1" applyFont="1" applyAlignment="1"/>
    <xf numFmtId="165" fontId="8" fillId="0" borderId="2" xfId="0" applyNumberFormat="1" applyFont="1" applyBorder="1" applyAlignment="1">
      <alignment horizontal="right"/>
    </xf>
    <xf numFmtId="0" fontId="2" fillId="0" borderId="3" xfId="0" applyFont="1" applyBorder="1"/>
    <xf numFmtId="166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79"/>
  <sheetViews>
    <sheetView tabSelected="1" workbookViewId="0">
      <pane xSplit="7" ySplit="1" topLeftCell="H803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2.5703125" defaultRowHeight="15" customHeight="1" x14ac:dyDescent="0.2"/>
  <cols>
    <col min="1" max="1" width="13.42578125" customWidth="1"/>
    <col min="2" max="2" width="12.85546875" customWidth="1"/>
    <col min="3" max="3" width="17.42578125" customWidth="1"/>
    <col min="4" max="4" width="19.42578125" customWidth="1"/>
    <col min="5" max="5" width="51.7109375" customWidth="1"/>
    <col min="6" max="7" width="18.28515625" customWidth="1"/>
    <col min="8" max="9" width="15" customWidth="1"/>
    <col min="10" max="10" width="15.28515625" customWidth="1"/>
    <col min="11" max="17" width="15" customWidth="1"/>
    <col min="18" max="18" width="16.42578125" customWidth="1"/>
  </cols>
  <sheetData>
    <row r="1" spans="1:18" ht="12.75" customHeight="1" x14ac:dyDescent="0.2">
      <c r="A1" s="13" t="s">
        <v>315</v>
      </c>
      <c r="B1" s="9" t="s">
        <v>316</v>
      </c>
      <c r="C1" s="9" t="s">
        <v>317</v>
      </c>
      <c r="D1" s="13" t="s">
        <v>318</v>
      </c>
      <c r="E1" s="13" t="s">
        <v>319</v>
      </c>
      <c r="F1" s="9" t="s">
        <v>320</v>
      </c>
      <c r="G1" s="9" t="s">
        <v>321</v>
      </c>
      <c r="H1" s="14" t="s">
        <v>322</v>
      </c>
      <c r="I1" s="14" t="s">
        <v>323</v>
      </c>
      <c r="J1" s="14" t="s">
        <v>324</v>
      </c>
      <c r="K1" s="14" t="s">
        <v>325</v>
      </c>
      <c r="L1" s="14" t="s">
        <v>326</v>
      </c>
      <c r="M1" s="14" t="s">
        <v>327</v>
      </c>
      <c r="N1" s="14" t="s">
        <v>328</v>
      </c>
      <c r="O1" s="14" t="s">
        <v>329</v>
      </c>
      <c r="P1" s="14" t="s">
        <v>330</v>
      </c>
      <c r="Q1" s="14" t="s">
        <v>331</v>
      </c>
      <c r="R1" s="5" t="s">
        <v>15</v>
      </c>
    </row>
    <row r="2" spans="1:18" ht="12.75" x14ac:dyDescent="0.2">
      <c r="A2" s="9" t="s">
        <v>332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333</v>
      </c>
      <c r="G2" s="9" t="s">
        <v>21</v>
      </c>
      <c r="H2" s="10">
        <v>139720.67000000001</v>
      </c>
      <c r="I2" s="10">
        <v>1361.43</v>
      </c>
      <c r="J2" s="10">
        <v>4648.92</v>
      </c>
      <c r="K2" s="10">
        <v>137529.96</v>
      </c>
      <c r="L2" s="10">
        <v>179803.22</v>
      </c>
      <c r="M2" s="10">
        <v>152541.64000000001</v>
      </c>
      <c r="N2" s="10">
        <v>158171.01</v>
      </c>
      <c r="O2" s="10">
        <v>164851.38</v>
      </c>
      <c r="P2" s="10">
        <v>147999.18</v>
      </c>
      <c r="Q2" s="10">
        <v>166527.21</v>
      </c>
      <c r="R2" s="11">
        <f t="shared" ref="R2:R792" si="0">SUM(H2:Q2)</f>
        <v>1253154.6199999999</v>
      </c>
    </row>
    <row r="3" spans="1:18" ht="12.75" x14ac:dyDescent="0.2">
      <c r="A3" s="9" t="s">
        <v>332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333</v>
      </c>
      <c r="G3" s="9" t="s">
        <v>22</v>
      </c>
      <c r="H3" s="10">
        <v>1738989.41</v>
      </c>
      <c r="I3" s="10">
        <v>621836.9</v>
      </c>
      <c r="J3" s="10">
        <v>324524.38</v>
      </c>
      <c r="K3" s="10">
        <v>787457.33</v>
      </c>
      <c r="L3" s="10">
        <v>1517416.12</v>
      </c>
      <c r="M3" s="10">
        <v>2348834.31</v>
      </c>
      <c r="N3" s="10">
        <v>1759035.09</v>
      </c>
      <c r="O3" s="10">
        <v>2244995.12</v>
      </c>
      <c r="P3" s="10">
        <v>2382295.89</v>
      </c>
      <c r="Q3" s="10">
        <v>2228499.62</v>
      </c>
      <c r="R3" s="11">
        <f t="shared" si="0"/>
        <v>15953884.170000002</v>
      </c>
    </row>
    <row r="4" spans="1:18" ht="12.75" x14ac:dyDescent="0.2">
      <c r="A4" s="9" t="s">
        <v>332</v>
      </c>
      <c r="B4" s="9" t="s">
        <v>17</v>
      </c>
      <c r="C4" s="9" t="s">
        <v>18</v>
      </c>
      <c r="D4" s="9" t="s">
        <v>19</v>
      </c>
      <c r="E4" s="9" t="s">
        <v>23</v>
      </c>
      <c r="F4" s="9" t="s">
        <v>333</v>
      </c>
      <c r="G4" s="9" t="s">
        <v>24</v>
      </c>
      <c r="H4" s="10">
        <v>35124.01</v>
      </c>
      <c r="I4" s="9">
        <v>959.67</v>
      </c>
      <c r="J4" s="9">
        <v>0</v>
      </c>
      <c r="K4" s="10">
        <v>845081.86</v>
      </c>
      <c r="L4" s="10">
        <v>1082174.8999999999</v>
      </c>
      <c r="M4" s="10">
        <v>995072.84</v>
      </c>
      <c r="N4" s="10">
        <v>991765.7</v>
      </c>
      <c r="O4" s="10">
        <v>774765.41</v>
      </c>
      <c r="P4" s="10">
        <v>895668.92</v>
      </c>
      <c r="Q4" s="10">
        <v>1023119.13</v>
      </c>
      <c r="R4" s="11">
        <f t="shared" si="0"/>
        <v>6643732.4399999995</v>
      </c>
    </row>
    <row r="5" spans="1:18" ht="12.75" x14ac:dyDescent="0.2">
      <c r="A5" s="9" t="s">
        <v>332</v>
      </c>
      <c r="B5" s="9" t="s">
        <v>17</v>
      </c>
      <c r="C5" s="9" t="s">
        <v>18</v>
      </c>
      <c r="D5" s="9" t="s">
        <v>19</v>
      </c>
      <c r="E5" s="9" t="s">
        <v>23</v>
      </c>
      <c r="F5" s="9" t="s">
        <v>333</v>
      </c>
      <c r="G5" s="9" t="s">
        <v>25</v>
      </c>
      <c r="H5" s="10">
        <v>125369.63</v>
      </c>
      <c r="I5" s="10">
        <v>674420.13</v>
      </c>
      <c r="J5" s="9">
        <v>0</v>
      </c>
      <c r="K5" s="10">
        <v>1808325.43</v>
      </c>
      <c r="L5" s="10">
        <v>2784079.38</v>
      </c>
      <c r="M5" s="10">
        <v>2205970.2599999998</v>
      </c>
      <c r="N5" s="10">
        <v>2198686.7999999998</v>
      </c>
      <c r="O5" s="10">
        <v>2296433.75</v>
      </c>
      <c r="P5" s="10">
        <v>1765146.54</v>
      </c>
      <c r="Q5" s="10">
        <v>1697818.44</v>
      </c>
      <c r="R5" s="11">
        <f t="shared" si="0"/>
        <v>15556250.359999998</v>
      </c>
    </row>
    <row r="6" spans="1:18" ht="12.75" x14ac:dyDescent="0.2">
      <c r="A6" s="9" t="s">
        <v>332</v>
      </c>
      <c r="B6" s="9" t="s">
        <v>17</v>
      </c>
      <c r="C6" s="9" t="s">
        <v>18</v>
      </c>
      <c r="D6" s="9" t="s">
        <v>19</v>
      </c>
      <c r="E6" s="9" t="s">
        <v>23</v>
      </c>
      <c r="F6" s="9" t="s">
        <v>333</v>
      </c>
      <c r="G6" s="9" t="s">
        <v>26</v>
      </c>
      <c r="H6" s="10">
        <v>53805.13</v>
      </c>
      <c r="I6" s="10">
        <v>3413.74</v>
      </c>
      <c r="J6" s="9">
        <v>0</v>
      </c>
      <c r="K6" s="10">
        <v>677999.71</v>
      </c>
      <c r="L6" s="10">
        <v>862601.8</v>
      </c>
      <c r="M6" s="10">
        <v>846697.65</v>
      </c>
      <c r="N6" s="10">
        <v>821077.75</v>
      </c>
      <c r="O6" s="10">
        <v>799361.63</v>
      </c>
      <c r="P6" s="10">
        <v>848185.79</v>
      </c>
      <c r="Q6" s="10">
        <v>819882.93</v>
      </c>
      <c r="R6" s="11">
        <f t="shared" si="0"/>
        <v>5733026.129999999</v>
      </c>
    </row>
    <row r="7" spans="1:18" ht="12.75" x14ac:dyDescent="0.2">
      <c r="A7" s="9" t="s">
        <v>332</v>
      </c>
      <c r="B7" s="9" t="s">
        <v>17</v>
      </c>
      <c r="C7" s="9" t="s">
        <v>18</v>
      </c>
      <c r="D7" s="9" t="s">
        <v>19</v>
      </c>
      <c r="E7" s="9" t="s">
        <v>23</v>
      </c>
      <c r="F7" s="9" t="s">
        <v>333</v>
      </c>
      <c r="G7" s="9" t="s">
        <v>27</v>
      </c>
      <c r="H7" s="10">
        <v>512759.24</v>
      </c>
      <c r="I7" s="10">
        <v>108732.41</v>
      </c>
      <c r="J7" s="9">
        <v>0</v>
      </c>
      <c r="K7" s="10">
        <v>1714322.29</v>
      </c>
      <c r="L7" s="10">
        <v>2608379.11</v>
      </c>
      <c r="M7" s="10">
        <v>2582979.9300000002</v>
      </c>
      <c r="N7" s="10">
        <v>2647823.7400000002</v>
      </c>
      <c r="O7" s="10">
        <v>2219003.21</v>
      </c>
      <c r="P7" s="10">
        <v>2030735.31</v>
      </c>
      <c r="Q7" s="10">
        <v>2306562.31</v>
      </c>
      <c r="R7" s="11">
        <f t="shared" si="0"/>
        <v>16731297.550000001</v>
      </c>
    </row>
    <row r="8" spans="1:18" ht="12.75" x14ac:dyDescent="0.2">
      <c r="A8" s="9" t="s">
        <v>332</v>
      </c>
      <c r="B8" s="9" t="s">
        <v>17</v>
      </c>
      <c r="C8" s="9" t="s">
        <v>18</v>
      </c>
      <c r="D8" s="9" t="s">
        <v>19</v>
      </c>
      <c r="E8" s="9" t="s">
        <v>23</v>
      </c>
      <c r="F8" s="9" t="s">
        <v>333</v>
      </c>
      <c r="G8" s="9" t="s">
        <v>28</v>
      </c>
      <c r="H8" s="9" t="s">
        <v>29</v>
      </c>
      <c r="I8" s="9">
        <v>0</v>
      </c>
      <c r="J8" s="9">
        <v>0</v>
      </c>
      <c r="K8" s="10">
        <v>947932.6</v>
      </c>
      <c r="L8" s="10">
        <v>1074636.3400000001</v>
      </c>
      <c r="M8" s="10">
        <v>986983.76</v>
      </c>
      <c r="N8" s="10">
        <v>1048863.71</v>
      </c>
      <c r="O8" s="10">
        <v>1031607.36</v>
      </c>
      <c r="P8" s="10">
        <v>997305.2</v>
      </c>
      <c r="Q8" s="10">
        <v>809792.19</v>
      </c>
      <c r="R8" s="12">
        <f t="shared" si="0"/>
        <v>6897121.1600000001</v>
      </c>
    </row>
    <row r="9" spans="1:18" ht="12.75" x14ac:dyDescent="0.2">
      <c r="A9" s="9" t="s">
        <v>332</v>
      </c>
      <c r="B9" s="9" t="s">
        <v>17</v>
      </c>
      <c r="C9" s="9" t="s">
        <v>18</v>
      </c>
      <c r="D9" s="9" t="s">
        <v>19</v>
      </c>
      <c r="E9" s="9" t="s">
        <v>23</v>
      </c>
      <c r="F9" s="9" t="s">
        <v>333</v>
      </c>
      <c r="G9" s="9" t="s">
        <v>30</v>
      </c>
      <c r="H9" s="10">
        <v>61753315.049999997</v>
      </c>
      <c r="I9" s="10">
        <v>64056270.93</v>
      </c>
      <c r="J9" s="10">
        <v>80033839.840000004</v>
      </c>
      <c r="K9" s="10">
        <v>56518471.890000001</v>
      </c>
      <c r="L9" s="10">
        <v>64261671.840000004</v>
      </c>
      <c r="M9" s="10">
        <v>63528440.789999999</v>
      </c>
      <c r="N9" s="10">
        <v>22324922.739999998</v>
      </c>
      <c r="O9" s="10">
        <v>53185285.030000001</v>
      </c>
      <c r="P9" s="10">
        <v>62499596.060000002</v>
      </c>
      <c r="Q9" s="10">
        <v>60409304.420000002</v>
      </c>
      <c r="R9" s="11">
        <f t="shared" si="0"/>
        <v>588571118.59000003</v>
      </c>
    </row>
    <row r="10" spans="1:18" ht="12.75" x14ac:dyDescent="0.2">
      <c r="A10" s="9" t="s">
        <v>332</v>
      </c>
      <c r="B10" s="9" t="s">
        <v>17</v>
      </c>
      <c r="C10" s="9" t="s">
        <v>18</v>
      </c>
      <c r="D10" s="9" t="s">
        <v>31</v>
      </c>
      <c r="E10" s="9" t="s">
        <v>32</v>
      </c>
      <c r="F10" s="9" t="s">
        <v>333</v>
      </c>
      <c r="G10" s="9" t="s">
        <v>24</v>
      </c>
      <c r="H10" s="9" t="s">
        <v>29</v>
      </c>
      <c r="I10" s="9">
        <v>0</v>
      </c>
      <c r="J10" s="9">
        <v>0</v>
      </c>
      <c r="K10" s="10">
        <v>2365129.38</v>
      </c>
      <c r="L10" s="10">
        <v>3052351.63</v>
      </c>
      <c r="M10" s="10">
        <v>2834190.45</v>
      </c>
      <c r="N10" s="10">
        <v>2846926.06</v>
      </c>
      <c r="O10" s="10">
        <v>2245859.9</v>
      </c>
      <c r="P10" s="10">
        <v>2596330.29</v>
      </c>
      <c r="Q10" s="10">
        <v>2965778.03</v>
      </c>
      <c r="R10" s="12">
        <f t="shared" si="0"/>
        <v>18906565.740000002</v>
      </c>
    </row>
    <row r="11" spans="1:18" ht="12.75" x14ac:dyDescent="0.2">
      <c r="A11" s="9" t="s">
        <v>332</v>
      </c>
      <c r="B11" s="9" t="s">
        <v>17</v>
      </c>
      <c r="C11" s="9" t="s">
        <v>18</v>
      </c>
      <c r="D11" s="9" t="s">
        <v>31</v>
      </c>
      <c r="E11" s="9" t="s">
        <v>32</v>
      </c>
      <c r="F11" s="9" t="s">
        <v>333</v>
      </c>
      <c r="G11" s="9" t="s">
        <v>26</v>
      </c>
      <c r="H11" s="9" t="s">
        <v>29</v>
      </c>
      <c r="I11" s="9">
        <v>0</v>
      </c>
      <c r="J11" s="9">
        <v>0</v>
      </c>
      <c r="K11" s="10">
        <v>792498.58</v>
      </c>
      <c r="L11" s="10">
        <v>999272.23</v>
      </c>
      <c r="M11" s="10">
        <v>988299.93</v>
      </c>
      <c r="N11" s="10">
        <v>957767.19</v>
      </c>
      <c r="O11" s="10">
        <v>931840.97</v>
      </c>
      <c r="P11" s="10">
        <v>988358.22</v>
      </c>
      <c r="Q11" s="10">
        <v>955057.49</v>
      </c>
      <c r="R11" s="12">
        <f t="shared" si="0"/>
        <v>6613094.6100000003</v>
      </c>
    </row>
    <row r="12" spans="1:18" ht="12.75" x14ac:dyDescent="0.2">
      <c r="A12" s="9" t="s">
        <v>332</v>
      </c>
      <c r="B12" s="9" t="s">
        <v>17</v>
      </c>
      <c r="C12" s="9" t="s">
        <v>18</v>
      </c>
      <c r="D12" s="9" t="s">
        <v>31</v>
      </c>
      <c r="E12" s="9" t="s">
        <v>33</v>
      </c>
      <c r="F12" s="9" t="s">
        <v>333</v>
      </c>
      <c r="G12" s="9" t="s">
        <v>24</v>
      </c>
      <c r="H12" s="10">
        <v>2613246.85</v>
      </c>
      <c r="I12" s="10">
        <v>71400.039999999994</v>
      </c>
      <c r="J12" s="10">
        <v>190775.06</v>
      </c>
      <c r="K12" s="10">
        <v>2393228.2000000002</v>
      </c>
      <c r="L12" s="10">
        <v>2751924.47</v>
      </c>
      <c r="M12" s="10">
        <v>2818837.39</v>
      </c>
      <c r="N12" s="10">
        <v>2808486.74</v>
      </c>
      <c r="O12" s="10">
        <v>2197873.11</v>
      </c>
      <c r="P12" s="10">
        <v>2527960.39</v>
      </c>
      <c r="Q12" s="10">
        <v>2875427.29</v>
      </c>
      <c r="R12" s="11">
        <f t="shared" si="0"/>
        <v>21249159.539999999</v>
      </c>
    </row>
    <row r="13" spans="1:18" ht="12.75" x14ac:dyDescent="0.2">
      <c r="A13" s="9" t="s">
        <v>332</v>
      </c>
      <c r="B13" s="9" t="s">
        <v>17</v>
      </c>
      <c r="C13" s="9" t="s">
        <v>18</v>
      </c>
      <c r="D13" s="9" t="s">
        <v>31</v>
      </c>
      <c r="E13" s="9" t="s">
        <v>33</v>
      </c>
      <c r="F13" s="9" t="s">
        <v>333</v>
      </c>
      <c r="G13" s="9" t="s">
        <v>25</v>
      </c>
      <c r="H13" s="9" t="s">
        <v>29</v>
      </c>
      <c r="I13" s="9">
        <v>0</v>
      </c>
      <c r="J13" s="10">
        <v>70045.88</v>
      </c>
      <c r="K13" s="10">
        <v>8463979.8800000008</v>
      </c>
      <c r="L13" s="10">
        <v>12930004.09</v>
      </c>
      <c r="M13" s="10">
        <v>10145644.699999999</v>
      </c>
      <c r="N13" s="10">
        <v>10033453.029999999</v>
      </c>
      <c r="O13" s="10">
        <v>10377569.17</v>
      </c>
      <c r="P13" s="10">
        <v>7976685.75</v>
      </c>
      <c r="Q13" s="10">
        <v>7672430.5</v>
      </c>
      <c r="R13" s="12">
        <f t="shared" si="0"/>
        <v>67669813</v>
      </c>
    </row>
    <row r="14" spans="1:18" ht="12.75" x14ac:dyDescent="0.2">
      <c r="A14" s="9" t="s">
        <v>332</v>
      </c>
      <c r="B14" s="9" t="s">
        <v>17</v>
      </c>
      <c r="C14" s="9" t="s">
        <v>18</v>
      </c>
      <c r="D14" s="9" t="s">
        <v>31</v>
      </c>
      <c r="E14" s="9" t="s">
        <v>33</v>
      </c>
      <c r="F14" s="9" t="s">
        <v>333</v>
      </c>
      <c r="G14" s="9" t="s">
        <v>26</v>
      </c>
      <c r="H14" s="10">
        <v>58216.95</v>
      </c>
      <c r="I14" s="10">
        <v>3693.65</v>
      </c>
      <c r="J14" s="10">
        <v>9696.4</v>
      </c>
      <c r="K14" s="10">
        <v>299153.03000000003</v>
      </c>
      <c r="L14" s="10">
        <v>377104.13</v>
      </c>
      <c r="M14" s="10">
        <v>365750.96</v>
      </c>
      <c r="N14" s="10">
        <v>351923.66</v>
      </c>
      <c r="O14" s="10">
        <v>339283.04</v>
      </c>
      <c r="P14" s="10">
        <v>360006.09</v>
      </c>
      <c r="Q14" s="10">
        <v>347993.15</v>
      </c>
      <c r="R14" s="11">
        <f t="shared" si="0"/>
        <v>2512821.06</v>
      </c>
    </row>
    <row r="15" spans="1:18" ht="12.75" x14ac:dyDescent="0.2">
      <c r="A15" s="9" t="s">
        <v>332</v>
      </c>
      <c r="B15" s="9" t="s">
        <v>17</v>
      </c>
      <c r="C15" s="9" t="s">
        <v>18</v>
      </c>
      <c r="D15" s="9" t="s">
        <v>31</v>
      </c>
      <c r="E15" s="9" t="s">
        <v>33</v>
      </c>
      <c r="F15" s="9" t="s">
        <v>333</v>
      </c>
      <c r="G15" s="9" t="s">
        <v>27</v>
      </c>
      <c r="H15" s="10">
        <v>256379.62</v>
      </c>
      <c r="I15" s="10">
        <v>54366.2</v>
      </c>
      <c r="J15" s="9">
        <v>0</v>
      </c>
      <c r="K15" s="10">
        <v>216489.64</v>
      </c>
      <c r="L15" s="10">
        <v>215399.32</v>
      </c>
      <c r="M15" s="10">
        <v>313679.21000000002</v>
      </c>
      <c r="N15" s="10">
        <v>315248.92</v>
      </c>
      <c r="O15" s="10">
        <v>259522.3</v>
      </c>
      <c r="P15" s="10">
        <v>233304.06</v>
      </c>
      <c r="Q15" s="10">
        <v>261025.27</v>
      </c>
      <c r="R15" s="11">
        <f t="shared" si="0"/>
        <v>2125414.54</v>
      </c>
    </row>
    <row r="16" spans="1:18" ht="12.75" x14ac:dyDescent="0.2">
      <c r="A16" s="9" t="s">
        <v>332</v>
      </c>
      <c r="B16" s="9" t="s">
        <v>17</v>
      </c>
      <c r="C16" s="9" t="s">
        <v>18</v>
      </c>
      <c r="D16" s="9" t="s">
        <v>31</v>
      </c>
      <c r="E16" s="9" t="s">
        <v>33</v>
      </c>
      <c r="F16" s="9" t="s">
        <v>333</v>
      </c>
      <c r="G16" s="9" t="s">
        <v>28</v>
      </c>
      <c r="H16" s="10">
        <v>630683.6</v>
      </c>
      <c r="I16" s="10">
        <v>862568.39</v>
      </c>
      <c r="J16" s="10">
        <v>501271.26</v>
      </c>
      <c r="K16" s="10">
        <v>1503273.32</v>
      </c>
      <c r="L16" s="10">
        <v>1688441.12</v>
      </c>
      <c r="M16" s="10">
        <v>1588670.26</v>
      </c>
      <c r="N16" s="10">
        <v>1699397.45</v>
      </c>
      <c r="O16" s="10">
        <v>1685811.28</v>
      </c>
      <c r="P16" s="10">
        <v>1628507.12</v>
      </c>
      <c r="Q16" s="10">
        <v>1321472.17</v>
      </c>
      <c r="R16" s="11">
        <f t="shared" si="0"/>
        <v>13110095.970000001</v>
      </c>
    </row>
    <row r="17" spans="1:18" ht="12.75" x14ac:dyDescent="0.2">
      <c r="A17" s="9" t="s">
        <v>332</v>
      </c>
      <c r="B17" s="9" t="s">
        <v>17</v>
      </c>
      <c r="C17" s="9" t="s">
        <v>18</v>
      </c>
      <c r="D17" s="9" t="s">
        <v>31</v>
      </c>
      <c r="E17" s="9" t="s">
        <v>33</v>
      </c>
      <c r="F17" s="9" t="s">
        <v>333</v>
      </c>
      <c r="G17" s="9" t="s">
        <v>34</v>
      </c>
      <c r="H17" s="10">
        <v>155245.19</v>
      </c>
      <c r="I17" s="10">
        <v>152443.44</v>
      </c>
      <c r="J17" s="10">
        <v>84618.57</v>
      </c>
      <c r="K17" s="10">
        <v>660290.23</v>
      </c>
      <c r="L17" s="10">
        <v>856456.27</v>
      </c>
      <c r="M17" s="10">
        <v>589316.67000000004</v>
      </c>
      <c r="N17" s="10">
        <v>725557.41</v>
      </c>
      <c r="O17" s="10">
        <v>749071.04</v>
      </c>
      <c r="P17" s="10">
        <v>668274.94999999995</v>
      </c>
      <c r="Q17" s="10">
        <v>749796.43</v>
      </c>
      <c r="R17" s="11">
        <f t="shared" si="0"/>
        <v>5391070.2000000002</v>
      </c>
    </row>
    <row r="18" spans="1:18" ht="12.75" x14ac:dyDescent="0.2">
      <c r="A18" s="9" t="s">
        <v>332</v>
      </c>
      <c r="B18" s="9" t="s">
        <v>17</v>
      </c>
      <c r="C18" s="9" t="s">
        <v>18</v>
      </c>
      <c r="D18" s="9" t="s">
        <v>31</v>
      </c>
      <c r="E18" s="9" t="s">
        <v>35</v>
      </c>
      <c r="F18" s="9" t="s">
        <v>333</v>
      </c>
      <c r="G18" s="9" t="s">
        <v>21</v>
      </c>
      <c r="H18" s="10">
        <v>349301.69</v>
      </c>
      <c r="I18" s="10">
        <v>3403.57</v>
      </c>
      <c r="J18" s="10">
        <v>11622.3</v>
      </c>
      <c r="K18" s="10">
        <v>5140.5200000000004</v>
      </c>
      <c r="L18" s="10">
        <v>4394.7700000000004</v>
      </c>
      <c r="M18" s="10">
        <v>5483</v>
      </c>
      <c r="N18" s="10">
        <v>5573.87</v>
      </c>
      <c r="O18" s="10">
        <v>5706.56</v>
      </c>
      <c r="P18" s="10">
        <v>5032.6099999999997</v>
      </c>
      <c r="Q18" s="10">
        <v>5577.86</v>
      </c>
      <c r="R18" s="11">
        <f t="shared" si="0"/>
        <v>401236.75</v>
      </c>
    </row>
    <row r="19" spans="1:18" ht="12.75" x14ac:dyDescent="0.2">
      <c r="A19" s="9" t="s">
        <v>332</v>
      </c>
      <c r="B19" s="9" t="s">
        <v>17</v>
      </c>
      <c r="C19" s="9" t="s">
        <v>18</v>
      </c>
      <c r="D19" s="9" t="s">
        <v>31</v>
      </c>
      <c r="E19" s="9" t="s">
        <v>35</v>
      </c>
      <c r="F19" s="9" t="s">
        <v>333</v>
      </c>
      <c r="G19" s="9" t="s">
        <v>24</v>
      </c>
      <c r="H19" s="9" t="s">
        <v>29</v>
      </c>
      <c r="I19" s="9">
        <v>0</v>
      </c>
      <c r="J19" s="9">
        <v>0</v>
      </c>
      <c r="K19" s="10">
        <v>844315.2</v>
      </c>
      <c r="L19" s="10">
        <v>1081193.1399999999</v>
      </c>
      <c r="M19" s="10">
        <v>994170.1</v>
      </c>
      <c r="N19" s="10">
        <v>990865.96</v>
      </c>
      <c r="O19" s="10">
        <v>774062.54</v>
      </c>
      <c r="P19" s="10">
        <v>894856.36</v>
      </c>
      <c r="Q19" s="10">
        <v>1022190.95</v>
      </c>
      <c r="R19" s="12">
        <f t="shared" si="0"/>
        <v>6601654.25</v>
      </c>
    </row>
    <row r="20" spans="1:18" ht="12.75" x14ac:dyDescent="0.2">
      <c r="A20" s="9" t="s">
        <v>332</v>
      </c>
      <c r="B20" s="9" t="s">
        <v>17</v>
      </c>
      <c r="C20" s="9" t="s">
        <v>36</v>
      </c>
      <c r="D20" s="9" t="s">
        <v>31</v>
      </c>
      <c r="E20" s="9" t="s">
        <v>35</v>
      </c>
      <c r="F20" s="9" t="s">
        <v>333</v>
      </c>
      <c r="G20" s="9" t="s">
        <v>37</v>
      </c>
      <c r="H20" s="10">
        <v>8956693.6999999993</v>
      </c>
      <c r="I20" s="10">
        <v>6346979.2800000003</v>
      </c>
      <c r="J20" s="10">
        <v>11835364.85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11">
        <f t="shared" si="0"/>
        <v>27139037.829999998</v>
      </c>
    </row>
    <row r="21" spans="1:18" ht="12.75" x14ac:dyDescent="0.2">
      <c r="A21" s="9" t="s">
        <v>332</v>
      </c>
      <c r="B21" s="9" t="s">
        <v>17</v>
      </c>
      <c r="C21" s="9" t="s">
        <v>18</v>
      </c>
      <c r="D21" s="9" t="s">
        <v>31</v>
      </c>
      <c r="E21" s="9" t="s">
        <v>35</v>
      </c>
      <c r="F21" s="9" t="s">
        <v>333</v>
      </c>
      <c r="G21" s="9" t="s">
        <v>25</v>
      </c>
      <c r="H21" s="9" t="s">
        <v>29</v>
      </c>
      <c r="I21" s="9">
        <v>0</v>
      </c>
      <c r="J21" s="9">
        <v>0</v>
      </c>
      <c r="K21" s="10">
        <v>455778.09</v>
      </c>
      <c r="L21" s="10">
        <v>695257.2</v>
      </c>
      <c r="M21" s="10">
        <v>544339.35</v>
      </c>
      <c r="N21" s="10">
        <v>538319.99</v>
      </c>
      <c r="O21" s="10">
        <v>556782.68000000005</v>
      </c>
      <c r="P21" s="10">
        <v>427969.25</v>
      </c>
      <c r="Q21" s="10">
        <v>411645.19</v>
      </c>
      <c r="R21" s="12">
        <f t="shared" si="0"/>
        <v>3630091.75</v>
      </c>
    </row>
    <row r="22" spans="1:18" ht="12.75" x14ac:dyDescent="0.2">
      <c r="A22" s="9" t="s">
        <v>332</v>
      </c>
      <c r="B22" s="9" t="s">
        <v>17</v>
      </c>
      <c r="C22" s="9" t="s">
        <v>18</v>
      </c>
      <c r="D22" s="9" t="s">
        <v>31</v>
      </c>
      <c r="E22" s="9" t="s">
        <v>35</v>
      </c>
      <c r="F22" s="9" t="s">
        <v>333</v>
      </c>
      <c r="G22" s="9" t="s">
        <v>26</v>
      </c>
      <c r="H22" s="10">
        <v>1203712.8799999999</v>
      </c>
      <c r="I22" s="10">
        <v>76371.179999999993</v>
      </c>
      <c r="J22" s="10">
        <v>46275.02</v>
      </c>
      <c r="K22" s="10">
        <v>33537.43</v>
      </c>
      <c r="L22" s="10">
        <v>27685.9</v>
      </c>
      <c r="M22" s="10">
        <v>39575.89</v>
      </c>
      <c r="N22" s="10">
        <v>37333.050000000003</v>
      </c>
      <c r="O22" s="10">
        <v>35355.69</v>
      </c>
      <c r="P22" s="10">
        <v>36851.85</v>
      </c>
      <c r="Q22" s="10">
        <v>35088.800000000003</v>
      </c>
      <c r="R22" s="11">
        <f t="shared" si="0"/>
        <v>1571787.6899999997</v>
      </c>
    </row>
    <row r="23" spans="1:18" ht="12.75" x14ac:dyDescent="0.2">
      <c r="A23" s="9" t="s">
        <v>332</v>
      </c>
      <c r="B23" s="9" t="s">
        <v>17</v>
      </c>
      <c r="C23" s="9" t="s">
        <v>18</v>
      </c>
      <c r="D23" s="9" t="s">
        <v>31</v>
      </c>
      <c r="E23" s="9" t="s">
        <v>35</v>
      </c>
      <c r="F23" s="9" t="s">
        <v>333</v>
      </c>
      <c r="G23" s="9" t="s">
        <v>38</v>
      </c>
      <c r="H23" s="10">
        <v>1281898.1000000001</v>
      </c>
      <c r="I23" s="10">
        <v>2439723.23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11">
        <f t="shared" si="0"/>
        <v>3721621.33</v>
      </c>
    </row>
    <row r="24" spans="1:18" ht="12.75" x14ac:dyDescent="0.2">
      <c r="A24" s="9" t="s">
        <v>332</v>
      </c>
      <c r="B24" s="9" t="s">
        <v>17</v>
      </c>
      <c r="C24" s="9" t="s">
        <v>18</v>
      </c>
      <c r="D24" s="9" t="s">
        <v>31</v>
      </c>
      <c r="E24" s="9" t="s">
        <v>35</v>
      </c>
      <c r="F24" s="9" t="s">
        <v>333</v>
      </c>
      <c r="G24" s="9" t="s">
        <v>27</v>
      </c>
      <c r="H24" s="10">
        <v>1761442.68</v>
      </c>
      <c r="I24" s="10">
        <v>373520.14</v>
      </c>
      <c r="J24" s="10">
        <v>105877.85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11">
        <f t="shared" si="0"/>
        <v>2240840.67</v>
      </c>
    </row>
    <row r="25" spans="1:18" ht="12.75" x14ac:dyDescent="0.2">
      <c r="A25" s="9" t="s">
        <v>332</v>
      </c>
      <c r="B25" s="9" t="s">
        <v>17</v>
      </c>
      <c r="C25" s="9" t="s">
        <v>18</v>
      </c>
      <c r="D25" s="9" t="s">
        <v>31</v>
      </c>
      <c r="E25" s="9" t="s">
        <v>35</v>
      </c>
      <c r="F25" s="9" t="s">
        <v>333</v>
      </c>
      <c r="G25" s="9" t="s">
        <v>27</v>
      </c>
      <c r="H25" s="10">
        <v>223164.97</v>
      </c>
      <c r="I25" s="10">
        <v>47322.92</v>
      </c>
      <c r="J25" s="10">
        <v>105877.85</v>
      </c>
      <c r="K25" s="10">
        <v>4236173.41</v>
      </c>
      <c r="L25" s="10">
        <v>6495804.6500000004</v>
      </c>
      <c r="M25" s="10">
        <v>6495615.7699999996</v>
      </c>
      <c r="N25" s="10">
        <v>6710908.3799999999</v>
      </c>
      <c r="O25" s="10">
        <v>5679309.0999999996</v>
      </c>
      <c r="P25" s="10">
        <v>5197456.88</v>
      </c>
      <c r="Q25" s="10">
        <v>5903407.54</v>
      </c>
      <c r="R25" s="11">
        <f t="shared" si="0"/>
        <v>41095041.469999999</v>
      </c>
    </row>
    <row r="26" spans="1:18" ht="12.75" x14ac:dyDescent="0.2">
      <c r="A26" s="9" t="s">
        <v>332</v>
      </c>
      <c r="B26" s="9" t="s">
        <v>17</v>
      </c>
      <c r="C26" s="9" t="s">
        <v>18</v>
      </c>
      <c r="D26" s="9" t="s">
        <v>31</v>
      </c>
      <c r="E26" s="9" t="s">
        <v>35</v>
      </c>
      <c r="F26" s="9" t="s">
        <v>333</v>
      </c>
      <c r="G26" s="9" t="s">
        <v>28</v>
      </c>
      <c r="H26" s="10">
        <v>4851.41</v>
      </c>
      <c r="I26" s="10">
        <v>6635.14</v>
      </c>
      <c r="J26" s="10">
        <v>3739.68</v>
      </c>
      <c r="K26" s="10">
        <v>611282.81000000006</v>
      </c>
      <c r="L26" s="10">
        <v>692988.85</v>
      </c>
      <c r="M26" s="10">
        <v>636465.30000000005</v>
      </c>
      <c r="N26" s="10">
        <v>676369.14</v>
      </c>
      <c r="O26" s="10">
        <v>665241.23</v>
      </c>
      <c r="P26" s="10">
        <v>643121.18000000005</v>
      </c>
      <c r="Q26" s="10">
        <v>522201.73</v>
      </c>
      <c r="R26" s="11">
        <f t="shared" si="0"/>
        <v>4462896.4700000007</v>
      </c>
    </row>
    <row r="27" spans="1:18" ht="12.75" x14ac:dyDescent="0.2">
      <c r="A27" s="9" t="s">
        <v>332</v>
      </c>
      <c r="B27" s="9" t="s">
        <v>17</v>
      </c>
      <c r="C27" s="9" t="s">
        <v>18</v>
      </c>
      <c r="D27" s="9" t="s">
        <v>19</v>
      </c>
      <c r="E27" s="9" t="s">
        <v>39</v>
      </c>
      <c r="F27" s="9" t="s">
        <v>333</v>
      </c>
      <c r="G27" s="9" t="s">
        <v>24</v>
      </c>
      <c r="H27" s="10">
        <v>37175.040000000001</v>
      </c>
      <c r="I27" s="10">
        <v>1015.71</v>
      </c>
      <c r="J27" s="9">
        <v>371.77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10">
        <v>19187.7</v>
      </c>
      <c r="Q27" s="10">
        <v>4054.84</v>
      </c>
      <c r="R27" s="11">
        <f t="shared" si="0"/>
        <v>61805.06</v>
      </c>
    </row>
    <row r="28" spans="1:18" ht="12.75" x14ac:dyDescent="0.2">
      <c r="A28" s="9" t="s">
        <v>332</v>
      </c>
      <c r="B28" s="9" t="s">
        <v>17</v>
      </c>
      <c r="C28" s="9" t="s">
        <v>18</v>
      </c>
      <c r="D28" s="9" t="s">
        <v>19</v>
      </c>
      <c r="E28" s="9" t="s">
        <v>39</v>
      </c>
      <c r="F28" s="9" t="s">
        <v>333</v>
      </c>
      <c r="G28" s="9" t="s">
        <v>25</v>
      </c>
      <c r="H28" s="9" t="s">
        <v>29</v>
      </c>
      <c r="I28" s="9">
        <v>0</v>
      </c>
      <c r="J28" s="10">
        <v>24239.01</v>
      </c>
      <c r="K28" s="9">
        <v>0</v>
      </c>
      <c r="L28" s="10">
        <v>141337.38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12">
        <f t="shared" si="0"/>
        <v>165576.39000000001</v>
      </c>
    </row>
    <row r="29" spans="1:18" ht="12.75" x14ac:dyDescent="0.2">
      <c r="A29" s="9" t="s">
        <v>332</v>
      </c>
      <c r="B29" s="9" t="s">
        <v>17</v>
      </c>
      <c r="C29" s="9" t="s">
        <v>18</v>
      </c>
      <c r="D29" s="9" t="s">
        <v>19</v>
      </c>
      <c r="E29" s="9" t="s">
        <v>40</v>
      </c>
      <c r="F29" s="9" t="s">
        <v>333</v>
      </c>
      <c r="G29" s="9" t="s">
        <v>24</v>
      </c>
      <c r="H29" s="10">
        <v>48514.12</v>
      </c>
      <c r="I29" s="10">
        <v>1325.52</v>
      </c>
      <c r="J29" s="10">
        <v>3523.64</v>
      </c>
      <c r="K29" s="9">
        <v>0</v>
      </c>
      <c r="L29" s="10">
        <v>4679.7700000000004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11">
        <f t="shared" si="0"/>
        <v>58043.05</v>
      </c>
    </row>
    <row r="30" spans="1:18" ht="12.75" x14ac:dyDescent="0.2">
      <c r="A30" s="9" t="s">
        <v>332</v>
      </c>
      <c r="B30" s="9" t="s">
        <v>17</v>
      </c>
      <c r="C30" s="9" t="s">
        <v>18</v>
      </c>
      <c r="D30" s="9" t="s">
        <v>19</v>
      </c>
      <c r="E30" s="9" t="s">
        <v>41</v>
      </c>
      <c r="F30" s="9" t="s">
        <v>333</v>
      </c>
      <c r="G30" s="9" t="s">
        <v>21</v>
      </c>
      <c r="H30" s="9" t="s">
        <v>29</v>
      </c>
      <c r="I30" s="9">
        <v>0</v>
      </c>
      <c r="J30" s="9">
        <v>0</v>
      </c>
      <c r="K30" s="9">
        <v>744.78</v>
      </c>
      <c r="L30" s="9">
        <v>0</v>
      </c>
      <c r="M30" s="9">
        <v>0</v>
      </c>
      <c r="N30" s="9">
        <v>0</v>
      </c>
      <c r="O30" s="9">
        <v>0</v>
      </c>
      <c r="P30" s="9">
        <v>517.67999999999995</v>
      </c>
      <c r="Q30" s="9">
        <v>0</v>
      </c>
      <c r="R30" s="12">
        <f t="shared" si="0"/>
        <v>1262.46</v>
      </c>
    </row>
    <row r="31" spans="1:18" ht="12.75" x14ac:dyDescent="0.2">
      <c r="A31" s="9" t="s">
        <v>332</v>
      </c>
      <c r="B31" s="9" t="s">
        <v>17</v>
      </c>
      <c r="C31" s="9" t="s">
        <v>18</v>
      </c>
      <c r="D31" s="9" t="s">
        <v>19</v>
      </c>
      <c r="E31" s="9" t="s">
        <v>41</v>
      </c>
      <c r="F31" s="9" t="s">
        <v>333</v>
      </c>
      <c r="G31" s="9" t="s">
        <v>24</v>
      </c>
      <c r="H31" s="10">
        <v>69157.119999999995</v>
      </c>
      <c r="I31" s="10">
        <v>1889.54</v>
      </c>
      <c r="J31" s="10">
        <v>5429.08</v>
      </c>
      <c r="K31" s="10">
        <v>95251.26</v>
      </c>
      <c r="L31" s="10">
        <v>79762.429999999993</v>
      </c>
      <c r="M31" s="10">
        <v>107856.63</v>
      </c>
      <c r="N31" s="10">
        <v>105390.36</v>
      </c>
      <c r="O31" s="10">
        <v>80874.990000000005</v>
      </c>
      <c r="P31" s="10">
        <v>91842.51</v>
      </c>
      <c r="Q31" s="10">
        <v>103340.57</v>
      </c>
      <c r="R31" s="11">
        <f t="shared" si="0"/>
        <v>740794.49</v>
      </c>
    </row>
    <row r="32" spans="1:18" ht="12.75" x14ac:dyDescent="0.2">
      <c r="A32" s="9" t="s">
        <v>332</v>
      </c>
      <c r="B32" s="9" t="s">
        <v>17</v>
      </c>
      <c r="C32" s="9" t="s">
        <v>18</v>
      </c>
      <c r="D32" s="9" t="s">
        <v>19</v>
      </c>
      <c r="E32" s="9" t="s">
        <v>41</v>
      </c>
      <c r="F32" s="9" t="s">
        <v>333</v>
      </c>
      <c r="G32" s="9" t="s">
        <v>25</v>
      </c>
      <c r="H32" s="10">
        <v>375827.24</v>
      </c>
      <c r="I32" s="10">
        <v>2021745.22</v>
      </c>
      <c r="J32" s="10">
        <v>7385705.25</v>
      </c>
      <c r="K32" s="10">
        <v>5502672.8700000001</v>
      </c>
      <c r="L32" s="10">
        <v>5523697.9800000004</v>
      </c>
      <c r="M32" s="10">
        <v>6318792.1600000001</v>
      </c>
      <c r="N32" s="10">
        <v>6182370.7199999997</v>
      </c>
      <c r="O32" s="10">
        <v>6289237.3399999999</v>
      </c>
      <c r="P32" s="10">
        <v>4724367.71</v>
      </c>
      <c r="Q32" s="10">
        <v>4487794.72</v>
      </c>
      <c r="R32" s="11">
        <f t="shared" si="0"/>
        <v>48812211.210000001</v>
      </c>
    </row>
    <row r="33" spans="1:18" ht="12.75" x14ac:dyDescent="0.2">
      <c r="A33" s="9" t="s">
        <v>332</v>
      </c>
      <c r="B33" s="9" t="s">
        <v>17</v>
      </c>
      <c r="C33" s="9" t="s">
        <v>18</v>
      </c>
      <c r="D33" s="9" t="s">
        <v>19</v>
      </c>
      <c r="E33" s="9" t="s">
        <v>41</v>
      </c>
      <c r="F33" s="9" t="s">
        <v>333</v>
      </c>
      <c r="G33" s="9" t="s">
        <v>26</v>
      </c>
      <c r="H33" s="10">
        <v>3094425.43</v>
      </c>
      <c r="I33" s="10">
        <v>196329.97</v>
      </c>
      <c r="J33" s="10">
        <v>289370.21999999997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11">
        <f t="shared" si="0"/>
        <v>3580125.62</v>
      </c>
    </row>
    <row r="34" spans="1:18" ht="12.75" x14ac:dyDescent="0.2">
      <c r="A34" s="9" t="s">
        <v>332</v>
      </c>
      <c r="B34" s="9" t="s">
        <v>17</v>
      </c>
      <c r="C34" s="9" t="s">
        <v>18</v>
      </c>
      <c r="D34" s="9" t="s">
        <v>19</v>
      </c>
      <c r="E34" s="9" t="s">
        <v>41</v>
      </c>
      <c r="F34" s="9" t="s">
        <v>333</v>
      </c>
      <c r="G34" s="9" t="s">
        <v>27</v>
      </c>
      <c r="H34" s="10">
        <v>1025518.48</v>
      </c>
      <c r="I34" s="10">
        <v>217464.81</v>
      </c>
      <c r="J34" s="9">
        <v>0</v>
      </c>
      <c r="K34" s="9">
        <v>0</v>
      </c>
      <c r="L34" s="10">
        <v>10320.83</v>
      </c>
      <c r="M34" s="10">
        <v>63770.07</v>
      </c>
      <c r="N34" s="10">
        <v>27180.5</v>
      </c>
      <c r="O34" s="9">
        <v>0</v>
      </c>
      <c r="P34" s="9">
        <v>0</v>
      </c>
      <c r="Q34" s="9">
        <v>0</v>
      </c>
      <c r="R34" s="11">
        <f t="shared" si="0"/>
        <v>1344254.6900000002</v>
      </c>
    </row>
    <row r="35" spans="1:18" ht="12.75" x14ac:dyDescent="0.2">
      <c r="A35" s="9" t="s">
        <v>332</v>
      </c>
      <c r="B35" s="9" t="s">
        <v>17</v>
      </c>
      <c r="C35" s="9" t="s">
        <v>18</v>
      </c>
      <c r="D35" s="9" t="s">
        <v>19</v>
      </c>
      <c r="E35" s="9" t="s">
        <v>41</v>
      </c>
      <c r="F35" s="9" t="s">
        <v>333</v>
      </c>
      <c r="G35" s="9" t="s">
        <v>28</v>
      </c>
      <c r="H35" s="9" t="s">
        <v>29</v>
      </c>
      <c r="I35" s="9">
        <v>0</v>
      </c>
      <c r="J35" s="10">
        <v>19728.07</v>
      </c>
      <c r="K35" s="10">
        <v>25803.46</v>
      </c>
      <c r="L35" s="10">
        <v>19200.68</v>
      </c>
      <c r="M35" s="9">
        <v>0</v>
      </c>
      <c r="N35" s="10">
        <v>55670.84</v>
      </c>
      <c r="O35" s="10">
        <v>27601.86</v>
      </c>
      <c r="P35" s="10">
        <v>27490.28</v>
      </c>
      <c r="Q35" s="10">
        <v>20603.38</v>
      </c>
      <c r="R35" s="12">
        <f t="shared" si="0"/>
        <v>196098.56999999998</v>
      </c>
    </row>
    <row r="36" spans="1:18" ht="12.75" x14ac:dyDescent="0.2">
      <c r="A36" s="9" t="s">
        <v>332</v>
      </c>
      <c r="B36" s="9" t="s">
        <v>17</v>
      </c>
      <c r="C36" s="9" t="s">
        <v>18</v>
      </c>
      <c r="D36" s="9" t="s">
        <v>19</v>
      </c>
      <c r="E36" s="9" t="s">
        <v>42</v>
      </c>
      <c r="F36" s="9" t="s">
        <v>333</v>
      </c>
      <c r="G36" s="9" t="s">
        <v>24</v>
      </c>
      <c r="H36" s="10">
        <v>1141914.82</v>
      </c>
      <c r="I36" s="10">
        <v>31199.8</v>
      </c>
      <c r="J36" s="10">
        <v>71872.22</v>
      </c>
      <c r="K36" s="10">
        <v>208967.98</v>
      </c>
      <c r="L36" s="10">
        <v>1717994.9</v>
      </c>
      <c r="M36" s="10">
        <v>389609.81</v>
      </c>
      <c r="N36" s="10">
        <v>187248.23</v>
      </c>
      <c r="O36" s="9">
        <v>0</v>
      </c>
      <c r="P36" s="10">
        <v>213903.62</v>
      </c>
      <c r="Q36" s="10">
        <v>126107.09</v>
      </c>
      <c r="R36" s="11">
        <f t="shared" si="0"/>
        <v>4088818.4699999997</v>
      </c>
    </row>
    <row r="37" spans="1:18" ht="12.75" x14ac:dyDescent="0.2">
      <c r="A37" s="9" t="s">
        <v>332</v>
      </c>
      <c r="B37" s="9" t="s">
        <v>17</v>
      </c>
      <c r="C37" s="9" t="s">
        <v>18</v>
      </c>
      <c r="D37" s="9" t="s">
        <v>19</v>
      </c>
      <c r="E37" s="9" t="s">
        <v>42</v>
      </c>
      <c r="F37" s="9" t="s">
        <v>333</v>
      </c>
      <c r="G37" s="9" t="s">
        <v>22</v>
      </c>
      <c r="H37" s="10">
        <v>1365104.82</v>
      </c>
      <c r="I37" s="10">
        <v>488141.3</v>
      </c>
      <c r="J37" s="10">
        <v>216694.49</v>
      </c>
      <c r="K37" s="10">
        <v>583899.77</v>
      </c>
      <c r="L37" s="10">
        <v>756115.26</v>
      </c>
      <c r="M37" s="10">
        <v>1896866.87</v>
      </c>
      <c r="N37" s="10">
        <v>4678940.7699999996</v>
      </c>
      <c r="O37" s="10">
        <v>2341126.48</v>
      </c>
      <c r="P37" s="10">
        <v>2101255.83</v>
      </c>
      <c r="Q37" s="10">
        <v>2726365.19</v>
      </c>
      <c r="R37" s="11">
        <f t="shared" si="0"/>
        <v>17154510.780000001</v>
      </c>
    </row>
    <row r="38" spans="1:18" ht="12.75" x14ac:dyDescent="0.2">
      <c r="A38" s="9" t="s">
        <v>332</v>
      </c>
      <c r="B38" s="9" t="s">
        <v>17</v>
      </c>
      <c r="C38" s="9" t="s">
        <v>18</v>
      </c>
      <c r="D38" s="9" t="s">
        <v>19</v>
      </c>
      <c r="E38" s="9" t="s">
        <v>42</v>
      </c>
      <c r="F38" s="9" t="s">
        <v>333</v>
      </c>
      <c r="G38" s="9" t="s">
        <v>25</v>
      </c>
      <c r="H38" s="10">
        <v>1821443.33</v>
      </c>
      <c r="I38" s="10">
        <v>9798369.8599999994</v>
      </c>
      <c r="J38" s="10">
        <v>4803822.6500000004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11">
        <f t="shared" si="0"/>
        <v>16423635.84</v>
      </c>
    </row>
    <row r="39" spans="1:18" ht="12.75" x14ac:dyDescent="0.2">
      <c r="A39" s="9" t="s">
        <v>332</v>
      </c>
      <c r="B39" s="9" t="s">
        <v>17</v>
      </c>
      <c r="C39" s="9" t="s">
        <v>18</v>
      </c>
      <c r="D39" s="9" t="s">
        <v>19</v>
      </c>
      <c r="E39" s="9" t="s">
        <v>42</v>
      </c>
      <c r="F39" s="9" t="s">
        <v>333</v>
      </c>
      <c r="G39" s="9" t="s">
        <v>26</v>
      </c>
      <c r="H39" s="10">
        <v>746816.26</v>
      </c>
      <c r="I39" s="10">
        <v>47382.76</v>
      </c>
      <c r="J39" s="10">
        <v>75988.100000000006</v>
      </c>
      <c r="K39" s="9">
        <v>0</v>
      </c>
      <c r="L39" s="9">
        <v>0</v>
      </c>
      <c r="M39" s="9">
        <v>0</v>
      </c>
      <c r="N39" s="9">
        <v>0</v>
      </c>
      <c r="O39" s="10">
        <v>3933.93</v>
      </c>
      <c r="P39" s="9">
        <v>0</v>
      </c>
      <c r="Q39" s="9">
        <v>0</v>
      </c>
      <c r="R39" s="11">
        <f t="shared" si="0"/>
        <v>874121.05</v>
      </c>
    </row>
    <row r="40" spans="1:18" ht="12.75" x14ac:dyDescent="0.2">
      <c r="A40" s="9" t="s">
        <v>332</v>
      </c>
      <c r="B40" s="9" t="s">
        <v>17</v>
      </c>
      <c r="C40" s="9" t="s">
        <v>18</v>
      </c>
      <c r="D40" s="9" t="s">
        <v>19</v>
      </c>
      <c r="E40" s="9" t="s">
        <v>42</v>
      </c>
      <c r="F40" s="9" t="s">
        <v>333</v>
      </c>
      <c r="G40" s="9" t="s">
        <v>27</v>
      </c>
      <c r="H40" s="10">
        <v>1281898.1000000001</v>
      </c>
      <c r="I40" s="10">
        <v>271831.02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10">
        <v>29412.240000000002</v>
      </c>
      <c r="R40" s="11">
        <f t="shared" si="0"/>
        <v>1583141.36</v>
      </c>
    </row>
    <row r="41" spans="1:18" ht="12.75" x14ac:dyDescent="0.2">
      <c r="A41" s="9" t="s">
        <v>332</v>
      </c>
      <c r="B41" s="9" t="s">
        <v>17</v>
      </c>
      <c r="C41" s="9" t="s">
        <v>18</v>
      </c>
      <c r="D41" s="9" t="s">
        <v>19</v>
      </c>
      <c r="E41" s="9" t="s">
        <v>42</v>
      </c>
      <c r="F41" s="9" t="s">
        <v>333</v>
      </c>
      <c r="G41" s="9" t="s">
        <v>43</v>
      </c>
      <c r="H41" s="10">
        <v>729397.27</v>
      </c>
      <c r="I41" s="10">
        <v>1220873.73</v>
      </c>
      <c r="J41" s="10">
        <v>2465816.06</v>
      </c>
      <c r="K41" s="9">
        <v>0</v>
      </c>
      <c r="L41" s="9">
        <v>0</v>
      </c>
      <c r="M41" s="9">
        <v>0</v>
      </c>
      <c r="N41" s="9">
        <v>0</v>
      </c>
      <c r="O41" s="10">
        <v>47855.4</v>
      </c>
      <c r="P41" s="9">
        <v>0</v>
      </c>
      <c r="Q41" s="9">
        <v>0</v>
      </c>
      <c r="R41" s="11">
        <f t="shared" si="0"/>
        <v>4463942.4600000009</v>
      </c>
    </row>
    <row r="42" spans="1:18" ht="12.75" x14ac:dyDescent="0.2">
      <c r="A42" s="9" t="s">
        <v>332</v>
      </c>
      <c r="B42" s="9" t="s">
        <v>17</v>
      </c>
      <c r="C42" s="9" t="s">
        <v>18</v>
      </c>
      <c r="D42" s="9" t="s">
        <v>19</v>
      </c>
      <c r="E42" s="9" t="s">
        <v>44</v>
      </c>
      <c r="F42" s="9" t="s">
        <v>333</v>
      </c>
      <c r="G42" s="9" t="s">
        <v>21</v>
      </c>
      <c r="H42" s="10">
        <v>485141.23</v>
      </c>
      <c r="I42" s="10">
        <v>4727.18</v>
      </c>
      <c r="J42" s="10">
        <v>16142.08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11">
        <f t="shared" si="0"/>
        <v>506010.49</v>
      </c>
    </row>
    <row r="43" spans="1:18" ht="12.75" x14ac:dyDescent="0.2">
      <c r="A43" s="9" t="s">
        <v>332</v>
      </c>
      <c r="B43" s="9" t="s">
        <v>17</v>
      </c>
      <c r="C43" s="9" t="s">
        <v>18</v>
      </c>
      <c r="D43" s="9" t="s">
        <v>19</v>
      </c>
      <c r="E43" s="9" t="s">
        <v>44</v>
      </c>
      <c r="F43" s="9" t="s">
        <v>333</v>
      </c>
      <c r="G43" s="9" t="s">
        <v>24</v>
      </c>
      <c r="H43" s="10">
        <v>6899030.9900000002</v>
      </c>
      <c r="I43" s="10">
        <v>188497.74</v>
      </c>
      <c r="J43" s="10">
        <v>501823.44</v>
      </c>
      <c r="K43" s="10">
        <v>4522.2299999999996</v>
      </c>
      <c r="L43" s="10">
        <v>66027.199999999997</v>
      </c>
      <c r="M43" s="10">
        <v>74688.600000000006</v>
      </c>
      <c r="N43" s="9">
        <v>0</v>
      </c>
      <c r="O43" s="10">
        <v>151267.99</v>
      </c>
      <c r="P43" s="10">
        <v>76139.679999999993</v>
      </c>
      <c r="Q43" s="9">
        <v>0</v>
      </c>
      <c r="R43" s="11">
        <f t="shared" si="0"/>
        <v>7961997.870000001</v>
      </c>
    </row>
    <row r="44" spans="1:18" ht="12.75" x14ac:dyDescent="0.2">
      <c r="A44" s="9" t="s">
        <v>332</v>
      </c>
      <c r="B44" s="9" t="s">
        <v>17</v>
      </c>
      <c r="C44" s="9" t="s">
        <v>18</v>
      </c>
      <c r="D44" s="9" t="s">
        <v>19</v>
      </c>
      <c r="E44" s="9" t="s">
        <v>44</v>
      </c>
      <c r="F44" s="9" t="s">
        <v>333</v>
      </c>
      <c r="G44" s="9" t="s">
        <v>22</v>
      </c>
      <c r="H44" s="9" t="s">
        <v>29</v>
      </c>
      <c r="I44" s="9">
        <v>0</v>
      </c>
      <c r="J44" s="9">
        <v>0</v>
      </c>
      <c r="K44" s="10">
        <v>3719942.97</v>
      </c>
      <c r="L44" s="9">
        <v>0</v>
      </c>
      <c r="M44" s="10">
        <v>331843.84999999998</v>
      </c>
      <c r="N44" s="10">
        <v>60528.9</v>
      </c>
      <c r="O44" s="10">
        <v>604097.34</v>
      </c>
      <c r="P44" s="10">
        <v>111482.44</v>
      </c>
      <c r="Q44" s="10">
        <v>633046.01</v>
      </c>
      <c r="R44" s="12">
        <f t="shared" si="0"/>
        <v>5460941.5100000007</v>
      </c>
    </row>
    <row r="45" spans="1:18" ht="12.75" x14ac:dyDescent="0.2">
      <c r="A45" s="9" t="s">
        <v>332</v>
      </c>
      <c r="B45" s="9" t="s">
        <v>17</v>
      </c>
      <c r="C45" s="9" t="s">
        <v>18</v>
      </c>
      <c r="D45" s="9" t="s">
        <v>19</v>
      </c>
      <c r="E45" s="9" t="s">
        <v>44</v>
      </c>
      <c r="F45" s="9" t="s">
        <v>333</v>
      </c>
      <c r="G45" s="9" t="s">
        <v>25</v>
      </c>
      <c r="H45" s="9" t="s">
        <v>29</v>
      </c>
      <c r="I45" s="9">
        <v>0</v>
      </c>
      <c r="J45" s="9">
        <v>0</v>
      </c>
      <c r="K45" s="10">
        <v>51895.69</v>
      </c>
      <c r="L45" s="9">
        <v>0</v>
      </c>
      <c r="M45" s="10">
        <v>49076.4</v>
      </c>
      <c r="N45" s="10">
        <v>31271.52</v>
      </c>
      <c r="O45" s="9">
        <v>0</v>
      </c>
      <c r="P45" s="9">
        <v>0</v>
      </c>
      <c r="Q45" s="9">
        <v>0</v>
      </c>
      <c r="R45" s="12">
        <f t="shared" si="0"/>
        <v>132243.60999999999</v>
      </c>
    </row>
    <row r="46" spans="1:18" ht="12.75" x14ac:dyDescent="0.2">
      <c r="A46" s="9" t="s">
        <v>332</v>
      </c>
      <c r="B46" s="9" t="s">
        <v>17</v>
      </c>
      <c r="C46" s="9" t="s">
        <v>18</v>
      </c>
      <c r="D46" s="9" t="s">
        <v>19</v>
      </c>
      <c r="E46" s="9" t="s">
        <v>44</v>
      </c>
      <c r="F46" s="9" t="s">
        <v>333</v>
      </c>
      <c r="G46" s="9" t="s">
        <v>26</v>
      </c>
      <c r="H46" s="10">
        <v>125971.5</v>
      </c>
      <c r="I46" s="10">
        <v>7992.43</v>
      </c>
      <c r="J46" s="10">
        <v>12646.13</v>
      </c>
      <c r="K46" s="9">
        <v>0</v>
      </c>
      <c r="L46" s="10">
        <v>7387.71</v>
      </c>
      <c r="M46" s="9">
        <v>0</v>
      </c>
      <c r="N46" s="9">
        <v>222.28</v>
      </c>
      <c r="O46" s="9">
        <v>0</v>
      </c>
      <c r="P46" s="9">
        <v>0</v>
      </c>
      <c r="Q46" s="9">
        <v>0</v>
      </c>
      <c r="R46" s="11">
        <f t="shared" si="0"/>
        <v>154220.04999999999</v>
      </c>
    </row>
    <row r="47" spans="1:18" ht="12.75" x14ac:dyDescent="0.2">
      <c r="A47" s="9" t="s">
        <v>332</v>
      </c>
      <c r="B47" s="9" t="s">
        <v>17</v>
      </c>
      <c r="C47" s="9" t="s">
        <v>18</v>
      </c>
      <c r="D47" s="9" t="s">
        <v>19</v>
      </c>
      <c r="E47" s="9" t="s">
        <v>44</v>
      </c>
      <c r="F47" s="9" t="s">
        <v>333</v>
      </c>
      <c r="G47" s="9" t="s">
        <v>27</v>
      </c>
      <c r="H47" s="10">
        <v>1025518.48</v>
      </c>
      <c r="I47" s="10">
        <v>217464.81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11">
        <f t="shared" si="0"/>
        <v>1242983.29</v>
      </c>
    </row>
    <row r="48" spans="1:18" ht="12.75" x14ac:dyDescent="0.2">
      <c r="A48" s="9" t="s">
        <v>332</v>
      </c>
      <c r="B48" s="9" t="s">
        <v>17</v>
      </c>
      <c r="C48" s="9" t="s">
        <v>18</v>
      </c>
      <c r="D48" s="9" t="s">
        <v>45</v>
      </c>
      <c r="E48" s="9" t="s">
        <v>46</v>
      </c>
      <c r="F48" s="9" t="s">
        <v>333</v>
      </c>
      <c r="G48" s="9" t="s">
        <v>24</v>
      </c>
      <c r="H48" s="10">
        <v>163826.57999999999</v>
      </c>
      <c r="I48" s="10">
        <v>4476.13</v>
      </c>
      <c r="J48" s="10">
        <v>6273.58</v>
      </c>
      <c r="K48" s="10">
        <v>12281.12</v>
      </c>
      <c r="L48" s="10">
        <v>18729.75</v>
      </c>
      <c r="M48" s="10">
        <v>74019.899999999994</v>
      </c>
      <c r="N48" s="10">
        <v>11420.19</v>
      </c>
      <c r="O48" s="10">
        <v>24799.200000000001</v>
      </c>
      <c r="P48" s="10">
        <v>259281.49</v>
      </c>
      <c r="Q48" s="10">
        <v>364232.5</v>
      </c>
      <c r="R48" s="11">
        <f t="shared" si="0"/>
        <v>939340.44</v>
      </c>
    </row>
    <row r="49" spans="1:18" ht="12.75" x14ac:dyDescent="0.2">
      <c r="A49" s="9" t="s">
        <v>332</v>
      </c>
      <c r="B49" s="9" t="s">
        <v>17</v>
      </c>
      <c r="C49" s="9" t="s">
        <v>18</v>
      </c>
      <c r="D49" s="9" t="s">
        <v>45</v>
      </c>
      <c r="E49" s="9" t="s">
        <v>46</v>
      </c>
      <c r="F49" s="9" t="s">
        <v>333</v>
      </c>
      <c r="G49" s="9" t="s">
        <v>24</v>
      </c>
      <c r="H49" s="9" t="s">
        <v>29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10">
        <v>26856.52</v>
      </c>
      <c r="Q49" s="9">
        <v>0</v>
      </c>
      <c r="R49" s="12">
        <f t="shared" si="0"/>
        <v>26856.52</v>
      </c>
    </row>
    <row r="50" spans="1:18" ht="12.75" x14ac:dyDescent="0.2">
      <c r="A50" s="9" t="s">
        <v>332</v>
      </c>
      <c r="B50" s="9" t="s">
        <v>17</v>
      </c>
      <c r="C50" s="9" t="s">
        <v>18</v>
      </c>
      <c r="D50" s="9" t="s">
        <v>45</v>
      </c>
      <c r="E50" s="9" t="s">
        <v>46</v>
      </c>
      <c r="F50" s="9" t="s">
        <v>333</v>
      </c>
      <c r="G50" s="9" t="s">
        <v>25</v>
      </c>
      <c r="H50" s="10">
        <v>2658862.2799999998</v>
      </c>
      <c r="I50" s="10">
        <v>14303226.27</v>
      </c>
      <c r="J50" s="10">
        <v>14035132.4</v>
      </c>
      <c r="K50" s="10">
        <v>2827500.07</v>
      </c>
      <c r="L50" s="10">
        <v>2784991.37</v>
      </c>
      <c r="M50" s="10">
        <v>4085120.52</v>
      </c>
      <c r="N50" s="10">
        <v>4355464.0999999996</v>
      </c>
      <c r="O50" s="10">
        <v>7087876.2199999997</v>
      </c>
      <c r="P50" s="10">
        <v>5933229.4900000002</v>
      </c>
      <c r="Q50" s="10">
        <v>3220783.51</v>
      </c>
      <c r="R50" s="11">
        <f t="shared" si="0"/>
        <v>61292186.230000004</v>
      </c>
    </row>
    <row r="51" spans="1:18" ht="12.75" x14ac:dyDescent="0.2">
      <c r="A51" s="9" t="s">
        <v>332</v>
      </c>
      <c r="B51" s="9" t="s">
        <v>17</v>
      </c>
      <c r="C51" s="9" t="s">
        <v>18</v>
      </c>
      <c r="D51" s="9" t="s">
        <v>45</v>
      </c>
      <c r="E51" s="9" t="s">
        <v>46</v>
      </c>
      <c r="F51" s="9" t="s">
        <v>333</v>
      </c>
      <c r="G51" s="9" t="s">
        <v>26</v>
      </c>
      <c r="H51" s="10">
        <v>338164.72</v>
      </c>
      <c r="I51" s="10">
        <v>21455.31</v>
      </c>
      <c r="J51" s="10">
        <v>68910.3</v>
      </c>
      <c r="K51" s="10">
        <v>56408.91</v>
      </c>
      <c r="L51" s="10">
        <v>9905.2099999999991</v>
      </c>
      <c r="M51" s="10">
        <v>141061.48000000001</v>
      </c>
      <c r="N51" s="10">
        <v>80339.06</v>
      </c>
      <c r="O51" s="10">
        <v>98387.96</v>
      </c>
      <c r="P51" s="10">
        <v>18157.189999999999</v>
      </c>
      <c r="Q51" s="10">
        <v>5922.36</v>
      </c>
      <c r="R51" s="11">
        <f t="shared" si="0"/>
        <v>838712.49999999988</v>
      </c>
    </row>
    <row r="52" spans="1:18" ht="12.75" x14ac:dyDescent="0.2">
      <c r="A52" s="9" t="s">
        <v>332</v>
      </c>
      <c r="B52" s="9" t="s">
        <v>17</v>
      </c>
      <c r="C52" s="9" t="s">
        <v>18</v>
      </c>
      <c r="D52" s="9" t="s">
        <v>45</v>
      </c>
      <c r="E52" s="9" t="s">
        <v>46</v>
      </c>
      <c r="F52" s="9" t="s">
        <v>333</v>
      </c>
      <c r="G52" s="9" t="s">
        <v>27</v>
      </c>
      <c r="H52" s="10">
        <v>1794657.33</v>
      </c>
      <c r="I52" s="10">
        <v>380563.42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11">
        <f t="shared" si="0"/>
        <v>2175220.75</v>
      </c>
    </row>
    <row r="53" spans="1:18" ht="12.75" x14ac:dyDescent="0.2">
      <c r="A53" s="9" t="s">
        <v>332</v>
      </c>
      <c r="B53" s="9" t="s">
        <v>17</v>
      </c>
      <c r="C53" s="9" t="s">
        <v>18</v>
      </c>
      <c r="D53" s="9" t="s">
        <v>45</v>
      </c>
      <c r="E53" s="9" t="s">
        <v>46</v>
      </c>
      <c r="F53" s="9" t="s">
        <v>333</v>
      </c>
      <c r="G53" s="9" t="s">
        <v>28</v>
      </c>
      <c r="H53" s="9" t="s">
        <v>29</v>
      </c>
      <c r="I53" s="9">
        <v>0</v>
      </c>
      <c r="J53" s="10">
        <v>92347.7</v>
      </c>
      <c r="K53" s="10">
        <v>25359.3</v>
      </c>
      <c r="L53" s="10">
        <v>49337.69</v>
      </c>
      <c r="M53" s="9">
        <v>0</v>
      </c>
      <c r="N53" s="9">
        <v>0</v>
      </c>
      <c r="O53" s="9">
        <v>0</v>
      </c>
      <c r="P53" s="10">
        <v>222109.85</v>
      </c>
      <c r="Q53" s="9">
        <v>0</v>
      </c>
      <c r="R53" s="12">
        <f t="shared" si="0"/>
        <v>389154.54000000004</v>
      </c>
    </row>
    <row r="54" spans="1:18" ht="12.75" x14ac:dyDescent="0.2">
      <c r="A54" s="9" t="s">
        <v>332</v>
      </c>
      <c r="B54" s="9" t="s">
        <v>17</v>
      </c>
      <c r="C54" s="9" t="s">
        <v>18</v>
      </c>
      <c r="D54" s="9" t="s">
        <v>45</v>
      </c>
      <c r="E54" s="9" t="s">
        <v>46</v>
      </c>
      <c r="F54" s="9" t="s">
        <v>333</v>
      </c>
      <c r="G54" s="9" t="s">
        <v>47</v>
      </c>
      <c r="H54" s="10">
        <v>15853490.130000001</v>
      </c>
      <c r="I54" s="10">
        <v>11235033.109999999</v>
      </c>
      <c r="J54" s="10">
        <v>17630917.960000001</v>
      </c>
      <c r="K54" s="10">
        <v>16165892.109999999</v>
      </c>
      <c r="L54" s="10">
        <v>18764874.050000001</v>
      </c>
      <c r="M54" s="10">
        <v>16970075.190000001</v>
      </c>
      <c r="N54" s="10">
        <v>17633951.16</v>
      </c>
      <c r="O54" s="10">
        <v>16897161.870000001</v>
      </c>
      <c r="P54" s="10">
        <v>23290669.379999999</v>
      </c>
      <c r="Q54" s="10">
        <v>24051993.239999998</v>
      </c>
      <c r="R54" s="11">
        <f t="shared" si="0"/>
        <v>178494058.20000002</v>
      </c>
    </row>
    <row r="55" spans="1:18" ht="12.75" x14ac:dyDescent="0.2">
      <c r="A55" s="9" t="s">
        <v>332</v>
      </c>
      <c r="B55" s="9" t="s">
        <v>17</v>
      </c>
      <c r="C55" s="9" t="s">
        <v>18</v>
      </c>
      <c r="D55" s="9" t="s">
        <v>45</v>
      </c>
      <c r="E55" s="9" t="s">
        <v>46</v>
      </c>
      <c r="F55" s="9" t="s">
        <v>333</v>
      </c>
      <c r="G55" s="9" t="s">
        <v>43</v>
      </c>
      <c r="H55" s="9" t="s">
        <v>29</v>
      </c>
      <c r="I55" s="9">
        <v>0</v>
      </c>
      <c r="J55" s="10">
        <v>22669063.539999999</v>
      </c>
      <c r="K55" s="10">
        <v>34013239.390000001</v>
      </c>
      <c r="L55" s="10">
        <v>19902620.23</v>
      </c>
      <c r="M55" s="10">
        <v>19054778.57</v>
      </c>
      <c r="N55" s="10">
        <v>17626185.91</v>
      </c>
      <c r="O55" s="10">
        <v>19556505.940000001</v>
      </c>
      <c r="P55" s="10">
        <v>11856794.1</v>
      </c>
      <c r="Q55" s="10">
        <v>23479882.350000001</v>
      </c>
      <c r="R55" s="12">
        <f t="shared" si="0"/>
        <v>168159070.02999997</v>
      </c>
    </row>
    <row r="56" spans="1:18" ht="12.75" x14ac:dyDescent="0.2">
      <c r="A56" s="9" t="s">
        <v>332</v>
      </c>
      <c r="B56" s="9" t="s">
        <v>17</v>
      </c>
      <c r="C56" s="9" t="s">
        <v>18</v>
      </c>
      <c r="D56" s="9" t="s">
        <v>45</v>
      </c>
      <c r="E56" s="9" t="s">
        <v>46</v>
      </c>
      <c r="F56" s="9" t="s">
        <v>333</v>
      </c>
      <c r="G56" s="9" t="s">
        <v>48</v>
      </c>
      <c r="H56" s="10">
        <v>3780887.56</v>
      </c>
      <c r="I56" s="10">
        <v>5504567.2400000002</v>
      </c>
      <c r="J56" s="10">
        <v>6887825.96</v>
      </c>
      <c r="K56" s="10">
        <v>6960742.0099999998</v>
      </c>
      <c r="L56" s="10">
        <v>7535439.79</v>
      </c>
      <c r="M56" s="10">
        <v>7618950.5800000001</v>
      </c>
      <c r="N56" s="10">
        <v>7899638.3899999997</v>
      </c>
      <c r="O56" s="10">
        <v>7774487.6600000001</v>
      </c>
      <c r="P56" s="10">
        <v>13039756.66</v>
      </c>
      <c r="Q56" s="10">
        <v>7761453.0800000001</v>
      </c>
      <c r="R56" s="11">
        <f t="shared" si="0"/>
        <v>74763748.929999992</v>
      </c>
    </row>
    <row r="57" spans="1:18" ht="12.75" x14ac:dyDescent="0.2">
      <c r="A57" s="9" t="s">
        <v>332</v>
      </c>
      <c r="B57" s="9" t="s">
        <v>17</v>
      </c>
      <c r="C57" s="9" t="s">
        <v>18</v>
      </c>
      <c r="D57" s="9" t="s">
        <v>45</v>
      </c>
      <c r="E57" s="9" t="s">
        <v>46</v>
      </c>
      <c r="F57" s="9" t="s">
        <v>333</v>
      </c>
      <c r="G57" s="9" t="s">
        <v>49</v>
      </c>
      <c r="H57" s="10">
        <v>11821162.98</v>
      </c>
      <c r="I57" s="10">
        <v>19015258.75</v>
      </c>
      <c r="J57" s="10">
        <v>22011167.77</v>
      </c>
      <c r="K57" s="10">
        <v>12604399.42</v>
      </c>
      <c r="L57" s="10">
        <v>21015382.550000001</v>
      </c>
      <c r="M57" s="10">
        <v>13453960.65</v>
      </c>
      <c r="N57" s="10">
        <v>21780639.68</v>
      </c>
      <c r="O57" s="10">
        <v>14310339.310000001</v>
      </c>
      <c r="P57" s="10">
        <v>22567125.969999999</v>
      </c>
      <c r="Q57" s="10">
        <v>11781338.77</v>
      </c>
      <c r="R57" s="11">
        <f t="shared" si="0"/>
        <v>170360775.85000002</v>
      </c>
    </row>
    <row r="58" spans="1:18" ht="12.75" x14ac:dyDescent="0.2">
      <c r="A58" s="9" t="s">
        <v>332</v>
      </c>
      <c r="B58" s="9" t="s">
        <v>17</v>
      </c>
      <c r="C58" s="9" t="s">
        <v>18</v>
      </c>
      <c r="D58" s="9" t="s">
        <v>50</v>
      </c>
      <c r="E58" s="9" t="s">
        <v>51</v>
      </c>
      <c r="F58" s="9" t="s">
        <v>333</v>
      </c>
      <c r="G58" s="9" t="s">
        <v>24</v>
      </c>
      <c r="H58" s="9" t="s">
        <v>29</v>
      </c>
      <c r="I58" s="9">
        <v>0</v>
      </c>
      <c r="J58" s="9">
        <v>743.54</v>
      </c>
      <c r="K58" s="10">
        <v>9789.5300000000007</v>
      </c>
      <c r="L58" s="10">
        <v>7811.16</v>
      </c>
      <c r="M58" s="9">
        <v>0</v>
      </c>
      <c r="N58" s="9">
        <v>0</v>
      </c>
      <c r="O58" s="10">
        <v>8417.09</v>
      </c>
      <c r="P58" s="9">
        <v>0</v>
      </c>
      <c r="Q58" s="10">
        <v>10975.18</v>
      </c>
      <c r="R58" s="12">
        <f t="shared" si="0"/>
        <v>37736.5</v>
      </c>
    </row>
    <row r="59" spans="1:18" ht="12.75" x14ac:dyDescent="0.2">
      <c r="A59" s="9" t="s">
        <v>332</v>
      </c>
      <c r="B59" s="9" t="s">
        <v>17</v>
      </c>
      <c r="C59" s="9" t="s">
        <v>18</v>
      </c>
      <c r="D59" s="9" t="s">
        <v>50</v>
      </c>
      <c r="E59" s="9" t="s">
        <v>51</v>
      </c>
      <c r="F59" s="9" t="s">
        <v>333</v>
      </c>
      <c r="G59" s="9" t="s">
        <v>24</v>
      </c>
      <c r="H59" s="9" t="s">
        <v>29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10">
        <v>36547.599999999999</v>
      </c>
      <c r="R59" s="12">
        <f t="shared" si="0"/>
        <v>36547.599999999999</v>
      </c>
    </row>
    <row r="60" spans="1:18" ht="12.75" x14ac:dyDescent="0.2">
      <c r="A60" s="9" t="s">
        <v>332</v>
      </c>
      <c r="B60" s="9" t="s">
        <v>17</v>
      </c>
      <c r="C60" s="9" t="s">
        <v>36</v>
      </c>
      <c r="D60" s="9" t="s">
        <v>50</v>
      </c>
      <c r="E60" s="9" t="s">
        <v>51</v>
      </c>
      <c r="F60" s="9" t="s">
        <v>333</v>
      </c>
      <c r="G60" s="9" t="s">
        <v>37</v>
      </c>
      <c r="H60" s="10">
        <v>483155.08</v>
      </c>
      <c r="I60" s="10">
        <v>342378.05</v>
      </c>
      <c r="J60" s="10">
        <v>619602.72</v>
      </c>
      <c r="K60" s="10">
        <v>2227834.89</v>
      </c>
      <c r="L60" s="9">
        <v>0</v>
      </c>
      <c r="M60" s="10">
        <v>1342434.98</v>
      </c>
      <c r="N60" s="10">
        <v>1212401.73</v>
      </c>
      <c r="O60" s="10">
        <v>1156050.92</v>
      </c>
      <c r="P60" s="10">
        <v>1174574.26</v>
      </c>
      <c r="Q60" s="10">
        <v>1167183.43</v>
      </c>
      <c r="R60" s="11">
        <f t="shared" si="0"/>
        <v>9725616.0600000005</v>
      </c>
    </row>
    <row r="61" spans="1:18" ht="12.75" x14ac:dyDescent="0.2">
      <c r="A61" s="9" t="s">
        <v>332</v>
      </c>
      <c r="B61" s="9" t="s">
        <v>17</v>
      </c>
      <c r="C61" s="9" t="s">
        <v>18</v>
      </c>
      <c r="D61" s="9" t="s">
        <v>50</v>
      </c>
      <c r="E61" s="9" t="s">
        <v>51</v>
      </c>
      <c r="F61" s="9" t="s">
        <v>333</v>
      </c>
      <c r="G61" s="9" t="s">
        <v>26</v>
      </c>
      <c r="H61" s="9" t="s">
        <v>29</v>
      </c>
      <c r="I61" s="9">
        <v>0</v>
      </c>
      <c r="J61" s="10">
        <v>1471.01</v>
      </c>
      <c r="K61" s="9">
        <v>252.73</v>
      </c>
      <c r="L61" s="9">
        <v>191.51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12">
        <f t="shared" si="0"/>
        <v>1915.25</v>
      </c>
    </row>
    <row r="62" spans="1:18" ht="12.75" x14ac:dyDescent="0.2">
      <c r="A62" s="9" t="s">
        <v>332</v>
      </c>
      <c r="B62" s="9" t="s">
        <v>17</v>
      </c>
      <c r="C62" s="9" t="s">
        <v>18</v>
      </c>
      <c r="D62" s="9" t="s">
        <v>52</v>
      </c>
      <c r="E62" s="9" t="s">
        <v>53</v>
      </c>
      <c r="F62" s="9" t="s">
        <v>334</v>
      </c>
      <c r="G62" s="9" t="s">
        <v>21</v>
      </c>
      <c r="H62" s="10">
        <v>194056.49</v>
      </c>
      <c r="I62" s="10">
        <v>1890.87</v>
      </c>
      <c r="J62" s="10">
        <v>6456.83</v>
      </c>
      <c r="K62" s="10">
        <v>4283.7700000000004</v>
      </c>
      <c r="L62" s="10">
        <v>3662.31</v>
      </c>
      <c r="M62" s="10">
        <v>4569.17</v>
      </c>
      <c r="N62" s="10">
        <v>4644.8900000000003</v>
      </c>
      <c r="O62" s="10">
        <v>4755.47</v>
      </c>
      <c r="P62" s="10">
        <v>4193.8500000000004</v>
      </c>
      <c r="Q62" s="10">
        <v>4648.22</v>
      </c>
      <c r="R62" s="11">
        <f t="shared" si="0"/>
        <v>233161.87</v>
      </c>
    </row>
    <row r="63" spans="1:18" ht="12.75" x14ac:dyDescent="0.2">
      <c r="A63" s="9" t="s">
        <v>332</v>
      </c>
      <c r="B63" s="9" t="s">
        <v>17</v>
      </c>
      <c r="C63" s="9" t="s">
        <v>36</v>
      </c>
      <c r="D63" s="9" t="s">
        <v>52</v>
      </c>
      <c r="E63" s="9" t="s">
        <v>53</v>
      </c>
      <c r="F63" s="9" t="s">
        <v>334</v>
      </c>
      <c r="G63" s="9" t="s">
        <v>37</v>
      </c>
      <c r="H63" s="10">
        <v>533780.28</v>
      </c>
      <c r="I63" s="10">
        <v>378252.57</v>
      </c>
      <c r="J63" s="10">
        <v>696803.05</v>
      </c>
      <c r="K63" s="10">
        <v>3741803.12</v>
      </c>
      <c r="L63" s="10">
        <v>492609.15</v>
      </c>
      <c r="M63" s="10">
        <v>509312.2</v>
      </c>
      <c r="N63" s="10">
        <v>3441639.55</v>
      </c>
      <c r="O63" s="10">
        <v>425108.44</v>
      </c>
      <c r="P63" s="10">
        <v>11316566.359999999</v>
      </c>
      <c r="Q63" s="10">
        <v>419778.73</v>
      </c>
      <c r="R63" s="11">
        <f t="shared" si="0"/>
        <v>21955653.449999999</v>
      </c>
    </row>
    <row r="64" spans="1:18" ht="12.75" x14ac:dyDescent="0.2">
      <c r="A64" s="9" t="s">
        <v>332</v>
      </c>
      <c r="B64" s="9" t="s">
        <v>17</v>
      </c>
      <c r="C64" s="9" t="s">
        <v>18</v>
      </c>
      <c r="D64" s="9" t="s">
        <v>52</v>
      </c>
      <c r="E64" s="9" t="s">
        <v>53</v>
      </c>
      <c r="F64" s="9" t="s">
        <v>334</v>
      </c>
      <c r="G64" s="9" t="s">
        <v>27</v>
      </c>
      <c r="H64" s="10">
        <v>1129408.79</v>
      </c>
      <c r="I64" s="10">
        <v>239495.12</v>
      </c>
      <c r="J64" s="10">
        <v>535833.96</v>
      </c>
      <c r="K64" s="10">
        <v>356481.42</v>
      </c>
      <c r="L64" s="10">
        <v>354686.06</v>
      </c>
      <c r="M64" s="10">
        <v>516518.08</v>
      </c>
      <c r="N64" s="10">
        <v>519102.83</v>
      </c>
      <c r="O64" s="10">
        <v>427340.92</v>
      </c>
      <c r="P64" s="10">
        <v>384168.8</v>
      </c>
      <c r="Q64" s="10">
        <v>429815.77</v>
      </c>
      <c r="R64" s="11">
        <f t="shared" si="0"/>
        <v>4892851.75</v>
      </c>
    </row>
    <row r="65" spans="1:18" ht="12.75" x14ac:dyDescent="0.2">
      <c r="A65" s="9" t="s">
        <v>332</v>
      </c>
      <c r="B65" s="9" t="s">
        <v>17</v>
      </c>
      <c r="C65" s="9" t="s">
        <v>18</v>
      </c>
      <c r="D65" s="9" t="s">
        <v>52</v>
      </c>
      <c r="E65" s="9" t="s">
        <v>54</v>
      </c>
      <c r="F65" s="9" t="s">
        <v>334</v>
      </c>
      <c r="G65" s="9" t="s">
        <v>21</v>
      </c>
      <c r="H65" s="10">
        <v>388112.99</v>
      </c>
      <c r="I65" s="10">
        <v>3781.74</v>
      </c>
      <c r="J65" s="10">
        <v>12913.66</v>
      </c>
      <c r="K65" s="10">
        <v>8567.5400000000009</v>
      </c>
      <c r="L65" s="10">
        <v>7324.62</v>
      </c>
      <c r="M65" s="10">
        <v>9138.34</v>
      </c>
      <c r="N65" s="10">
        <v>9289.7800000000007</v>
      </c>
      <c r="O65" s="10">
        <v>9510.94</v>
      </c>
      <c r="P65" s="10">
        <v>8387.69</v>
      </c>
      <c r="Q65" s="10">
        <v>9296.44</v>
      </c>
      <c r="R65" s="11">
        <f t="shared" si="0"/>
        <v>466323.74</v>
      </c>
    </row>
    <row r="66" spans="1:18" ht="12.75" x14ac:dyDescent="0.2">
      <c r="A66" s="9" t="s">
        <v>332</v>
      </c>
      <c r="B66" s="9" t="s">
        <v>17</v>
      </c>
      <c r="C66" s="9" t="s">
        <v>18</v>
      </c>
      <c r="D66" s="9" t="s">
        <v>52</v>
      </c>
      <c r="E66" s="9" t="s">
        <v>54</v>
      </c>
      <c r="F66" s="9" t="s">
        <v>334</v>
      </c>
      <c r="G66" s="9" t="s">
        <v>24</v>
      </c>
      <c r="H66" s="10">
        <v>116433.9</v>
      </c>
      <c r="I66" s="10">
        <v>3181.25</v>
      </c>
      <c r="J66" s="10">
        <v>10928.99</v>
      </c>
      <c r="K66" s="10">
        <v>22860.3</v>
      </c>
      <c r="L66" s="10">
        <v>19142.98</v>
      </c>
      <c r="M66" s="10">
        <v>25885.59</v>
      </c>
      <c r="N66" s="10">
        <v>32607.11</v>
      </c>
      <c r="O66" s="10">
        <v>28236.1</v>
      </c>
      <c r="P66" s="10">
        <v>32518.22</v>
      </c>
      <c r="Q66" s="10">
        <v>53807.34</v>
      </c>
      <c r="R66" s="11">
        <f t="shared" si="0"/>
        <v>345601.78</v>
      </c>
    </row>
    <row r="67" spans="1:18" ht="12.75" x14ac:dyDescent="0.2">
      <c r="A67" s="9" t="s">
        <v>332</v>
      </c>
      <c r="B67" s="9" t="s">
        <v>17</v>
      </c>
      <c r="C67" s="9" t="s">
        <v>36</v>
      </c>
      <c r="D67" s="9" t="s">
        <v>52</v>
      </c>
      <c r="E67" s="9" t="s">
        <v>54</v>
      </c>
      <c r="F67" s="9" t="s">
        <v>334</v>
      </c>
      <c r="G67" s="9" t="s">
        <v>37</v>
      </c>
      <c r="H67" s="9" t="s">
        <v>29</v>
      </c>
      <c r="I67" s="9">
        <v>0</v>
      </c>
      <c r="J67" s="10">
        <v>439656.12</v>
      </c>
      <c r="K67" s="10">
        <v>290802.09999999998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12">
        <f t="shared" si="0"/>
        <v>730458.22</v>
      </c>
    </row>
    <row r="68" spans="1:18" ht="12.75" x14ac:dyDescent="0.2">
      <c r="A68" s="9" t="s">
        <v>332</v>
      </c>
      <c r="B68" s="9" t="s">
        <v>17</v>
      </c>
      <c r="C68" s="9" t="s">
        <v>36</v>
      </c>
      <c r="D68" s="9" t="s">
        <v>52</v>
      </c>
      <c r="E68" s="9" t="s">
        <v>54</v>
      </c>
      <c r="F68" s="9" t="s">
        <v>334</v>
      </c>
      <c r="G68" s="9" t="s">
        <v>37</v>
      </c>
      <c r="H68" s="9" t="s">
        <v>29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10">
        <v>219614.86</v>
      </c>
      <c r="R68" s="12">
        <f t="shared" si="0"/>
        <v>219614.86</v>
      </c>
    </row>
    <row r="69" spans="1:18" ht="12.75" x14ac:dyDescent="0.2">
      <c r="A69" s="9" t="s">
        <v>332</v>
      </c>
      <c r="B69" s="9" t="s">
        <v>17</v>
      </c>
      <c r="C69" s="9" t="s">
        <v>18</v>
      </c>
      <c r="D69" s="9" t="s">
        <v>52</v>
      </c>
      <c r="E69" s="9" t="s">
        <v>54</v>
      </c>
      <c r="F69" s="9" t="s">
        <v>334</v>
      </c>
      <c r="G69" s="9" t="s">
        <v>25</v>
      </c>
      <c r="H69" s="9" t="s">
        <v>29</v>
      </c>
      <c r="I69" s="9">
        <v>0</v>
      </c>
      <c r="J69" s="9">
        <v>0</v>
      </c>
      <c r="K69" s="9">
        <v>0</v>
      </c>
      <c r="L69" s="9">
        <v>0</v>
      </c>
      <c r="M69" s="10">
        <v>33477.54</v>
      </c>
      <c r="N69" s="10">
        <v>61938.54</v>
      </c>
      <c r="O69" s="9">
        <v>0</v>
      </c>
      <c r="P69" s="10">
        <v>21257.11</v>
      </c>
      <c r="Q69" s="10">
        <v>115937.76</v>
      </c>
      <c r="R69" s="12">
        <f t="shared" si="0"/>
        <v>232610.95</v>
      </c>
    </row>
    <row r="70" spans="1:18" ht="12.75" x14ac:dyDescent="0.2">
      <c r="A70" s="9" t="s">
        <v>332</v>
      </c>
      <c r="B70" s="9" t="s">
        <v>17</v>
      </c>
      <c r="C70" s="9" t="s">
        <v>18</v>
      </c>
      <c r="D70" s="9" t="s">
        <v>52</v>
      </c>
      <c r="E70" s="9" t="s">
        <v>54</v>
      </c>
      <c r="F70" s="9" t="s">
        <v>334</v>
      </c>
      <c r="G70" s="9" t="s">
        <v>26</v>
      </c>
      <c r="H70" s="10">
        <v>72771.179999999993</v>
      </c>
      <c r="I70" s="10">
        <v>4617.07</v>
      </c>
      <c r="J70" s="10">
        <v>5983.84</v>
      </c>
      <c r="K70" s="10">
        <v>1934.85</v>
      </c>
      <c r="L70" s="10">
        <v>1597.26</v>
      </c>
      <c r="M70" s="10">
        <v>2283.2199999999998</v>
      </c>
      <c r="N70" s="10">
        <v>2153.83</v>
      </c>
      <c r="O70" s="10">
        <v>2039.75</v>
      </c>
      <c r="P70" s="10">
        <v>2126.0700000000002</v>
      </c>
      <c r="Q70" s="10">
        <v>2024.35</v>
      </c>
      <c r="R70" s="11">
        <f t="shared" si="0"/>
        <v>97531.420000000013</v>
      </c>
    </row>
    <row r="71" spans="1:18" ht="12.75" x14ac:dyDescent="0.2">
      <c r="A71" s="9" t="s">
        <v>332</v>
      </c>
      <c r="B71" s="9" t="s">
        <v>17</v>
      </c>
      <c r="C71" s="9" t="s">
        <v>18</v>
      </c>
      <c r="D71" s="9" t="s">
        <v>52</v>
      </c>
      <c r="E71" s="9" t="s">
        <v>54</v>
      </c>
      <c r="F71" s="9" t="s">
        <v>334</v>
      </c>
      <c r="G71" s="9" t="s">
        <v>38</v>
      </c>
      <c r="H71" s="10">
        <v>126136.72</v>
      </c>
      <c r="I71" s="10">
        <v>240064.86</v>
      </c>
      <c r="J71" s="10">
        <v>419248.92</v>
      </c>
      <c r="K71" s="10">
        <v>360492.16</v>
      </c>
      <c r="L71" s="10">
        <v>376967</v>
      </c>
      <c r="M71" s="10">
        <v>576546.75</v>
      </c>
      <c r="N71" s="10">
        <v>325359.61</v>
      </c>
      <c r="O71" s="10">
        <v>138682.82999999999</v>
      </c>
      <c r="P71" s="10">
        <v>525148.49</v>
      </c>
      <c r="Q71" s="10">
        <v>290105.34000000003</v>
      </c>
      <c r="R71" s="11">
        <f t="shared" si="0"/>
        <v>3378752.6799999997</v>
      </c>
    </row>
    <row r="72" spans="1:18" ht="12.75" x14ac:dyDescent="0.2">
      <c r="A72" s="9" t="s">
        <v>332</v>
      </c>
      <c r="B72" s="9" t="s">
        <v>17</v>
      </c>
      <c r="C72" s="9" t="s">
        <v>18</v>
      </c>
      <c r="D72" s="9" t="s">
        <v>52</v>
      </c>
      <c r="E72" s="9" t="s">
        <v>54</v>
      </c>
      <c r="F72" s="9" t="s">
        <v>334</v>
      </c>
      <c r="G72" s="9" t="s">
        <v>27</v>
      </c>
      <c r="H72" s="10">
        <v>1273685.74</v>
      </c>
      <c r="I72" s="10">
        <v>270089.56</v>
      </c>
      <c r="J72" s="10">
        <v>239376</v>
      </c>
      <c r="K72" s="10">
        <v>159252.87</v>
      </c>
      <c r="L72" s="10">
        <v>292611.74</v>
      </c>
      <c r="M72" s="10">
        <v>230746.91</v>
      </c>
      <c r="N72" s="10">
        <v>347989.03</v>
      </c>
      <c r="O72" s="10">
        <v>586241.93000000005</v>
      </c>
      <c r="P72" s="10">
        <v>303977.32</v>
      </c>
      <c r="Q72" s="10">
        <v>192013.92</v>
      </c>
      <c r="R72" s="11">
        <f t="shared" si="0"/>
        <v>3895985.0200000005</v>
      </c>
    </row>
    <row r="73" spans="1:18" ht="12.75" x14ac:dyDescent="0.2">
      <c r="A73" s="9" t="s">
        <v>332</v>
      </c>
      <c r="B73" s="9" t="s">
        <v>17</v>
      </c>
      <c r="C73" s="9" t="s">
        <v>18</v>
      </c>
      <c r="D73" s="9" t="s">
        <v>52</v>
      </c>
      <c r="E73" s="9" t="s">
        <v>54</v>
      </c>
      <c r="F73" s="9" t="s">
        <v>334</v>
      </c>
      <c r="G73" s="9" t="s">
        <v>27</v>
      </c>
      <c r="H73" s="9" t="s">
        <v>29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10">
        <v>12017.17</v>
      </c>
      <c r="Q73" s="9">
        <v>0</v>
      </c>
      <c r="R73" s="12">
        <f t="shared" si="0"/>
        <v>12017.17</v>
      </c>
    </row>
    <row r="74" spans="1:18" ht="12.75" x14ac:dyDescent="0.2">
      <c r="A74" s="9" t="s">
        <v>332</v>
      </c>
      <c r="B74" s="9" t="s">
        <v>17</v>
      </c>
      <c r="C74" s="9" t="s">
        <v>18</v>
      </c>
      <c r="D74" s="9" t="s">
        <v>52</v>
      </c>
      <c r="E74" s="9" t="s">
        <v>54</v>
      </c>
      <c r="F74" s="9" t="s">
        <v>334</v>
      </c>
      <c r="G74" s="9" t="s">
        <v>28</v>
      </c>
      <c r="H74" s="10">
        <v>181226.98</v>
      </c>
      <c r="I74" s="10">
        <v>247859.1</v>
      </c>
      <c r="J74" s="10">
        <v>294962.81</v>
      </c>
      <c r="K74" s="10">
        <v>56406.67</v>
      </c>
      <c r="L74" s="10">
        <v>34356.080000000002</v>
      </c>
      <c r="M74" s="10">
        <v>40696.660000000003</v>
      </c>
      <c r="N74" s="10">
        <v>39533</v>
      </c>
      <c r="O74" s="10">
        <v>31052.41</v>
      </c>
      <c r="P74" s="10">
        <v>172114.47</v>
      </c>
      <c r="Q74" s="10">
        <v>23586.04</v>
      </c>
      <c r="R74" s="11">
        <f t="shared" si="0"/>
        <v>1121794.2200000002</v>
      </c>
    </row>
    <row r="75" spans="1:18" ht="12.75" x14ac:dyDescent="0.2">
      <c r="A75" s="9" t="s">
        <v>332</v>
      </c>
      <c r="B75" s="9" t="s">
        <v>17</v>
      </c>
      <c r="C75" s="9" t="s">
        <v>18</v>
      </c>
      <c r="D75" s="9" t="s">
        <v>52</v>
      </c>
      <c r="E75" s="9" t="s">
        <v>54</v>
      </c>
      <c r="F75" s="9" t="s">
        <v>334</v>
      </c>
      <c r="G75" s="9" t="s">
        <v>55</v>
      </c>
      <c r="H75" s="9" t="s">
        <v>29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10">
        <v>876113.33</v>
      </c>
      <c r="Q75" s="9">
        <v>0</v>
      </c>
      <c r="R75" s="12">
        <f t="shared" si="0"/>
        <v>876113.33</v>
      </c>
    </row>
    <row r="76" spans="1:18" ht="12.75" x14ac:dyDescent="0.2">
      <c r="A76" s="9" t="s">
        <v>332</v>
      </c>
      <c r="B76" s="9" t="s">
        <v>17</v>
      </c>
      <c r="C76" s="9" t="s">
        <v>18</v>
      </c>
      <c r="D76" s="9" t="s">
        <v>52</v>
      </c>
      <c r="E76" s="9" t="s">
        <v>56</v>
      </c>
      <c r="F76" s="9" t="s">
        <v>334</v>
      </c>
      <c r="G76" s="9" t="s">
        <v>21</v>
      </c>
      <c r="H76" s="10">
        <v>77622.600000000006</v>
      </c>
      <c r="I76" s="9">
        <v>756.35</v>
      </c>
      <c r="J76" s="10">
        <v>2582.73</v>
      </c>
      <c r="K76" s="10">
        <v>1713.51</v>
      </c>
      <c r="L76" s="10">
        <v>1464.92</v>
      </c>
      <c r="M76" s="10">
        <v>1827.67</v>
      </c>
      <c r="N76" s="10">
        <v>1857.96</v>
      </c>
      <c r="O76" s="10">
        <v>1902.19</v>
      </c>
      <c r="P76" s="10">
        <v>1677.54</v>
      </c>
      <c r="Q76" s="10">
        <v>1859.29</v>
      </c>
      <c r="R76" s="11">
        <f t="shared" si="0"/>
        <v>93264.76</v>
      </c>
    </row>
    <row r="77" spans="1:18" ht="12.75" x14ac:dyDescent="0.2">
      <c r="A77" s="9" t="s">
        <v>332</v>
      </c>
      <c r="B77" s="9" t="s">
        <v>17</v>
      </c>
      <c r="C77" s="9" t="s">
        <v>36</v>
      </c>
      <c r="D77" s="9" t="s">
        <v>52</v>
      </c>
      <c r="E77" s="9" t="s">
        <v>56</v>
      </c>
      <c r="F77" s="9" t="s">
        <v>334</v>
      </c>
      <c r="G77" s="9" t="s">
        <v>37</v>
      </c>
      <c r="H77" s="10">
        <v>365238.77</v>
      </c>
      <c r="I77" s="10">
        <v>258819.04</v>
      </c>
      <c r="J77" s="10">
        <v>361695.74</v>
      </c>
      <c r="K77" s="10">
        <v>583405.99</v>
      </c>
      <c r="L77" s="10">
        <v>2214641.12</v>
      </c>
      <c r="M77" s="10">
        <v>1350021.96</v>
      </c>
      <c r="N77" s="10">
        <v>1210043.8899999999</v>
      </c>
      <c r="O77" s="10">
        <v>1144598.1100000001</v>
      </c>
      <c r="P77" s="10">
        <v>1156773.71</v>
      </c>
      <c r="Q77" s="10">
        <v>1143054.3400000001</v>
      </c>
      <c r="R77" s="11">
        <f t="shared" si="0"/>
        <v>9788292.6699999999</v>
      </c>
    </row>
    <row r="78" spans="1:18" ht="12.75" x14ac:dyDescent="0.2">
      <c r="A78" s="9" t="s">
        <v>332</v>
      </c>
      <c r="B78" s="9" t="s">
        <v>17</v>
      </c>
      <c r="C78" s="9" t="s">
        <v>18</v>
      </c>
      <c r="D78" s="9" t="s">
        <v>52</v>
      </c>
      <c r="E78" s="9" t="s">
        <v>56</v>
      </c>
      <c r="F78" s="9" t="s">
        <v>334</v>
      </c>
      <c r="G78" s="9" t="s">
        <v>27</v>
      </c>
      <c r="H78" s="10">
        <v>1028499.41</v>
      </c>
      <c r="I78" s="10">
        <v>218096.93</v>
      </c>
      <c r="J78" s="10">
        <v>487958.76</v>
      </c>
      <c r="K78" s="10">
        <v>324630.84999999998</v>
      </c>
      <c r="L78" s="10">
        <v>322995.90000000002</v>
      </c>
      <c r="M78" s="10">
        <v>470368.7</v>
      </c>
      <c r="N78" s="10">
        <v>472722.51</v>
      </c>
      <c r="O78" s="10">
        <v>389159.25</v>
      </c>
      <c r="P78" s="10">
        <v>349844.44</v>
      </c>
      <c r="Q78" s="10">
        <v>391412.99</v>
      </c>
      <c r="R78" s="11">
        <f t="shared" si="0"/>
        <v>4455689.74</v>
      </c>
    </row>
    <row r="79" spans="1:18" ht="12.75" x14ac:dyDescent="0.2">
      <c r="A79" s="9" t="s">
        <v>332</v>
      </c>
      <c r="B79" s="9" t="s">
        <v>17</v>
      </c>
      <c r="C79" s="9" t="s">
        <v>18</v>
      </c>
      <c r="D79" s="9" t="s">
        <v>52</v>
      </c>
      <c r="E79" s="9" t="s">
        <v>56</v>
      </c>
      <c r="F79" s="9" t="s">
        <v>334</v>
      </c>
      <c r="G79" s="9" t="s">
        <v>28</v>
      </c>
      <c r="H79" s="9" t="s">
        <v>29</v>
      </c>
      <c r="I79" s="9">
        <v>0</v>
      </c>
      <c r="J79" s="9">
        <v>0</v>
      </c>
      <c r="K79" s="10">
        <v>39175.75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12">
        <f t="shared" si="0"/>
        <v>39175.75</v>
      </c>
    </row>
    <row r="80" spans="1:18" ht="12.75" x14ac:dyDescent="0.2">
      <c r="A80" s="9" t="s">
        <v>332</v>
      </c>
      <c r="B80" s="9" t="s">
        <v>17</v>
      </c>
      <c r="C80" s="9" t="s">
        <v>18</v>
      </c>
      <c r="D80" s="9" t="s">
        <v>52</v>
      </c>
      <c r="E80" s="9" t="s">
        <v>57</v>
      </c>
      <c r="F80" s="9" t="s">
        <v>334</v>
      </c>
      <c r="G80" s="9" t="s">
        <v>21</v>
      </c>
      <c r="H80" s="10">
        <v>77622.600000000006</v>
      </c>
      <c r="I80" s="9">
        <v>756.35</v>
      </c>
      <c r="J80" s="10">
        <v>2582.73</v>
      </c>
      <c r="K80" s="10">
        <v>1713.51</v>
      </c>
      <c r="L80" s="10">
        <v>1464.92</v>
      </c>
      <c r="M80" s="10">
        <v>1827.67</v>
      </c>
      <c r="N80" s="10">
        <v>1857.96</v>
      </c>
      <c r="O80" s="10">
        <v>1902.19</v>
      </c>
      <c r="P80" s="10">
        <v>1677.54</v>
      </c>
      <c r="Q80" s="10">
        <v>1859.29</v>
      </c>
      <c r="R80" s="11">
        <f t="shared" si="0"/>
        <v>93264.76</v>
      </c>
    </row>
    <row r="81" spans="1:18" ht="12.75" x14ac:dyDescent="0.2">
      <c r="A81" s="9" t="s">
        <v>332</v>
      </c>
      <c r="B81" s="9" t="s">
        <v>17</v>
      </c>
      <c r="C81" s="9" t="s">
        <v>36</v>
      </c>
      <c r="D81" s="9" t="s">
        <v>52</v>
      </c>
      <c r="E81" s="9" t="s">
        <v>57</v>
      </c>
      <c r="F81" s="9" t="s">
        <v>334</v>
      </c>
      <c r="G81" s="9" t="s">
        <v>37</v>
      </c>
      <c r="H81" s="10">
        <v>706202.98</v>
      </c>
      <c r="I81" s="10">
        <v>500436.42</v>
      </c>
      <c r="J81" s="10">
        <v>1364248.41</v>
      </c>
      <c r="K81" s="10">
        <v>2456245.1800000002</v>
      </c>
      <c r="L81" s="10">
        <v>2804371.83</v>
      </c>
      <c r="M81" s="10">
        <v>2015174.1</v>
      </c>
      <c r="N81" s="10">
        <v>1810764.95</v>
      </c>
      <c r="O81" s="10">
        <v>3421015.87</v>
      </c>
      <c r="P81" s="10">
        <v>3116679</v>
      </c>
      <c r="Q81" s="10">
        <v>7672366.9900000002</v>
      </c>
      <c r="R81" s="11">
        <f t="shared" si="0"/>
        <v>25867505.729999997</v>
      </c>
    </row>
    <row r="82" spans="1:18" ht="12.75" x14ac:dyDescent="0.2">
      <c r="A82" s="9" t="s">
        <v>332</v>
      </c>
      <c r="B82" s="9" t="s">
        <v>17</v>
      </c>
      <c r="C82" s="9" t="s">
        <v>18</v>
      </c>
      <c r="D82" s="9" t="s">
        <v>52</v>
      </c>
      <c r="E82" s="9" t="s">
        <v>57</v>
      </c>
      <c r="F82" s="9" t="s">
        <v>334</v>
      </c>
      <c r="G82" s="9" t="s">
        <v>26</v>
      </c>
      <c r="H82" s="10">
        <v>140690.96</v>
      </c>
      <c r="I82" s="10">
        <v>8926.33</v>
      </c>
      <c r="J82" s="10">
        <v>11568.75</v>
      </c>
      <c r="K82" s="10">
        <v>3740.71</v>
      </c>
      <c r="L82" s="10">
        <v>3088.04</v>
      </c>
      <c r="M82" s="10">
        <v>4414.2299999999996</v>
      </c>
      <c r="N82" s="10">
        <v>4164.07</v>
      </c>
      <c r="O82" s="10">
        <v>3943.52</v>
      </c>
      <c r="P82" s="10">
        <v>7104.35</v>
      </c>
      <c r="Q82" s="10">
        <v>3913.75</v>
      </c>
      <c r="R82" s="11">
        <f t="shared" si="0"/>
        <v>191554.71</v>
      </c>
    </row>
    <row r="83" spans="1:18" ht="12.75" x14ac:dyDescent="0.2">
      <c r="A83" s="9" t="s">
        <v>332</v>
      </c>
      <c r="B83" s="9" t="s">
        <v>17</v>
      </c>
      <c r="C83" s="9" t="s">
        <v>18</v>
      </c>
      <c r="D83" s="9" t="s">
        <v>52</v>
      </c>
      <c r="E83" s="9" t="s">
        <v>57</v>
      </c>
      <c r="F83" s="9" t="s">
        <v>334</v>
      </c>
      <c r="G83" s="9" t="s">
        <v>27</v>
      </c>
      <c r="H83" s="10">
        <v>1115824.83</v>
      </c>
      <c r="I83" s="10">
        <v>236614.59</v>
      </c>
      <c r="J83" s="10">
        <v>529389.23</v>
      </c>
      <c r="K83" s="10">
        <v>352193.85</v>
      </c>
      <c r="L83" s="10">
        <v>350420.08</v>
      </c>
      <c r="M83" s="10">
        <v>510305.66</v>
      </c>
      <c r="N83" s="10">
        <v>512859.32</v>
      </c>
      <c r="O83" s="10">
        <v>422201.08</v>
      </c>
      <c r="P83" s="10">
        <v>379548.21</v>
      </c>
      <c r="Q83" s="10">
        <v>424646.17</v>
      </c>
      <c r="R83" s="11">
        <f t="shared" si="0"/>
        <v>4834003.0200000005</v>
      </c>
    </row>
    <row r="84" spans="1:18" ht="12.75" x14ac:dyDescent="0.2">
      <c r="A84" s="9" t="s">
        <v>332</v>
      </c>
      <c r="B84" s="9" t="s">
        <v>17</v>
      </c>
      <c r="C84" s="9" t="s">
        <v>36</v>
      </c>
      <c r="D84" s="9" t="s">
        <v>52</v>
      </c>
      <c r="E84" s="9" t="s">
        <v>58</v>
      </c>
      <c r="F84" s="9" t="s">
        <v>334</v>
      </c>
      <c r="G84" s="9" t="s">
        <v>37</v>
      </c>
      <c r="H84" s="10">
        <v>1146066.8700000001</v>
      </c>
      <c r="I84" s="10">
        <v>812137.03</v>
      </c>
      <c r="J84" s="10">
        <v>1059032.02</v>
      </c>
      <c r="K84" s="10">
        <v>2877421.87</v>
      </c>
      <c r="L84" s="10">
        <v>2327633.52</v>
      </c>
      <c r="M84" s="10">
        <v>2058662.56</v>
      </c>
      <c r="N84" s="10">
        <v>5823731.0800000001</v>
      </c>
      <c r="O84" s="10">
        <v>1772841.45</v>
      </c>
      <c r="P84" s="10">
        <v>2067315.53</v>
      </c>
      <c r="Q84" s="10">
        <v>2048867.57</v>
      </c>
      <c r="R84" s="11">
        <f t="shared" si="0"/>
        <v>21993709.500000004</v>
      </c>
    </row>
    <row r="85" spans="1:18" ht="12.75" x14ac:dyDescent="0.2">
      <c r="A85" s="9" t="s">
        <v>332</v>
      </c>
      <c r="B85" s="9" t="s">
        <v>17</v>
      </c>
      <c r="C85" s="9" t="s">
        <v>18</v>
      </c>
      <c r="D85" s="9" t="s">
        <v>52</v>
      </c>
      <c r="E85" s="9" t="s">
        <v>58</v>
      </c>
      <c r="F85" s="9" t="s">
        <v>334</v>
      </c>
      <c r="G85" s="9" t="s">
        <v>28</v>
      </c>
      <c r="H85" s="9" t="s">
        <v>29</v>
      </c>
      <c r="I85" s="9">
        <v>0</v>
      </c>
      <c r="J85" s="9">
        <v>0</v>
      </c>
      <c r="K85" s="10">
        <v>19587.87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12">
        <f t="shared" si="0"/>
        <v>19587.87</v>
      </c>
    </row>
    <row r="86" spans="1:18" ht="12.75" x14ac:dyDescent="0.2">
      <c r="A86" s="9" t="s">
        <v>332</v>
      </c>
      <c r="B86" s="9" t="s">
        <v>17</v>
      </c>
      <c r="C86" s="9" t="s">
        <v>18</v>
      </c>
      <c r="D86" s="9" t="s">
        <v>52</v>
      </c>
      <c r="E86" s="9" t="s">
        <v>59</v>
      </c>
      <c r="F86" s="9" t="s">
        <v>334</v>
      </c>
      <c r="G86" s="9" t="s">
        <v>28</v>
      </c>
      <c r="H86" s="9" t="s">
        <v>29</v>
      </c>
      <c r="I86" s="9">
        <v>0</v>
      </c>
      <c r="J86" s="9">
        <v>0</v>
      </c>
      <c r="K86" s="10">
        <v>19587.87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12">
        <f t="shared" si="0"/>
        <v>19587.87</v>
      </c>
    </row>
    <row r="87" spans="1:18" ht="12.75" x14ac:dyDescent="0.2">
      <c r="A87" s="9" t="s">
        <v>332</v>
      </c>
      <c r="B87" s="9" t="s">
        <v>17</v>
      </c>
      <c r="C87" s="9" t="s">
        <v>36</v>
      </c>
      <c r="D87" s="9" t="s">
        <v>52</v>
      </c>
      <c r="E87" s="9" t="s">
        <v>60</v>
      </c>
      <c r="F87" s="9" t="s">
        <v>334</v>
      </c>
      <c r="G87" s="9" t="s">
        <v>37</v>
      </c>
      <c r="H87" s="10">
        <v>1597100.96</v>
      </c>
      <c r="I87" s="10">
        <v>1131753.19</v>
      </c>
      <c r="J87" s="10">
        <v>2098073.4700000002</v>
      </c>
      <c r="K87" s="10">
        <v>5935858.3600000003</v>
      </c>
      <c r="L87" s="10">
        <v>6632607.5</v>
      </c>
      <c r="M87" s="10">
        <v>6213328.8300000001</v>
      </c>
      <c r="N87" s="10">
        <v>6573167.8399999999</v>
      </c>
      <c r="O87" s="10">
        <v>3120851.95</v>
      </c>
      <c r="P87" s="10">
        <v>825940.17</v>
      </c>
      <c r="Q87" s="10">
        <v>1508091.14</v>
      </c>
      <c r="R87" s="11">
        <f t="shared" si="0"/>
        <v>35636773.410000004</v>
      </c>
    </row>
    <row r="88" spans="1:18" ht="12.75" x14ac:dyDescent="0.2">
      <c r="A88" s="9" t="s">
        <v>332</v>
      </c>
      <c r="B88" s="9" t="s">
        <v>17</v>
      </c>
      <c r="C88" s="9" t="s">
        <v>18</v>
      </c>
      <c r="D88" s="9" t="s">
        <v>52</v>
      </c>
      <c r="E88" s="9" t="s">
        <v>60</v>
      </c>
      <c r="F88" s="9" t="s">
        <v>334</v>
      </c>
      <c r="G88" s="9" t="s">
        <v>26</v>
      </c>
      <c r="H88" s="10">
        <v>48712.13</v>
      </c>
      <c r="I88" s="10">
        <v>3090.61</v>
      </c>
      <c r="J88" s="9">
        <v>0</v>
      </c>
      <c r="K88" s="10">
        <v>14923.5</v>
      </c>
      <c r="L88" s="9">
        <v>0</v>
      </c>
      <c r="M88" s="9">
        <v>0</v>
      </c>
      <c r="N88" s="10">
        <v>3065.89</v>
      </c>
      <c r="O88" s="10">
        <v>4705.4399999999996</v>
      </c>
      <c r="P88" s="10">
        <v>2993.95</v>
      </c>
      <c r="Q88" s="10">
        <v>1412.1</v>
      </c>
      <c r="R88" s="11">
        <f t="shared" si="0"/>
        <v>78903.62</v>
      </c>
    </row>
    <row r="89" spans="1:18" ht="12.75" x14ac:dyDescent="0.2">
      <c r="A89" s="9" t="s">
        <v>332</v>
      </c>
      <c r="B89" s="9" t="s">
        <v>17</v>
      </c>
      <c r="C89" s="9" t="s">
        <v>18</v>
      </c>
      <c r="D89" s="9" t="s">
        <v>52</v>
      </c>
      <c r="E89" s="9" t="s">
        <v>60</v>
      </c>
      <c r="F89" s="9" t="s">
        <v>334</v>
      </c>
      <c r="G89" s="9" t="s">
        <v>27</v>
      </c>
      <c r="H89" s="10">
        <v>815037.27</v>
      </c>
      <c r="I89" s="10">
        <v>172831.53</v>
      </c>
      <c r="J89" s="10">
        <v>386684.3</v>
      </c>
      <c r="K89" s="10">
        <v>257254.64</v>
      </c>
      <c r="L89" s="10">
        <v>255959.01</v>
      </c>
      <c r="M89" s="10">
        <v>372745.01</v>
      </c>
      <c r="N89" s="10">
        <v>374610.29</v>
      </c>
      <c r="O89" s="10">
        <v>308390.34999999998</v>
      </c>
      <c r="P89" s="10">
        <v>277235.21000000002</v>
      </c>
      <c r="Q89" s="10">
        <v>310176.33</v>
      </c>
      <c r="R89" s="11">
        <f t="shared" si="0"/>
        <v>3530923.9400000004</v>
      </c>
    </row>
    <row r="90" spans="1:18" ht="12.75" x14ac:dyDescent="0.2">
      <c r="A90" s="9" t="s">
        <v>332</v>
      </c>
      <c r="B90" s="9" t="s">
        <v>17</v>
      </c>
      <c r="C90" s="9" t="s">
        <v>18</v>
      </c>
      <c r="D90" s="9" t="s">
        <v>52</v>
      </c>
      <c r="E90" s="9" t="s">
        <v>61</v>
      </c>
      <c r="F90" s="9" t="s">
        <v>334</v>
      </c>
      <c r="G90" s="9" t="s">
        <v>28</v>
      </c>
      <c r="H90" s="9" t="s">
        <v>29</v>
      </c>
      <c r="I90" s="9">
        <v>0</v>
      </c>
      <c r="J90" s="9">
        <v>0</v>
      </c>
      <c r="K90" s="10">
        <v>19587.87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12">
        <f t="shared" si="0"/>
        <v>19587.87</v>
      </c>
    </row>
    <row r="91" spans="1:18" ht="12.75" x14ac:dyDescent="0.2">
      <c r="A91" s="9" t="s">
        <v>332</v>
      </c>
      <c r="B91" s="9" t="s">
        <v>17</v>
      </c>
      <c r="C91" s="9" t="s">
        <v>18</v>
      </c>
      <c r="D91" s="9" t="s">
        <v>52</v>
      </c>
      <c r="E91" s="9" t="s">
        <v>62</v>
      </c>
      <c r="F91" s="9" t="s">
        <v>334</v>
      </c>
      <c r="G91" s="9" t="s">
        <v>21</v>
      </c>
      <c r="H91" s="10">
        <v>77622.600000000006</v>
      </c>
      <c r="I91" s="9">
        <v>756.35</v>
      </c>
      <c r="J91" s="10">
        <v>2582.73</v>
      </c>
      <c r="K91" s="10">
        <v>1713.51</v>
      </c>
      <c r="L91" s="10">
        <v>1464.92</v>
      </c>
      <c r="M91" s="10">
        <v>1827.67</v>
      </c>
      <c r="N91" s="10">
        <v>1857.96</v>
      </c>
      <c r="O91" s="10">
        <v>1902.19</v>
      </c>
      <c r="P91" s="10">
        <v>1677.54</v>
      </c>
      <c r="Q91" s="10">
        <v>1859.29</v>
      </c>
      <c r="R91" s="11">
        <f t="shared" si="0"/>
        <v>93264.76</v>
      </c>
    </row>
    <row r="92" spans="1:18" ht="12.75" x14ac:dyDescent="0.2">
      <c r="A92" s="9" t="s">
        <v>332</v>
      </c>
      <c r="B92" s="9" t="s">
        <v>17</v>
      </c>
      <c r="C92" s="9" t="s">
        <v>18</v>
      </c>
      <c r="D92" s="9" t="s">
        <v>52</v>
      </c>
      <c r="E92" s="9" t="s">
        <v>62</v>
      </c>
      <c r="F92" s="9" t="s">
        <v>334</v>
      </c>
      <c r="G92" s="9" t="s">
        <v>27</v>
      </c>
      <c r="H92" s="10">
        <v>126136.72</v>
      </c>
      <c r="I92" s="10">
        <v>26747.74</v>
      </c>
      <c r="J92" s="10">
        <v>59844</v>
      </c>
      <c r="K92" s="10">
        <v>39813.22</v>
      </c>
      <c r="L92" s="10">
        <v>39612.699999999997</v>
      </c>
      <c r="M92" s="10">
        <v>57686.73</v>
      </c>
      <c r="N92" s="10">
        <v>57975.4</v>
      </c>
      <c r="O92" s="10">
        <v>47727.08</v>
      </c>
      <c r="P92" s="10">
        <v>42905.45</v>
      </c>
      <c r="Q92" s="10">
        <v>48003.48</v>
      </c>
      <c r="R92" s="11">
        <f t="shared" si="0"/>
        <v>546452.52</v>
      </c>
    </row>
    <row r="93" spans="1:18" ht="12.75" x14ac:dyDescent="0.2">
      <c r="A93" s="9" t="s">
        <v>332</v>
      </c>
      <c r="B93" s="9" t="s">
        <v>17</v>
      </c>
      <c r="C93" s="9" t="s">
        <v>36</v>
      </c>
      <c r="D93" s="9" t="s">
        <v>52</v>
      </c>
      <c r="E93" s="9" t="s">
        <v>63</v>
      </c>
      <c r="F93" s="9" t="s">
        <v>334</v>
      </c>
      <c r="G93" s="9" t="s">
        <v>37</v>
      </c>
      <c r="H93" s="10">
        <v>3350773.31</v>
      </c>
      <c r="I93" s="10">
        <v>2374457.5299999998</v>
      </c>
      <c r="J93" s="10">
        <v>4395158.5599999996</v>
      </c>
      <c r="K93" s="10">
        <v>13892201.550000001</v>
      </c>
      <c r="L93" s="10">
        <v>11884877.310000001</v>
      </c>
      <c r="M93" s="10">
        <v>11795447.810000001</v>
      </c>
      <c r="N93" s="10">
        <v>10241292.050000001</v>
      </c>
      <c r="O93" s="10">
        <v>8632747.6699999999</v>
      </c>
      <c r="P93" s="10">
        <v>8734200.4100000001</v>
      </c>
      <c r="Q93" s="10">
        <v>8718135.2100000009</v>
      </c>
      <c r="R93" s="11">
        <f t="shared" si="0"/>
        <v>84019291.409999996</v>
      </c>
    </row>
    <row r="94" spans="1:18" ht="12.75" x14ac:dyDescent="0.2">
      <c r="A94" s="9" t="s">
        <v>332</v>
      </c>
      <c r="B94" s="9" t="s">
        <v>17</v>
      </c>
      <c r="C94" s="9" t="s">
        <v>36</v>
      </c>
      <c r="D94" s="9" t="s">
        <v>52</v>
      </c>
      <c r="E94" s="9" t="s">
        <v>64</v>
      </c>
      <c r="F94" s="9" t="s">
        <v>334</v>
      </c>
      <c r="G94" s="9" t="s">
        <v>37</v>
      </c>
      <c r="H94" s="10">
        <v>3185296.28</v>
      </c>
      <c r="I94" s="10">
        <v>2257195.59</v>
      </c>
      <c r="J94" s="10">
        <v>5952515.2400000002</v>
      </c>
      <c r="K94" s="10">
        <v>14015187.810000001</v>
      </c>
      <c r="L94" s="10">
        <v>15045940.689999999</v>
      </c>
      <c r="M94" s="10">
        <v>13152613.310000001</v>
      </c>
      <c r="N94" s="10">
        <v>15051147.710000001</v>
      </c>
      <c r="O94" s="10">
        <v>13029631.279999999</v>
      </c>
      <c r="P94" s="10">
        <v>10515862.310000001</v>
      </c>
      <c r="Q94" s="10">
        <v>11647489.960000001</v>
      </c>
      <c r="R94" s="11">
        <f t="shared" si="0"/>
        <v>103852880.18000001</v>
      </c>
    </row>
    <row r="95" spans="1:18" ht="12.75" x14ac:dyDescent="0.2">
      <c r="A95" s="9" t="s">
        <v>332</v>
      </c>
      <c r="B95" s="9" t="s">
        <v>17</v>
      </c>
      <c r="C95" s="9" t="s">
        <v>18</v>
      </c>
      <c r="D95" s="9" t="s">
        <v>52</v>
      </c>
      <c r="E95" s="9" t="s">
        <v>65</v>
      </c>
      <c r="F95" s="9" t="s">
        <v>334</v>
      </c>
      <c r="G95" s="9" t="s">
        <v>21</v>
      </c>
      <c r="H95" s="10">
        <v>77622.600000000006</v>
      </c>
      <c r="I95" s="9">
        <v>756.35</v>
      </c>
      <c r="J95" s="10">
        <v>2582.73</v>
      </c>
      <c r="K95" s="10">
        <v>1713.51</v>
      </c>
      <c r="L95" s="10">
        <v>1464.92</v>
      </c>
      <c r="M95" s="10">
        <v>1827.67</v>
      </c>
      <c r="N95" s="10">
        <v>1857.96</v>
      </c>
      <c r="O95" s="10">
        <v>1902.19</v>
      </c>
      <c r="P95" s="10">
        <v>1677.54</v>
      </c>
      <c r="Q95" s="10">
        <v>1859.29</v>
      </c>
      <c r="R95" s="11">
        <f t="shared" si="0"/>
        <v>93264.76</v>
      </c>
    </row>
    <row r="96" spans="1:18" ht="12.75" x14ac:dyDescent="0.2">
      <c r="A96" s="9" t="s">
        <v>332</v>
      </c>
      <c r="B96" s="9" t="s">
        <v>17</v>
      </c>
      <c r="C96" s="9" t="s">
        <v>36</v>
      </c>
      <c r="D96" s="9" t="s">
        <v>52</v>
      </c>
      <c r="E96" s="9" t="s">
        <v>65</v>
      </c>
      <c r="F96" s="9" t="s">
        <v>334</v>
      </c>
      <c r="G96" s="9" t="s">
        <v>37</v>
      </c>
      <c r="H96" s="10">
        <v>234057.33</v>
      </c>
      <c r="I96" s="10">
        <v>165859.98000000001</v>
      </c>
      <c r="J96" s="10">
        <v>304594.14</v>
      </c>
      <c r="K96" s="10">
        <v>291703</v>
      </c>
      <c r="L96" s="10">
        <v>328406.09999999998</v>
      </c>
      <c r="M96" s="10">
        <v>339541.47</v>
      </c>
      <c r="N96" s="10">
        <v>302047.52</v>
      </c>
      <c r="O96" s="10">
        <v>283405.63</v>
      </c>
      <c r="P96" s="10">
        <v>284865.01</v>
      </c>
      <c r="Q96" s="10">
        <v>279852.49</v>
      </c>
      <c r="R96" s="11">
        <f t="shared" si="0"/>
        <v>2814332.67</v>
      </c>
    </row>
    <row r="97" spans="1:18" ht="12.75" x14ac:dyDescent="0.2">
      <c r="A97" s="9" t="s">
        <v>332</v>
      </c>
      <c r="B97" s="9" t="s">
        <v>17</v>
      </c>
      <c r="C97" s="9" t="s">
        <v>18</v>
      </c>
      <c r="D97" s="9" t="s">
        <v>52</v>
      </c>
      <c r="E97" s="9" t="s">
        <v>65</v>
      </c>
      <c r="F97" s="9" t="s">
        <v>334</v>
      </c>
      <c r="G97" s="9" t="s">
        <v>27</v>
      </c>
      <c r="H97" s="10">
        <v>378410.16</v>
      </c>
      <c r="I97" s="10">
        <v>80243.210000000006</v>
      </c>
      <c r="J97" s="10">
        <v>179532</v>
      </c>
      <c r="K97" s="10">
        <v>119439.65</v>
      </c>
      <c r="L97" s="10">
        <v>118838.11</v>
      </c>
      <c r="M97" s="10">
        <v>173060.18</v>
      </c>
      <c r="N97" s="10">
        <v>173926.21</v>
      </c>
      <c r="O97" s="10">
        <v>143181.23000000001</v>
      </c>
      <c r="P97" s="10">
        <v>128716.35</v>
      </c>
      <c r="Q97" s="10">
        <v>144010.44</v>
      </c>
      <c r="R97" s="11">
        <f t="shared" si="0"/>
        <v>1639357.54</v>
      </c>
    </row>
    <row r="98" spans="1:18" ht="12.75" x14ac:dyDescent="0.2">
      <c r="A98" s="9" t="s">
        <v>332</v>
      </c>
      <c r="B98" s="9" t="s">
        <v>17</v>
      </c>
      <c r="C98" s="9" t="s">
        <v>18</v>
      </c>
      <c r="D98" s="9" t="s">
        <v>52</v>
      </c>
      <c r="E98" s="9" t="s">
        <v>66</v>
      </c>
      <c r="F98" s="9" t="s">
        <v>334</v>
      </c>
      <c r="G98" s="9" t="s">
        <v>28</v>
      </c>
      <c r="H98" s="9" t="s">
        <v>29</v>
      </c>
      <c r="I98" s="9">
        <v>0</v>
      </c>
      <c r="J98" s="9">
        <v>0</v>
      </c>
      <c r="K98" s="10">
        <v>19587.87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12">
        <f t="shared" si="0"/>
        <v>19587.87</v>
      </c>
    </row>
    <row r="99" spans="1:18" ht="12.75" x14ac:dyDescent="0.2">
      <c r="A99" s="9" t="s">
        <v>332</v>
      </c>
      <c r="B99" s="9" t="s">
        <v>17</v>
      </c>
      <c r="C99" s="9" t="s">
        <v>36</v>
      </c>
      <c r="D99" s="9" t="s">
        <v>52</v>
      </c>
      <c r="E99" s="9" t="s">
        <v>67</v>
      </c>
      <c r="F99" s="9" t="s">
        <v>334</v>
      </c>
      <c r="G99" s="9" t="s">
        <v>37</v>
      </c>
      <c r="H99" s="10">
        <v>170445.02</v>
      </c>
      <c r="I99" s="10">
        <v>120782.39999999999</v>
      </c>
      <c r="J99" s="10">
        <v>666232.47</v>
      </c>
      <c r="K99" s="10">
        <v>2681063.5299999998</v>
      </c>
      <c r="L99" s="10">
        <v>4339916.68</v>
      </c>
      <c r="M99" s="10">
        <v>2004141.28</v>
      </c>
      <c r="N99" s="10">
        <v>603334.96</v>
      </c>
      <c r="O99" s="10">
        <v>3987835.92</v>
      </c>
      <c r="P99" s="10">
        <v>1723080.23</v>
      </c>
      <c r="Q99" s="10">
        <v>3457195.4</v>
      </c>
      <c r="R99" s="11">
        <f t="shared" si="0"/>
        <v>19754027.890000001</v>
      </c>
    </row>
    <row r="100" spans="1:18" ht="12.75" x14ac:dyDescent="0.2">
      <c r="A100" s="9" t="s">
        <v>332</v>
      </c>
      <c r="B100" s="9" t="s">
        <v>17</v>
      </c>
      <c r="C100" s="9" t="s">
        <v>36</v>
      </c>
      <c r="D100" s="9" t="s">
        <v>52</v>
      </c>
      <c r="E100" s="9" t="s">
        <v>68</v>
      </c>
      <c r="F100" s="9" t="s">
        <v>334</v>
      </c>
      <c r="G100" s="9" t="s">
        <v>37</v>
      </c>
      <c r="H100" s="10">
        <v>2501862.5699999998</v>
      </c>
      <c r="I100" s="10">
        <v>1772894.15</v>
      </c>
      <c r="J100" s="10">
        <v>3932348.25</v>
      </c>
      <c r="K100" s="10">
        <v>12245732.640000001</v>
      </c>
      <c r="L100" s="10">
        <v>9295193.2400000002</v>
      </c>
      <c r="M100" s="10">
        <v>12409226.460000001</v>
      </c>
      <c r="N100" s="10">
        <v>11386452.449999999</v>
      </c>
      <c r="O100" s="10">
        <v>10900842.6</v>
      </c>
      <c r="P100" s="10">
        <v>8745493.6600000001</v>
      </c>
      <c r="Q100" s="10">
        <v>9891621.5800000001</v>
      </c>
      <c r="R100" s="11">
        <f t="shared" si="0"/>
        <v>83081667.600000009</v>
      </c>
    </row>
    <row r="101" spans="1:18" ht="12.75" x14ac:dyDescent="0.2">
      <c r="A101" s="9" t="s">
        <v>332</v>
      </c>
      <c r="B101" s="9" t="s">
        <v>17</v>
      </c>
      <c r="C101" s="9" t="s">
        <v>36</v>
      </c>
      <c r="D101" s="9" t="s">
        <v>52</v>
      </c>
      <c r="E101" s="9" t="s">
        <v>69</v>
      </c>
      <c r="F101" s="9" t="s">
        <v>334</v>
      </c>
      <c r="G101" s="9" t="s">
        <v>37</v>
      </c>
      <c r="H101" s="9" t="s">
        <v>29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10">
        <v>10176257.52</v>
      </c>
      <c r="P101" s="10">
        <v>3694749.09</v>
      </c>
      <c r="Q101" s="10">
        <v>2604017.66</v>
      </c>
      <c r="R101" s="12">
        <f t="shared" si="0"/>
        <v>16475024.27</v>
      </c>
    </row>
    <row r="102" spans="1:18" ht="12.75" x14ac:dyDescent="0.2">
      <c r="A102" s="9" t="s">
        <v>332</v>
      </c>
      <c r="B102" s="9" t="s">
        <v>17</v>
      </c>
      <c r="C102" s="9" t="s">
        <v>18</v>
      </c>
      <c r="D102" s="9" t="s">
        <v>52</v>
      </c>
      <c r="E102" s="9" t="s">
        <v>69</v>
      </c>
      <c r="F102" s="9" t="s">
        <v>334</v>
      </c>
      <c r="G102" s="9" t="s">
        <v>28</v>
      </c>
      <c r="H102" s="9" t="s">
        <v>29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10">
        <v>19234.86</v>
      </c>
      <c r="Q102" s="9">
        <v>0</v>
      </c>
      <c r="R102" s="12">
        <f t="shared" si="0"/>
        <v>19234.86</v>
      </c>
    </row>
    <row r="103" spans="1:18" ht="12.75" x14ac:dyDescent="0.2">
      <c r="A103" s="9" t="s">
        <v>332</v>
      </c>
      <c r="B103" s="9" t="s">
        <v>17</v>
      </c>
      <c r="C103" s="9" t="s">
        <v>36</v>
      </c>
      <c r="D103" s="9" t="s">
        <v>52</v>
      </c>
      <c r="E103" s="9" t="s">
        <v>70</v>
      </c>
      <c r="F103" s="9" t="s">
        <v>334</v>
      </c>
      <c r="G103" s="9" t="s">
        <v>37</v>
      </c>
      <c r="H103" s="9" t="s">
        <v>29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10">
        <v>22027789.18</v>
      </c>
      <c r="P103" s="10">
        <v>3132645.31</v>
      </c>
      <c r="Q103" s="10">
        <v>7332669.5099999998</v>
      </c>
      <c r="R103" s="12">
        <f t="shared" si="0"/>
        <v>32493104</v>
      </c>
    </row>
    <row r="104" spans="1:18" ht="12.75" x14ac:dyDescent="0.2">
      <c r="A104" s="9" t="s">
        <v>332</v>
      </c>
      <c r="B104" s="9" t="s">
        <v>17</v>
      </c>
      <c r="C104" s="9" t="s">
        <v>18</v>
      </c>
      <c r="D104" s="9" t="s">
        <v>52</v>
      </c>
      <c r="E104" s="9" t="s">
        <v>70</v>
      </c>
      <c r="F104" s="9" t="s">
        <v>334</v>
      </c>
      <c r="G104" s="9" t="s">
        <v>28</v>
      </c>
      <c r="H104" s="9" t="s">
        <v>29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10">
        <v>19234.86</v>
      </c>
      <c r="Q104" s="9">
        <v>0</v>
      </c>
      <c r="R104" s="12">
        <f t="shared" si="0"/>
        <v>19234.86</v>
      </c>
    </row>
    <row r="105" spans="1:18" ht="12.75" x14ac:dyDescent="0.2">
      <c r="A105" s="9" t="s">
        <v>332</v>
      </c>
      <c r="B105" s="9" t="s">
        <v>17</v>
      </c>
      <c r="C105" s="9" t="s">
        <v>18</v>
      </c>
      <c r="D105" s="9" t="s">
        <v>52</v>
      </c>
      <c r="E105" s="9" t="s">
        <v>71</v>
      </c>
      <c r="F105" s="9" t="s">
        <v>334</v>
      </c>
      <c r="G105" s="9" t="s">
        <v>21</v>
      </c>
      <c r="H105" s="10">
        <v>77622.600000000006</v>
      </c>
      <c r="I105" s="9">
        <v>756.35</v>
      </c>
      <c r="J105" s="10">
        <v>2582.73</v>
      </c>
      <c r="K105" s="10">
        <v>1713.51</v>
      </c>
      <c r="L105" s="10">
        <v>1464.92</v>
      </c>
      <c r="M105" s="10">
        <v>1827.67</v>
      </c>
      <c r="N105" s="10">
        <v>1857.96</v>
      </c>
      <c r="O105" s="10">
        <v>1902.19</v>
      </c>
      <c r="P105" s="10">
        <v>1677.54</v>
      </c>
      <c r="Q105" s="10">
        <v>1859.29</v>
      </c>
      <c r="R105" s="11">
        <f t="shared" si="0"/>
        <v>93264.76</v>
      </c>
    </row>
    <row r="106" spans="1:18" ht="12.75" x14ac:dyDescent="0.2">
      <c r="A106" s="9" t="s">
        <v>332</v>
      </c>
      <c r="B106" s="9" t="s">
        <v>17</v>
      </c>
      <c r="C106" s="9" t="s">
        <v>36</v>
      </c>
      <c r="D106" s="9" t="s">
        <v>52</v>
      </c>
      <c r="E106" s="9" t="s">
        <v>71</v>
      </c>
      <c r="F106" s="9" t="s">
        <v>334</v>
      </c>
      <c r="G106" s="9" t="s">
        <v>37</v>
      </c>
      <c r="H106" s="10">
        <v>97028.25</v>
      </c>
      <c r="I106" s="10">
        <v>68757.100000000006</v>
      </c>
      <c r="J106" s="10">
        <v>124649.27</v>
      </c>
      <c r="K106" s="10">
        <v>291703</v>
      </c>
      <c r="L106" s="10">
        <v>328406.09999999998</v>
      </c>
      <c r="M106" s="10">
        <v>339541.47</v>
      </c>
      <c r="N106" s="10">
        <v>302047.52</v>
      </c>
      <c r="O106" s="10">
        <v>283405.63</v>
      </c>
      <c r="P106" s="10">
        <v>284865.01</v>
      </c>
      <c r="Q106" s="10">
        <v>279852.49</v>
      </c>
      <c r="R106" s="11">
        <f t="shared" si="0"/>
        <v>2400255.84</v>
      </c>
    </row>
    <row r="107" spans="1:18" ht="12.75" x14ac:dyDescent="0.2">
      <c r="A107" s="9" t="s">
        <v>332</v>
      </c>
      <c r="B107" s="9" t="s">
        <v>17</v>
      </c>
      <c r="C107" s="9" t="s">
        <v>18</v>
      </c>
      <c r="D107" s="9" t="s">
        <v>52</v>
      </c>
      <c r="E107" s="9" t="s">
        <v>71</v>
      </c>
      <c r="F107" s="9" t="s">
        <v>334</v>
      </c>
      <c r="G107" s="9" t="s">
        <v>27</v>
      </c>
      <c r="H107" s="10">
        <v>979985.29</v>
      </c>
      <c r="I107" s="10">
        <v>207809.34</v>
      </c>
      <c r="J107" s="10">
        <v>464941.84</v>
      </c>
      <c r="K107" s="10">
        <v>309318.07</v>
      </c>
      <c r="L107" s="10">
        <v>307760.24</v>
      </c>
      <c r="M107" s="10">
        <v>448181.49</v>
      </c>
      <c r="N107" s="10">
        <v>450424.27</v>
      </c>
      <c r="O107" s="10">
        <v>370802.68</v>
      </c>
      <c r="P107" s="10">
        <v>333342.34000000003</v>
      </c>
      <c r="Q107" s="10">
        <v>372950.11</v>
      </c>
      <c r="R107" s="11">
        <f t="shared" si="0"/>
        <v>4245515.6700000009</v>
      </c>
    </row>
    <row r="108" spans="1:18" ht="12.75" x14ac:dyDescent="0.2">
      <c r="A108" s="9" t="s">
        <v>332</v>
      </c>
      <c r="B108" s="9" t="s">
        <v>17</v>
      </c>
      <c r="C108" s="9" t="s">
        <v>36</v>
      </c>
      <c r="D108" s="9" t="s">
        <v>52</v>
      </c>
      <c r="E108" s="9" t="s">
        <v>72</v>
      </c>
      <c r="F108" s="9" t="s">
        <v>334</v>
      </c>
      <c r="G108" s="9" t="s">
        <v>37</v>
      </c>
      <c r="H108" s="9" t="s">
        <v>29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10">
        <v>1504311.91</v>
      </c>
      <c r="Q108" s="10">
        <v>5086311.8899999997</v>
      </c>
      <c r="R108" s="12">
        <f t="shared" si="0"/>
        <v>6590623.7999999998</v>
      </c>
    </row>
    <row r="109" spans="1:18" ht="12.75" x14ac:dyDescent="0.2">
      <c r="A109" s="9" t="s">
        <v>332</v>
      </c>
      <c r="B109" s="9" t="s">
        <v>17</v>
      </c>
      <c r="C109" s="9" t="s">
        <v>36</v>
      </c>
      <c r="D109" s="9" t="s">
        <v>52</v>
      </c>
      <c r="E109" s="9" t="s">
        <v>73</v>
      </c>
      <c r="F109" s="9" t="s">
        <v>334</v>
      </c>
      <c r="G109" s="9" t="s">
        <v>37</v>
      </c>
      <c r="H109" s="9" t="s">
        <v>29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10">
        <v>1566322.65</v>
      </c>
      <c r="Q109" s="9">
        <v>0</v>
      </c>
      <c r="R109" s="12">
        <f t="shared" si="0"/>
        <v>1566322.65</v>
      </c>
    </row>
    <row r="110" spans="1:18" ht="12.75" x14ac:dyDescent="0.2">
      <c r="A110" s="9" t="s">
        <v>332</v>
      </c>
      <c r="B110" s="9" t="s">
        <v>17</v>
      </c>
      <c r="C110" s="9" t="s">
        <v>18</v>
      </c>
      <c r="D110" s="9" t="s">
        <v>74</v>
      </c>
      <c r="E110" s="9" t="s">
        <v>75</v>
      </c>
      <c r="F110" s="9" t="s">
        <v>334</v>
      </c>
      <c r="G110" s="9" t="s">
        <v>21</v>
      </c>
      <c r="H110" s="10">
        <v>485141.23</v>
      </c>
      <c r="I110" s="10">
        <v>4727.18</v>
      </c>
      <c r="J110" s="10">
        <v>16142.08</v>
      </c>
      <c r="K110" s="10">
        <v>10709.42</v>
      </c>
      <c r="L110" s="10">
        <v>9155.7800000000007</v>
      </c>
      <c r="M110" s="10">
        <v>11422.92</v>
      </c>
      <c r="N110" s="10">
        <v>11612.23</v>
      </c>
      <c r="O110" s="10">
        <v>11888.68</v>
      </c>
      <c r="P110" s="10">
        <v>10484.61</v>
      </c>
      <c r="Q110" s="10">
        <v>24718.84</v>
      </c>
      <c r="R110" s="11">
        <f t="shared" si="0"/>
        <v>596002.97</v>
      </c>
    </row>
    <row r="111" spans="1:18" ht="12.75" x14ac:dyDescent="0.2">
      <c r="A111" s="9" t="s">
        <v>332</v>
      </c>
      <c r="B111" s="9" t="s">
        <v>17</v>
      </c>
      <c r="C111" s="9" t="s">
        <v>18</v>
      </c>
      <c r="D111" s="9" t="s">
        <v>74</v>
      </c>
      <c r="E111" s="9" t="s">
        <v>75</v>
      </c>
      <c r="F111" s="9" t="s">
        <v>334</v>
      </c>
      <c r="G111" s="9" t="s">
        <v>21</v>
      </c>
      <c r="H111" s="9" t="s">
        <v>29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501.56</v>
      </c>
      <c r="R111" s="12">
        <f t="shared" si="0"/>
        <v>501.56</v>
      </c>
    </row>
    <row r="112" spans="1:18" ht="12.75" x14ac:dyDescent="0.2">
      <c r="A112" s="9" t="s">
        <v>332</v>
      </c>
      <c r="B112" s="9" t="s">
        <v>17</v>
      </c>
      <c r="C112" s="9" t="s">
        <v>18</v>
      </c>
      <c r="D112" s="9" t="s">
        <v>74</v>
      </c>
      <c r="E112" s="9" t="s">
        <v>75</v>
      </c>
      <c r="F112" s="9" t="s">
        <v>334</v>
      </c>
      <c r="G112" s="9" t="s">
        <v>24</v>
      </c>
      <c r="H112" s="10">
        <v>258367.91</v>
      </c>
      <c r="I112" s="10">
        <v>7059.22</v>
      </c>
      <c r="J112" s="10">
        <v>15979</v>
      </c>
      <c r="K112" s="10">
        <v>139582.44</v>
      </c>
      <c r="L112" s="10">
        <v>46452.18</v>
      </c>
      <c r="M112" s="10">
        <v>29637.63</v>
      </c>
      <c r="N112" s="10">
        <v>65408.68</v>
      </c>
      <c r="O112" s="10">
        <v>94448.27</v>
      </c>
      <c r="P112" s="10">
        <v>49064.11</v>
      </c>
      <c r="Q112" s="10">
        <v>91976.89</v>
      </c>
      <c r="R112" s="11">
        <f t="shared" si="0"/>
        <v>797976.33000000007</v>
      </c>
    </row>
    <row r="113" spans="1:18" ht="12.75" x14ac:dyDescent="0.2">
      <c r="A113" s="9" t="s">
        <v>332</v>
      </c>
      <c r="B113" s="9" t="s">
        <v>17</v>
      </c>
      <c r="C113" s="9" t="s">
        <v>18</v>
      </c>
      <c r="D113" s="9" t="s">
        <v>74</v>
      </c>
      <c r="E113" s="9" t="s">
        <v>75</v>
      </c>
      <c r="F113" s="9" t="s">
        <v>334</v>
      </c>
      <c r="G113" s="9" t="s">
        <v>24</v>
      </c>
      <c r="H113" s="9" t="s">
        <v>29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10">
        <v>30378.84</v>
      </c>
      <c r="O113" s="9">
        <v>0</v>
      </c>
      <c r="P113" s="10">
        <v>72104.23</v>
      </c>
      <c r="Q113" s="10">
        <v>7351.54</v>
      </c>
      <c r="R113" s="12">
        <f t="shared" si="0"/>
        <v>109834.60999999999</v>
      </c>
    </row>
    <row r="114" spans="1:18" ht="12.75" x14ac:dyDescent="0.2">
      <c r="A114" s="9" t="s">
        <v>332</v>
      </c>
      <c r="B114" s="9" t="s">
        <v>17</v>
      </c>
      <c r="C114" s="9" t="s">
        <v>36</v>
      </c>
      <c r="D114" s="9" t="s">
        <v>74</v>
      </c>
      <c r="E114" s="9" t="s">
        <v>75</v>
      </c>
      <c r="F114" s="9" t="s">
        <v>334</v>
      </c>
      <c r="G114" s="9" t="s">
        <v>37</v>
      </c>
      <c r="H114" s="9" t="s">
        <v>29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10">
        <v>362772.47</v>
      </c>
      <c r="O114" s="9">
        <v>0</v>
      </c>
      <c r="P114" s="9">
        <v>0</v>
      </c>
      <c r="Q114" s="9">
        <v>0</v>
      </c>
      <c r="R114" s="12">
        <f t="shared" si="0"/>
        <v>362772.47</v>
      </c>
    </row>
    <row r="115" spans="1:18" ht="12.75" x14ac:dyDescent="0.2">
      <c r="A115" s="9" t="s">
        <v>332</v>
      </c>
      <c r="B115" s="9" t="s">
        <v>17</v>
      </c>
      <c r="C115" s="9" t="s">
        <v>18</v>
      </c>
      <c r="D115" s="9" t="s">
        <v>74</v>
      </c>
      <c r="E115" s="9" t="s">
        <v>75</v>
      </c>
      <c r="F115" s="9" t="s">
        <v>334</v>
      </c>
      <c r="G115" s="9" t="s">
        <v>25</v>
      </c>
      <c r="H115" s="9" t="s">
        <v>29</v>
      </c>
      <c r="I115" s="9">
        <v>0</v>
      </c>
      <c r="J115" s="10">
        <v>92108.22</v>
      </c>
      <c r="K115" s="10">
        <v>698037.36</v>
      </c>
      <c r="L115" s="9">
        <v>0</v>
      </c>
      <c r="M115" s="10">
        <v>41996.92</v>
      </c>
      <c r="N115" s="10">
        <v>61031.78</v>
      </c>
      <c r="O115" s="10">
        <v>402893.71</v>
      </c>
      <c r="P115" s="9">
        <v>0</v>
      </c>
      <c r="Q115" s="9">
        <v>0</v>
      </c>
      <c r="R115" s="12">
        <f t="shared" si="0"/>
        <v>1296067.99</v>
      </c>
    </row>
    <row r="116" spans="1:18" ht="12.75" x14ac:dyDescent="0.2">
      <c r="A116" s="9" t="s">
        <v>332</v>
      </c>
      <c r="B116" s="9" t="s">
        <v>17</v>
      </c>
      <c r="C116" s="9" t="s">
        <v>18</v>
      </c>
      <c r="D116" s="9" t="s">
        <v>74</v>
      </c>
      <c r="E116" s="9" t="s">
        <v>75</v>
      </c>
      <c r="F116" s="9" t="s">
        <v>334</v>
      </c>
      <c r="G116" s="9" t="s">
        <v>26</v>
      </c>
      <c r="H116" s="10">
        <v>20510.37</v>
      </c>
      <c r="I116" s="10">
        <v>1301.31</v>
      </c>
      <c r="J116" s="9">
        <v>0</v>
      </c>
      <c r="K116" s="10">
        <v>1265.3399999999999</v>
      </c>
      <c r="L116" s="10">
        <v>1648.03</v>
      </c>
      <c r="M116" s="9">
        <v>325.25</v>
      </c>
      <c r="N116" s="9">
        <v>919.77</v>
      </c>
      <c r="O116" s="9">
        <v>354.72</v>
      </c>
      <c r="P116" s="9">
        <v>0</v>
      </c>
      <c r="Q116" s="10">
        <v>1662.56</v>
      </c>
      <c r="R116" s="11">
        <f t="shared" si="0"/>
        <v>27987.350000000002</v>
      </c>
    </row>
    <row r="117" spans="1:18" ht="12.75" x14ac:dyDescent="0.2">
      <c r="A117" s="9" t="s">
        <v>332</v>
      </c>
      <c r="B117" s="9" t="s">
        <v>17</v>
      </c>
      <c r="C117" s="9" t="s">
        <v>18</v>
      </c>
      <c r="D117" s="9" t="s">
        <v>74</v>
      </c>
      <c r="E117" s="9" t="s">
        <v>75</v>
      </c>
      <c r="F117" s="9" t="s">
        <v>334</v>
      </c>
      <c r="G117" s="9" t="s">
        <v>26</v>
      </c>
      <c r="H117" s="9" t="s">
        <v>29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10">
        <v>4059.14</v>
      </c>
      <c r="R117" s="12">
        <f t="shared" si="0"/>
        <v>4059.14</v>
      </c>
    </row>
    <row r="118" spans="1:18" ht="12.75" x14ac:dyDescent="0.2">
      <c r="A118" s="9" t="s">
        <v>332</v>
      </c>
      <c r="B118" s="9" t="s">
        <v>17</v>
      </c>
      <c r="C118" s="9" t="s">
        <v>18</v>
      </c>
      <c r="D118" s="9" t="s">
        <v>74</v>
      </c>
      <c r="E118" s="9" t="s">
        <v>75</v>
      </c>
      <c r="F118" s="9" t="s">
        <v>334</v>
      </c>
      <c r="G118" s="9" t="s">
        <v>27</v>
      </c>
      <c r="H118" s="10">
        <v>3002508.33</v>
      </c>
      <c r="I118" s="10">
        <v>636692.49</v>
      </c>
      <c r="J118" s="10">
        <v>182217.16</v>
      </c>
      <c r="K118" s="10">
        <v>98001.77</v>
      </c>
      <c r="L118" s="10">
        <v>97508.2</v>
      </c>
      <c r="M118" s="10">
        <v>141998.1</v>
      </c>
      <c r="N118" s="10">
        <v>142708.68</v>
      </c>
      <c r="O118" s="10">
        <v>117482.04</v>
      </c>
      <c r="P118" s="10">
        <v>105613.41</v>
      </c>
      <c r="Q118" s="10">
        <v>118162.41</v>
      </c>
      <c r="R118" s="11">
        <f t="shared" si="0"/>
        <v>4642892.5900000008</v>
      </c>
    </row>
    <row r="119" spans="1:18" ht="12.75" x14ac:dyDescent="0.2">
      <c r="A119" s="9" t="s">
        <v>332</v>
      </c>
      <c r="B119" s="9" t="s">
        <v>17</v>
      </c>
      <c r="C119" s="9" t="s">
        <v>18</v>
      </c>
      <c r="D119" s="9" t="s">
        <v>74</v>
      </c>
      <c r="E119" s="9" t="s">
        <v>75</v>
      </c>
      <c r="F119" s="9" t="s">
        <v>334</v>
      </c>
      <c r="G119" s="9" t="s">
        <v>28</v>
      </c>
      <c r="H119" s="9" t="s">
        <v>29</v>
      </c>
      <c r="I119" s="9">
        <v>0</v>
      </c>
      <c r="J119" s="10">
        <v>43204.480000000003</v>
      </c>
      <c r="K119" s="10">
        <v>11322.19</v>
      </c>
      <c r="L119" s="9">
        <v>0</v>
      </c>
      <c r="M119" s="10">
        <v>62645.55</v>
      </c>
      <c r="N119" s="10">
        <v>26869.83</v>
      </c>
      <c r="O119" s="9">
        <v>0</v>
      </c>
      <c r="P119" s="10">
        <v>64809.32</v>
      </c>
      <c r="Q119" s="9">
        <v>0</v>
      </c>
      <c r="R119" s="12">
        <f t="shared" si="0"/>
        <v>208851.37</v>
      </c>
    </row>
    <row r="120" spans="1:18" ht="12.75" x14ac:dyDescent="0.2">
      <c r="A120" s="9" t="s">
        <v>332</v>
      </c>
      <c r="B120" s="9" t="s">
        <v>17</v>
      </c>
      <c r="C120" s="9" t="s">
        <v>18</v>
      </c>
      <c r="D120" s="9" t="s">
        <v>74</v>
      </c>
      <c r="E120" s="9" t="s">
        <v>75</v>
      </c>
      <c r="F120" s="9" t="s">
        <v>334</v>
      </c>
      <c r="G120" s="9" t="s">
        <v>28</v>
      </c>
      <c r="H120" s="9" t="s">
        <v>29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10">
        <v>3418.16</v>
      </c>
      <c r="R120" s="12">
        <f t="shared" si="0"/>
        <v>3418.16</v>
      </c>
    </row>
    <row r="121" spans="1:18" ht="12.75" x14ac:dyDescent="0.2">
      <c r="A121" s="9" t="s">
        <v>332</v>
      </c>
      <c r="B121" s="9" t="s">
        <v>17</v>
      </c>
      <c r="C121" s="9" t="s">
        <v>18</v>
      </c>
      <c r="D121" s="9" t="s">
        <v>74</v>
      </c>
      <c r="E121" s="9" t="s">
        <v>75</v>
      </c>
      <c r="F121" s="9" t="s">
        <v>334</v>
      </c>
      <c r="G121" s="9" t="s">
        <v>34</v>
      </c>
      <c r="H121" s="9" t="s">
        <v>29</v>
      </c>
      <c r="I121" s="9">
        <v>0</v>
      </c>
      <c r="J121" s="9">
        <v>0</v>
      </c>
      <c r="K121" s="9">
        <v>0</v>
      </c>
      <c r="L121" s="9">
        <v>0</v>
      </c>
      <c r="M121" s="10">
        <v>219310.48</v>
      </c>
      <c r="N121" s="9">
        <v>0</v>
      </c>
      <c r="O121" s="9">
        <v>0</v>
      </c>
      <c r="P121" s="9">
        <v>0</v>
      </c>
      <c r="Q121" s="9">
        <v>0</v>
      </c>
      <c r="R121" s="12">
        <f t="shared" si="0"/>
        <v>219310.48</v>
      </c>
    </row>
    <row r="122" spans="1:18" ht="12.75" x14ac:dyDescent="0.2">
      <c r="A122" s="9" t="s">
        <v>332</v>
      </c>
      <c r="B122" s="9" t="s">
        <v>17</v>
      </c>
      <c r="C122" s="9" t="s">
        <v>18</v>
      </c>
      <c r="D122" s="9" t="s">
        <v>74</v>
      </c>
      <c r="E122" s="9" t="s">
        <v>76</v>
      </c>
      <c r="F122" s="9" t="s">
        <v>334</v>
      </c>
      <c r="G122" s="9" t="s">
        <v>21</v>
      </c>
      <c r="H122" s="10">
        <v>1067310.71</v>
      </c>
      <c r="I122" s="10">
        <v>10399.790000000001</v>
      </c>
      <c r="J122" s="10">
        <v>35512.58</v>
      </c>
      <c r="K122" s="10">
        <v>23560.73</v>
      </c>
      <c r="L122" s="10">
        <v>20142.71</v>
      </c>
      <c r="M122" s="10">
        <v>25130.43</v>
      </c>
      <c r="N122" s="10">
        <v>25546.9</v>
      </c>
      <c r="O122" s="10">
        <v>26155.09</v>
      </c>
      <c r="P122" s="10">
        <v>23066.15</v>
      </c>
      <c r="Q122" s="10">
        <v>25565.21</v>
      </c>
      <c r="R122" s="11">
        <f t="shared" si="0"/>
        <v>1282390.2999999998</v>
      </c>
    </row>
    <row r="123" spans="1:18" ht="12.75" x14ac:dyDescent="0.2">
      <c r="A123" s="9" t="s">
        <v>332</v>
      </c>
      <c r="B123" s="9" t="s">
        <v>17</v>
      </c>
      <c r="C123" s="9" t="s">
        <v>36</v>
      </c>
      <c r="D123" s="9" t="s">
        <v>74</v>
      </c>
      <c r="E123" s="9" t="s">
        <v>76</v>
      </c>
      <c r="F123" s="9" t="s">
        <v>334</v>
      </c>
      <c r="G123" s="9" t="s">
        <v>37</v>
      </c>
      <c r="H123" s="10">
        <v>1130745.45</v>
      </c>
      <c r="I123" s="10">
        <v>801279.83</v>
      </c>
      <c r="J123" s="10">
        <v>1482668.04</v>
      </c>
      <c r="K123" s="10">
        <v>3606099.84</v>
      </c>
      <c r="L123" s="10">
        <v>4192223.09</v>
      </c>
      <c r="M123" s="10">
        <v>4399291.13</v>
      </c>
      <c r="N123" s="10">
        <v>3969472.42</v>
      </c>
      <c r="O123" s="10">
        <v>3781305.47</v>
      </c>
      <c r="P123" s="10">
        <v>3796906.91</v>
      </c>
      <c r="Q123" s="10">
        <v>3724701.24</v>
      </c>
      <c r="R123" s="11">
        <f t="shared" si="0"/>
        <v>30884693.419999994</v>
      </c>
    </row>
    <row r="124" spans="1:18" ht="12.75" x14ac:dyDescent="0.2">
      <c r="A124" s="9" t="s">
        <v>332</v>
      </c>
      <c r="B124" s="9" t="s">
        <v>17</v>
      </c>
      <c r="C124" s="9" t="s">
        <v>18</v>
      </c>
      <c r="D124" s="9" t="s">
        <v>74</v>
      </c>
      <c r="E124" s="9" t="s">
        <v>76</v>
      </c>
      <c r="F124" s="9" t="s">
        <v>334</v>
      </c>
      <c r="G124" s="9" t="s">
        <v>28</v>
      </c>
      <c r="H124" s="10">
        <v>99580.41</v>
      </c>
      <c r="I124" s="10">
        <v>136193.35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10">
        <v>9618.34</v>
      </c>
      <c r="Q124" s="9">
        <v>0</v>
      </c>
      <c r="R124" s="11">
        <f t="shared" si="0"/>
        <v>245392.1</v>
      </c>
    </row>
    <row r="125" spans="1:18" ht="12.75" x14ac:dyDescent="0.2">
      <c r="A125" s="9" t="s">
        <v>332</v>
      </c>
      <c r="B125" s="9" t="s">
        <v>17</v>
      </c>
      <c r="C125" s="9" t="s">
        <v>18</v>
      </c>
      <c r="D125" s="9" t="s">
        <v>74</v>
      </c>
      <c r="E125" s="9" t="s">
        <v>77</v>
      </c>
      <c r="F125" s="9" t="s">
        <v>334</v>
      </c>
      <c r="G125" s="9" t="s">
        <v>21</v>
      </c>
      <c r="H125" s="10">
        <v>873254.22</v>
      </c>
      <c r="I125" s="10">
        <v>8508.92</v>
      </c>
      <c r="J125" s="10">
        <v>29055.75</v>
      </c>
      <c r="K125" s="10">
        <v>19276.96</v>
      </c>
      <c r="L125" s="10">
        <v>16480.400000000001</v>
      </c>
      <c r="M125" s="10">
        <v>20561.259999999998</v>
      </c>
      <c r="N125" s="10">
        <v>20902.009999999998</v>
      </c>
      <c r="O125" s="10">
        <v>21399.62</v>
      </c>
      <c r="P125" s="10">
        <v>18872.310000000001</v>
      </c>
      <c r="Q125" s="10">
        <v>20916.990000000002</v>
      </c>
      <c r="R125" s="11">
        <f t="shared" si="0"/>
        <v>1049228.4400000002</v>
      </c>
    </row>
    <row r="126" spans="1:18" ht="12.75" x14ac:dyDescent="0.2">
      <c r="A126" s="9" t="s">
        <v>332</v>
      </c>
      <c r="B126" s="9" t="s">
        <v>17</v>
      </c>
      <c r="C126" s="9" t="s">
        <v>18</v>
      </c>
      <c r="D126" s="9" t="s">
        <v>74</v>
      </c>
      <c r="E126" s="9" t="s">
        <v>77</v>
      </c>
      <c r="F126" s="9" t="s">
        <v>334</v>
      </c>
      <c r="G126" s="9" t="s">
        <v>24</v>
      </c>
      <c r="H126" s="10">
        <v>1986763.53</v>
      </c>
      <c r="I126" s="10">
        <v>54283.05</v>
      </c>
      <c r="J126" s="10">
        <v>18424.86</v>
      </c>
      <c r="K126" s="10">
        <v>138008.15</v>
      </c>
      <c r="L126" s="10">
        <v>12321.19</v>
      </c>
      <c r="M126" s="10">
        <v>54213.9</v>
      </c>
      <c r="N126" s="10">
        <v>328098.25</v>
      </c>
      <c r="O126" s="10">
        <v>107723.41</v>
      </c>
      <c r="P126" s="10">
        <v>1503.49</v>
      </c>
      <c r="Q126" s="9">
        <v>0</v>
      </c>
      <c r="R126" s="11">
        <f t="shared" si="0"/>
        <v>2701339.8300000005</v>
      </c>
    </row>
    <row r="127" spans="1:18" ht="12.75" x14ac:dyDescent="0.2">
      <c r="A127" s="9" t="s">
        <v>332</v>
      </c>
      <c r="B127" s="9" t="s">
        <v>17</v>
      </c>
      <c r="C127" s="9" t="s">
        <v>36</v>
      </c>
      <c r="D127" s="9" t="s">
        <v>74</v>
      </c>
      <c r="E127" s="9" t="s">
        <v>77</v>
      </c>
      <c r="F127" s="9" t="s">
        <v>334</v>
      </c>
      <c r="G127" s="9" t="s">
        <v>37</v>
      </c>
      <c r="H127" s="10">
        <v>3190063.74</v>
      </c>
      <c r="I127" s="10">
        <v>2260573.9500000002</v>
      </c>
      <c r="J127" s="10">
        <v>4694097.0999999996</v>
      </c>
      <c r="K127" s="10">
        <v>8253535.4299999997</v>
      </c>
      <c r="L127" s="10">
        <v>9570201.6099999994</v>
      </c>
      <c r="M127" s="10">
        <v>10031105.91</v>
      </c>
      <c r="N127" s="10">
        <v>9041033.3399999999</v>
      </c>
      <c r="O127" s="10">
        <v>8602426.8300000001</v>
      </c>
      <c r="P127" s="10">
        <v>8727923.1600000001</v>
      </c>
      <c r="Q127" s="10">
        <v>8660119.2300000004</v>
      </c>
      <c r="R127" s="11">
        <f t="shared" si="0"/>
        <v>73031080.299999997</v>
      </c>
    </row>
    <row r="128" spans="1:18" ht="12.75" x14ac:dyDescent="0.2">
      <c r="A128" s="9" t="s">
        <v>332</v>
      </c>
      <c r="B128" s="9" t="s">
        <v>17</v>
      </c>
      <c r="C128" s="9" t="s">
        <v>18</v>
      </c>
      <c r="D128" s="9" t="s">
        <v>74</v>
      </c>
      <c r="E128" s="9" t="s">
        <v>77</v>
      </c>
      <c r="F128" s="9" t="s">
        <v>334</v>
      </c>
      <c r="G128" s="9" t="s">
        <v>25</v>
      </c>
      <c r="H128" s="10">
        <v>232664.5</v>
      </c>
      <c r="I128" s="10">
        <v>1251607.9099999999</v>
      </c>
      <c r="J128" s="9">
        <v>0</v>
      </c>
      <c r="K128" s="9">
        <v>0</v>
      </c>
      <c r="L128" s="10">
        <v>245119.84</v>
      </c>
      <c r="M128" s="9">
        <v>0</v>
      </c>
      <c r="N128" s="9">
        <v>0</v>
      </c>
      <c r="O128" s="10">
        <v>161965</v>
      </c>
      <c r="P128" s="9">
        <v>0</v>
      </c>
      <c r="Q128" s="9">
        <v>0</v>
      </c>
      <c r="R128" s="11">
        <f t="shared" si="0"/>
        <v>1891357.25</v>
      </c>
    </row>
    <row r="129" spans="1:18" ht="12.75" x14ac:dyDescent="0.2">
      <c r="A129" s="9" t="s">
        <v>332</v>
      </c>
      <c r="B129" s="9" t="s">
        <v>17</v>
      </c>
      <c r="C129" s="9" t="s">
        <v>18</v>
      </c>
      <c r="D129" s="9" t="s">
        <v>74</v>
      </c>
      <c r="E129" s="9" t="s">
        <v>77</v>
      </c>
      <c r="F129" s="9" t="s">
        <v>334</v>
      </c>
      <c r="G129" s="9" t="s">
        <v>28</v>
      </c>
      <c r="H129" s="10">
        <v>99580.41</v>
      </c>
      <c r="I129" s="10">
        <v>136193.35</v>
      </c>
      <c r="J129" s="9">
        <v>0</v>
      </c>
      <c r="K129" s="9">
        <v>0</v>
      </c>
      <c r="L129" s="9">
        <v>0</v>
      </c>
      <c r="M129" s="9">
        <v>0</v>
      </c>
      <c r="N129" s="10">
        <v>20795.79</v>
      </c>
      <c r="O129" s="9">
        <v>0</v>
      </c>
      <c r="P129" s="9">
        <v>0</v>
      </c>
      <c r="Q129" s="9">
        <v>0</v>
      </c>
      <c r="R129" s="11">
        <f t="shared" si="0"/>
        <v>256569.55000000002</v>
      </c>
    </row>
    <row r="130" spans="1:18" ht="12.75" x14ac:dyDescent="0.2">
      <c r="A130" s="9" t="s">
        <v>332</v>
      </c>
      <c r="B130" s="9" t="s">
        <v>17</v>
      </c>
      <c r="C130" s="9" t="s">
        <v>18</v>
      </c>
      <c r="D130" s="9" t="s">
        <v>74</v>
      </c>
      <c r="E130" s="9" t="s">
        <v>77</v>
      </c>
      <c r="F130" s="9" t="s">
        <v>334</v>
      </c>
      <c r="G130" s="9" t="s">
        <v>55</v>
      </c>
      <c r="H130" s="10">
        <v>602492.1</v>
      </c>
      <c r="I130" s="10">
        <v>438234.75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11">
        <f t="shared" si="0"/>
        <v>1040726.85</v>
      </c>
    </row>
    <row r="131" spans="1:18" ht="12.75" x14ac:dyDescent="0.2">
      <c r="A131" s="9" t="s">
        <v>332</v>
      </c>
      <c r="B131" s="9" t="s">
        <v>17</v>
      </c>
      <c r="C131" s="9" t="s">
        <v>18</v>
      </c>
      <c r="D131" s="9" t="s">
        <v>74</v>
      </c>
      <c r="E131" s="9" t="s">
        <v>78</v>
      </c>
      <c r="F131" s="9" t="s">
        <v>334</v>
      </c>
      <c r="G131" s="9" t="s">
        <v>21</v>
      </c>
      <c r="H131" s="10">
        <v>873254.22</v>
      </c>
      <c r="I131" s="10">
        <v>8508.92</v>
      </c>
      <c r="J131" s="10">
        <v>29055.75</v>
      </c>
      <c r="K131" s="10">
        <v>19276.96</v>
      </c>
      <c r="L131" s="10">
        <v>16480.400000000001</v>
      </c>
      <c r="M131" s="10">
        <v>20561.259999999998</v>
      </c>
      <c r="N131" s="10">
        <v>20902.009999999998</v>
      </c>
      <c r="O131" s="10">
        <v>21399.62</v>
      </c>
      <c r="P131" s="10">
        <v>18872.310000000001</v>
      </c>
      <c r="Q131" s="10">
        <v>20916.990000000002</v>
      </c>
      <c r="R131" s="11">
        <f t="shared" si="0"/>
        <v>1049228.4400000002</v>
      </c>
    </row>
    <row r="132" spans="1:18" ht="12.75" x14ac:dyDescent="0.2">
      <c r="A132" s="9" t="s">
        <v>332</v>
      </c>
      <c r="B132" s="9" t="s">
        <v>17</v>
      </c>
      <c r="C132" s="9" t="s">
        <v>36</v>
      </c>
      <c r="D132" s="9" t="s">
        <v>74</v>
      </c>
      <c r="E132" s="9" t="s">
        <v>78</v>
      </c>
      <c r="F132" s="9" t="s">
        <v>334</v>
      </c>
      <c r="G132" s="9" t="s">
        <v>37</v>
      </c>
      <c r="H132" s="10">
        <v>991118.22</v>
      </c>
      <c r="I132" s="10">
        <v>702335.82</v>
      </c>
      <c r="J132" s="10">
        <v>1299310.3899999999</v>
      </c>
      <c r="K132" s="10">
        <v>3158927.29</v>
      </c>
      <c r="L132" s="10">
        <v>3671229.26</v>
      </c>
      <c r="M132" s="10">
        <v>3852023.02</v>
      </c>
      <c r="N132" s="10">
        <v>3475215.32</v>
      </c>
      <c r="O132" s="10">
        <v>3310018.49</v>
      </c>
      <c r="P132" s="10">
        <v>3360583.95</v>
      </c>
      <c r="Q132" s="10">
        <v>3336859.61</v>
      </c>
      <c r="R132" s="11">
        <f t="shared" si="0"/>
        <v>27157621.370000001</v>
      </c>
    </row>
    <row r="133" spans="1:18" ht="12.75" x14ac:dyDescent="0.2">
      <c r="A133" s="9" t="s">
        <v>332</v>
      </c>
      <c r="B133" s="9" t="s">
        <v>17</v>
      </c>
      <c r="C133" s="9" t="s">
        <v>18</v>
      </c>
      <c r="D133" s="9" t="s">
        <v>74</v>
      </c>
      <c r="E133" s="9" t="s">
        <v>78</v>
      </c>
      <c r="F133" s="9" t="s">
        <v>334</v>
      </c>
      <c r="G133" s="9" t="s">
        <v>28</v>
      </c>
      <c r="H133" s="9" t="s">
        <v>29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10">
        <v>20795.79</v>
      </c>
      <c r="O133" s="9">
        <v>0</v>
      </c>
      <c r="P133" s="10">
        <v>9618.34</v>
      </c>
      <c r="Q133" s="9">
        <v>0</v>
      </c>
      <c r="R133" s="12">
        <f t="shared" si="0"/>
        <v>30414.13</v>
      </c>
    </row>
    <row r="134" spans="1:18" ht="12.75" x14ac:dyDescent="0.2">
      <c r="A134" s="9" t="s">
        <v>332</v>
      </c>
      <c r="B134" s="9" t="s">
        <v>17</v>
      </c>
      <c r="C134" s="9" t="s">
        <v>18</v>
      </c>
      <c r="D134" s="9" t="s">
        <v>74</v>
      </c>
      <c r="E134" s="9" t="s">
        <v>79</v>
      </c>
      <c r="F134" s="9" t="s">
        <v>334</v>
      </c>
      <c r="G134" s="9" t="s">
        <v>21</v>
      </c>
      <c r="H134" s="10">
        <v>194056.49</v>
      </c>
      <c r="I134" s="10">
        <v>1890.87</v>
      </c>
      <c r="J134" s="10">
        <v>6456.83</v>
      </c>
      <c r="K134" s="10">
        <v>4283.7700000000004</v>
      </c>
      <c r="L134" s="10">
        <v>3662.31</v>
      </c>
      <c r="M134" s="10">
        <v>4569.17</v>
      </c>
      <c r="N134" s="10">
        <v>4644.8900000000003</v>
      </c>
      <c r="O134" s="10">
        <v>4755.47</v>
      </c>
      <c r="P134" s="10">
        <v>4193.8500000000004</v>
      </c>
      <c r="Q134" s="10">
        <v>4648.22</v>
      </c>
      <c r="R134" s="11">
        <f t="shared" si="0"/>
        <v>233161.87</v>
      </c>
    </row>
    <row r="135" spans="1:18" ht="12.75" x14ac:dyDescent="0.2">
      <c r="A135" s="9" t="s">
        <v>332</v>
      </c>
      <c r="B135" s="9" t="s">
        <v>17</v>
      </c>
      <c r="C135" s="9" t="s">
        <v>18</v>
      </c>
      <c r="D135" s="9" t="s">
        <v>74</v>
      </c>
      <c r="E135" s="9" t="s">
        <v>79</v>
      </c>
      <c r="F135" s="9" t="s">
        <v>334</v>
      </c>
      <c r="G135" s="9" t="s">
        <v>24</v>
      </c>
      <c r="H135" s="10">
        <v>98706.15</v>
      </c>
      <c r="I135" s="10">
        <v>2696.88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11">
        <f t="shared" si="0"/>
        <v>101403.03</v>
      </c>
    </row>
    <row r="136" spans="1:18" ht="12.75" x14ac:dyDescent="0.2">
      <c r="A136" s="9" t="s">
        <v>332</v>
      </c>
      <c r="B136" s="9" t="s">
        <v>17</v>
      </c>
      <c r="C136" s="9" t="s">
        <v>36</v>
      </c>
      <c r="D136" s="9" t="s">
        <v>74</v>
      </c>
      <c r="E136" s="9" t="s">
        <v>79</v>
      </c>
      <c r="F136" s="9" t="s">
        <v>334</v>
      </c>
      <c r="G136" s="9" t="s">
        <v>37</v>
      </c>
      <c r="H136" s="10">
        <v>77622.600000000006</v>
      </c>
      <c r="I136" s="10">
        <v>55005.68</v>
      </c>
      <c r="J136" s="10">
        <v>99719.41</v>
      </c>
      <c r="K136" s="10">
        <v>233362.4</v>
      </c>
      <c r="L136" s="10">
        <v>262724.88</v>
      </c>
      <c r="M136" s="10">
        <v>271633.17</v>
      </c>
      <c r="N136" s="10">
        <v>241638.01</v>
      </c>
      <c r="O136" s="10">
        <v>226724.5</v>
      </c>
      <c r="P136" s="10">
        <v>227892.01</v>
      </c>
      <c r="Q136" s="10">
        <v>223881.99</v>
      </c>
      <c r="R136" s="11">
        <f t="shared" si="0"/>
        <v>1920204.65</v>
      </c>
    </row>
    <row r="137" spans="1:18" ht="12.75" x14ac:dyDescent="0.2">
      <c r="A137" s="9" t="s">
        <v>332</v>
      </c>
      <c r="B137" s="9" t="s">
        <v>17</v>
      </c>
      <c r="C137" s="9" t="s">
        <v>18</v>
      </c>
      <c r="D137" s="9" t="s">
        <v>74</v>
      </c>
      <c r="E137" s="9" t="s">
        <v>79</v>
      </c>
      <c r="F137" s="9" t="s">
        <v>334</v>
      </c>
      <c r="G137" s="9" t="s">
        <v>28</v>
      </c>
      <c r="H137" s="10">
        <v>99580.41</v>
      </c>
      <c r="I137" s="10">
        <v>136193.35</v>
      </c>
      <c r="J137" s="9">
        <v>0</v>
      </c>
      <c r="K137" s="9">
        <v>0</v>
      </c>
      <c r="L137" s="9">
        <v>0</v>
      </c>
      <c r="M137" s="9">
        <v>0</v>
      </c>
      <c r="N137" s="10">
        <v>20795.79</v>
      </c>
      <c r="O137" s="9">
        <v>0</v>
      </c>
      <c r="P137" s="9">
        <v>0</v>
      </c>
      <c r="Q137" s="9">
        <v>0</v>
      </c>
      <c r="R137" s="11">
        <f t="shared" si="0"/>
        <v>256569.55000000002</v>
      </c>
    </row>
    <row r="138" spans="1:18" ht="12.75" x14ac:dyDescent="0.2">
      <c r="A138" s="9" t="s">
        <v>332</v>
      </c>
      <c r="B138" s="9" t="s">
        <v>17</v>
      </c>
      <c r="C138" s="9" t="s">
        <v>18</v>
      </c>
      <c r="D138" s="9" t="s">
        <v>74</v>
      </c>
      <c r="E138" s="9" t="s">
        <v>80</v>
      </c>
      <c r="F138" s="9" t="s">
        <v>334</v>
      </c>
      <c r="G138" s="9" t="s">
        <v>24</v>
      </c>
      <c r="H138" s="10">
        <v>334601.09000000003</v>
      </c>
      <c r="I138" s="10">
        <v>9142.09</v>
      </c>
      <c r="J138" s="10">
        <v>14754.71</v>
      </c>
      <c r="K138" s="10">
        <v>56390.97</v>
      </c>
      <c r="L138" s="10">
        <v>54215.06</v>
      </c>
      <c r="M138" s="10">
        <v>18255.72</v>
      </c>
      <c r="N138" s="10">
        <v>19313.259999999998</v>
      </c>
      <c r="O138" s="10">
        <v>45164.18</v>
      </c>
      <c r="P138" s="10">
        <v>39642.83</v>
      </c>
      <c r="Q138" s="10">
        <v>44929.03</v>
      </c>
      <c r="R138" s="11">
        <f t="shared" si="0"/>
        <v>636408.94000000018</v>
      </c>
    </row>
    <row r="139" spans="1:18" ht="12.75" x14ac:dyDescent="0.2">
      <c r="A139" s="9" t="s">
        <v>332</v>
      </c>
      <c r="B139" s="9" t="s">
        <v>17</v>
      </c>
      <c r="C139" s="9" t="s">
        <v>36</v>
      </c>
      <c r="D139" s="9" t="s">
        <v>74</v>
      </c>
      <c r="E139" s="9" t="s">
        <v>80</v>
      </c>
      <c r="F139" s="9" t="s">
        <v>334</v>
      </c>
      <c r="G139" s="9" t="s">
        <v>37</v>
      </c>
      <c r="H139" s="10">
        <v>77622.600000000006</v>
      </c>
      <c r="I139" s="10">
        <v>55005.68</v>
      </c>
      <c r="J139" s="10">
        <v>99719.41</v>
      </c>
      <c r="K139" s="10">
        <v>233362.4</v>
      </c>
      <c r="L139" s="10">
        <v>262724.88</v>
      </c>
      <c r="M139" s="10">
        <v>271633.17</v>
      </c>
      <c r="N139" s="10">
        <v>241638.01</v>
      </c>
      <c r="O139" s="10">
        <v>226724.5</v>
      </c>
      <c r="P139" s="10">
        <v>227892.01</v>
      </c>
      <c r="Q139" s="10">
        <v>223881.99</v>
      </c>
      <c r="R139" s="11">
        <f t="shared" si="0"/>
        <v>1920204.65</v>
      </c>
    </row>
    <row r="140" spans="1:18" ht="12.75" x14ac:dyDescent="0.2">
      <c r="A140" s="9" t="s">
        <v>332</v>
      </c>
      <c r="B140" s="9" t="s">
        <v>17</v>
      </c>
      <c r="C140" s="9" t="s">
        <v>18</v>
      </c>
      <c r="D140" s="9" t="s">
        <v>74</v>
      </c>
      <c r="E140" s="9" t="s">
        <v>80</v>
      </c>
      <c r="F140" s="9" t="s">
        <v>334</v>
      </c>
      <c r="G140" s="9" t="s">
        <v>26</v>
      </c>
      <c r="H140" s="9" t="s">
        <v>29</v>
      </c>
      <c r="I140" s="9">
        <v>0</v>
      </c>
      <c r="J140" s="9">
        <v>0</v>
      </c>
      <c r="K140" s="9">
        <v>0</v>
      </c>
      <c r="L140" s="10">
        <v>20881.63</v>
      </c>
      <c r="M140" s="10">
        <v>11115.82</v>
      </c>
      <c r="N140" s="10">
        <v>10856.7</v>
      </c>
      <c r="O140" s="10">
        <v>10221.66</v>
      </c>
      <c r="P140" s="10">
        <v>11261</v>
      </c>
      <c r="Q140" s="10">
        <v>11035.59</v>
      </c>
      <c r="R140" s="12">
        <f t="shared" si="0"/>
        <v>75372.399999999994</v>
      </c>
    </row>
    <row r="141" spans="1:18" ht="12.75" x14ac:dyDescent="0.2">
      <c r="A141" s="9" t="s">
        <v>332</v>
      </c>
      <c r="B141" s="9" t="s">
        <v>17</v>
      </c>
      <c r="C141" s="9" t="s">
        <v>18</v>
      </c>
      <c r="D141" s="9" t="s">
        <v>74</v>
      </c>
      <c r="E141" s="9" t="s">
        <v>80</v>
      </c>
      <c r="F141" s="9" t="s">
        <v>334</v>
      </c>
      <c r="G141" s="9" t="s">
        <v>28</v>
      </c>
      <c r="H141" s="10">
        <v>99580.41</v>
      </c>
      <c r="I141" s="10">
        <v>136193.35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11">
        <f t="shared" si="0"/>
        <v>235773.76</v>
      </c>
    </row>
    <row r="142" spans="1:18" ht="12.75" x14ac:dyDescent="0.2">
      <c r="A142" s="9" t="s">
        <v>332</v>
      </c>
      <c r="B142" s="9" t="s">
        <v>17</v>
      </c>
      <c r="C142" s="9" t="s">
        <v>18</v>
      </c>
      <c r="D142" s="9" t="s">
        <v>74</v>
      </c>
      <c r="E142" s="9" t="s">
        <v>81</v>
      </c>
      <c r="F142" s="9" t="s">
        <v>334</v>
      </c>
      <c r="G142" s="9" t="s">
        <v>21</v>
      </c>
      <c r="H142" s="10">
        <v>873254.22</v>
      </c>
      <c r="I142" s="10">
        <v>8508.92</v>
      </c>
      <c r="J142" s="10">
        <v>29055.75</v>
      </c>
      <c r="K142" s="10">
        <v>19276.96</v>
      </c>
      <c r="L142" s="10">
        <v>16480.400000000001</v>
      </c>
      <c r="M142" s="10">
        <v>20561.259999999998</v>
      </c>
      <c r="N142" s="10">
        <v>20902.009999999998</v>
      </c>
      <c r="O142" s="10">
        <v>21399.62</v>
      </c>
      <c r="P142" s="10">
        <v>18872.310000000001</v>
      </c>
      <c r="Q142" s="10">
        <v>20916.990000000002</v>
      </c>
      <c r="R142" s="11">
        <f t="shared" si="0"/>
        <v>1049228.4400000002</v>
      </c>
    </row>
    <row r="143" spans="1:18" ht="12.75" x14ac:dyDescent="0.2">
      <c r="A143" s="9" t="s">
        <v>332</v>
      </c>
      <c r="B143" s="9" t="s">
        <v>17</v>
      </c>
      <c r="C143" s="9" t="s">
        <v>18</v>
      </c>
      <c r="D143" s="9" t="s">
        <v>74</v>
      </c>
      <c r="E143" s="9" t="s">
        <v>81</v>
      </c>
      <c r="F143" s="9" t="s">
        <v>334</v>
      </c>
      <c r="G143" s="9" t="s">
        <v>24</v>
      </c>
      <c r="H143" s="10">
        <v>74563.37</v>
      </c>
      <c r="I143" s="10">
        <v>2037.25</v>
      </c>
      <c r="J143" s="10">
        <v>2156.25</v>
      </c>
      <c r="K143" s="9">
        <v>0</v>
      </c>
      <c r="L143" s="10">
        <v>11535.8</v>
      </c>
      <c r="M143" s="9">
        <v>0</v>
      </c>
      <c r="N143" s="10">
        <v>21031.88</v>
      </c>
      <c r="O143" s="10">
        <v>2266.8000000000002</v>
      </c>
      <c r="P143" s="10">
        <v>44232.08</v>
      </c>
      <c r="Q143" s="10">
        <v>5865.97</v>
      </c>
      <c r="R143" s="11">
        <f t="shared" si="0"/>
        <v>163689.4</v>
      </c>
    </row>
    <row r="144" spans="1:18" ht="12.75" x14ac:dyDescent="0.2">
      <c r="A144" s="9" t="s">
        <v>332</v>
      </c>
      <c r="B144" s="9" t="s">
        <v>17</v>
      </c>
      <c r="C144" s="9" t="s">
        <v>36</v>
      </c>
      <c r="D144" s="9" t="s">
        <v>74</v>
      </c>
      <c r="E144" s="9" t="s">
        <v>81</v>
      </c>
      <c r="F144" s="9" t="s">
        <v>334</v>
      </c>
      <c r="G144" s="9" t="s">
        <v>37</v>
      </c>
      <c r="H144" s="10">
        <v>77622.600000000006</v>
      </c>
      <c r="I144" s="10">
        <v>55005.68</v>
      </c>
      <c r="J144" s="10">
        <v>988752.81</v>
      </c>
      <c r="K144" s="10">
        <v>233362.4</v>
      </c>
      <c r="L144" s="10">
        <v>262724.88</v>
      </c>
      <c r="M144" s="10">
        <v>4219599.68</v>
      </c>
      <c r="N144" s="10">
        <v>241638.01</v>
      </c>
      <c r="O144" s="10">
        <v>226724.5</v>
      </c>
      <c r="P144" s="10">
        <v>3686415.88</v>
      </c>
      <c r="Q144" s="10">
        <v>1682900.69</v>
      </c>
      <c r="R144" s="11">
        <f t="shared" si="0"/>
        <v>11674747.129999999</v>
      </c>
    </row>
    <row r="145" spans="1:18" ht="12.75" x14ac:dyDescent="0.2">
      <c r="A145" s="9" t="s">
        <v>332</v>
      </c>
      <c r="B145" s="9" t="s">
        <v>17</v>
      </c>
      <c r="C145" s="9" t="s">
        <v>18</v>
      </c>
      <c r="D145" s="9" t="s">
        <v>74</v>
      </c>
      <c r="E145" s="9" t="s">
        <v>81</v>
      </c>
      <c r="F145" s="9" t="s">
        <v>334</v>
      </c>
      <c r="G145" s="9" t="s">
        <v>27</v>
      </c>
      <c r="H145" s="9" t="s">
        <v>29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10">
        <v>113287.31</v>
      </c>
      <c r="Q145" s="9">
        <v>0</v>
      </c>
      <c r="R145" s="12">
        <f t="shared" si="0"/>
        <v>113287.31</v>
      </c>
    </row>
    <row r="146" spans="1:18" ht="12.75" x14ac:dyDescent="0.2">
      <c r="A146" s="9" t="s">
        <v>332</v>
      </c>
      <c r="B146" s="9" t="s">
        <v>17</v>
      </c>
      <c r="C146" s="9" t="s">
        <v>18</v>
      </c>
      <c r="D146" s="9" t="s">
        <v>74</v>
      </c>
      <c r="E146" s="9" t="s">
        <v>82</v>
      </c>
      <c r="F146" s="9" t="s">
        <v>334</v>
      </c>
      <c r="G146" s="9" t="s">
        <v>24</v>
      </c>
      <c r="H146" s="9" t="s">
        <v>29</v>
      </c>
      <c r="I146" s="9">
        <v>0</v>
      </c>
      <c r="J146" s="9">
        <v>0</v>
      </c>
      <c r="K146" s="10">
        <v>5824.03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12">
        <f t="shared" si="0"/>
        <v>5824.03</v>
      </c>
    </row>
    <row r="147" spans="1:18" ht="12.75" x14ac:dyDescent="0.2">
      <c r="A147" s="9" t="s">
        <v>332</v>
      </c>
      <c r="B147" s="9" t="s">
        <v>17</v>
      </c>
      <c r="C147" s="9" t="s">
        <v>36</v>
      </c>
      <c r="D147" s="9" t="s">
        <v>74</v>
      </c>
      <c r="E147" s="9" t="s">
        <v>82</v>
      </c>
      <c r="F147" s="9" t="s">
        <v>334</v>
      </c>
      <c r="G147" s="9" t="s">
        <v>37</v>
      </c>
      <c r="H147" s="10">
        <v>77622.600000000006</v>
      </c>
      <c r="I147" s="10">
        <v>55005.68</v>
      </c>
      <c r="J147" s="10">
        <v>99719.41</v>
      </c>
      <c r="K147" s="10">
        <v>233362.4</v>
      </c>
      <c r="L147" s="10">
        <v>262724.88</v>
      </c>
      <c r="M147" s="10">
        <v>271633.17</v>
      </c>
      <c r="N147" s="10">
        <v>241638.01</v>
      </c>
      <c r="O147" s="10">
        <v>226724.5</v>
      </c>
      <c r="P147" s="10">
        <v>227892.01</v>
      </c>
      <c r="Q147" s="10">
        <v>223881.99</v>
      </c>
      <c r="R147" s="11">
        <f t="shared" si="0"/>
        <v>1920204.65</v>
      </c>
    </row>
    <row r="148" spans="1:18" ht="12.75" x14ac:dyDescent="0.2">
      <c r="A148" s="9" t="s">
        <v>332</v>
      </c>
      <c r="B148" s="9" t="s">
        <v>17</v>
      </c>
      <c r="C148" s="9" t="s">
        <v>36</v>
      </c>
      <c r="D148" s="9" t="s">
        <v>74</v>
      </c>
      <c r="E148" s="9" t="s">
        <v>83</v>
      </c>
      <c r="F148" s="9" t="s">
        <v>334</v>
      </c>
      <c r="G148" s="9" t="s">
        <v>37</v>
      </c>
      <c r="H148" s="10">
        <v>3205362.7</v>
      </c>
      <c r="I148" s="10">
        <v>2271415.25</v>
      </c>
      <c r="J148" s="10">
        <v>4887461.58</v>
      </c>
      <c r="K148" s="10">
        <v>16589930.210000001</v>
      </c>
      <c r="L148" s="10">
        <v>16562759.859999999</v>
      </c>
      <c r="M148" s="10">
        <v>10332561.58</v>
      </c>
      <c r="N148" s="10">
        <v>15048063.9</v>
      </c>
      <c r="O148" s="10">
        <v>2312104.4700000002</v>
      </c>
      <c r="P148" s="10">
        <v>3050560.91</v>
      </c>
      <c r="Q148" s="10">
        <v>22713909.239999998</v>
      </c>
      <c r="R148" s="11">
        <f t="shared" si="0"/>
        <v>96974129.699999988</v>
      </c>
    </row>
    <row r="149" spans="1:18" ht="12.75" x14ac:dyDescent="0.2">
      <c r="A149" s="9" t="s">
        <v>332</v>
      </c>
      <c r="B149" s="9" t="s">
        <v>17</v>
      </c>
      <c r="C149" s="9" t="s">
        <v>18</v>
      </c>
      <c r="D149" s="9" t="s">
        <v>74</v>
      </c>
      <c r="E149" s="9" t="s">
        <v>84</v>
      </c>
      <c r="F149" s="9" t="s">
        <v>334</v>
      </c>
      <c r="G149" s="9" t="s">
        <v>21</v>
      </c>
      <c r="H149" s="10">
        <v>873254.22</v>
      </c>
      <c r="I149" s="10">
        <v>8508.92</v>
      </c>
      <c r="J149" s="10">
        <v>29055.75</v>
      </c>
      <c r="K149" s="10">
        <v>19276.96</v>
      </c>
      <c r="L149" s="10">
        <v>16480.400000000001</v>
      </c>
      <c r="M149" s="10">
        <v>20561.259999999998</v>
      </c>
      <c r="N149" s="10">
        <v>20902.009999999998</v>
      </c>
      <c r="O149" s="10">
        <v>21399.62</v>
      </c>
      <c r="P149" s="10">
        <v>18872.310000000001</v>
      </c>
      <c r="Q149" s="10">
        <v>20916.990000000002</v>
      </c>
      <c r="R149" s="11">
        <f t="shared" si="0"/>
        <v>1049228.4400000002</v>
      </c>
    </row>
    <row r="150" spans="1:18" ht="12.75" x14ac:dyDescent="0.2">
      <c r="A150" s="9" t="s">
        <v>332</v>
      </c>
      <c r="B150" s="9" t="s">
        <v>17</v>
      </c>
      <c r="C150" s="9" t="s">
        <v>36</v>
      </c>
      <c r="D150" s="9" t="s">
        <v>74</v>
      </c>
      <c r="E150" s="9" t="s">
        <v>84</v>
      </c>
      <c r="F150" s="9" t="s">
        <v>334</v>
      </c>
      <c r="G150" s="9" t="s">
        <v>37</v>
      </c>
      <c r="H150" s="10">
        <v>77622.600000000006</v>
      </c>
      <c r="I150" s="10">
        <v>55005.68</v>
      </c>
      <c r="J150" s="10">
        <v>99719.41</v>
      </c>
      <c r="K150" s="10">
        <v>233362.4</v>
      </c>
      <c r="L150" s="10">
        <v>262724.88</v>
      </c>
      <c r="M150" s="10">
        <v>271633.17</v>
      </c>
      <c r="N150" s="10">
        <v>241638.01</v>
      </c>
      <c r="O150" s="10">
        <v>226724.5</v>
      </c>
      <c r="P150" s="10">
        <v>227892.01</v>
      </c>
      <c r="Q150" s="10">
        <v>223881.99</v>
      </c>
      <c r="R150" s="11">
        <f t="shared" si="0"/>
        <v>1920204.65</v>
      </c>
    </row>
    <row r="151" spans="1:18" ht="12.75" x14ac:dyDescent="0.2">
      <c r="A151" s="9" t="s">
        <v>332</v>
      </c>
      <c r="B151" s="9" t="s">
        <v>17</v>
      </c>
      <c r="C151" s="9" t="s">
        <v>18</v>
      </c>
      <c r="D151" s="9" t="s">
        <v>74</v>
      </c>
      <c r="E151" s="9" t="s">
        <v>84</v>
      </c>
      <c r="F151" s="9" t="s">
        <v>334</v>
      </c>
      <c r="G151" s="9" t="s">
        <v>25</v>
      </c>
      <c r="H151" s="9" t="s">
        <v>29</v>
      </c>
      <c r="I151" s="9">
        <v>0</v>
      </c>
      <c r="J151" s="9">
        <v>0</v>
      </c>
      <c r="K151" s="9">
        <v>0</v>
      </c>
      <c r="L151" s="9">
        <v>0</v>
      </c>
      <c r="M151" s="10">
        <v>141709.6</v>
      </c>
      <c r="N151" s="9">
        <v>0</v>
      </c>
      <c r="O151" s="9">
        <v>0</v>
      </c>
      <c r="P151" s="9">
        <v>0</v>
      </c>
      <c r="Q151" s="9">
        <v>0</v>
      </c>
      <c r="R151" s="12">
        <f t="shared" si="0"/>
        <v>141709.6</v>
      </c>
    </row>
    <row r="152" spans="1:18" ht="12.75" x14ac:dyDescent="0.2">
      <c r="A152" s="9" t="s">
        <v>332</v>
      </c>
      <c r="B152" s="9" t="s">
        <v>17</v>
      </c>
      <c r="C152" s="9" t="s">
        <v>18</v>
      </c>
      <c r="D152" s="9" t="s">
        <v>74</v>
      </c>
      <c r="E152" s="9" t="s">
        <v>84</v>
      </c>
      <c r="F152" s="9" t="s">
        <v>334</v>
      </c>
      <c r="G152" s="9" t="s">
        <v>28</v>
      </c>
      <c r="H152" s="9" t="s">
        <v>29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10">
        <v>20795.79</v>
      </c>
      <c r="O152" s="9">
        <v>0</v>
      </c>
      <c r="P152" s="9">
        <v>0</v>
      </c>
      <c r="Q152" s="9">
        <v>0</v>
      </c>
      <c r="R152" s="12">
        <f t="shared" si="0"/>
        <v>20795.79</v>
      </c>
    </row>
    <row r="153" spans="1:18" ht="12.75" x14ac:dyDescent="0.2">
      <c r="A153" s="9" t="s">
        <v>332</v>
      </c>
      <c r="B153" s="9" t="s">
        <v>17</v>
      </c>
      <c r="C153" s="9" t="s">
        <v>18</v>
      </c>
      <c r="D153" s="9" t="s">
        <v>74</v>
      </c>
      <c r="E153" s="9" t="s">
        <v>85</v>
      </c>
      <c r="F153" s="9" t="s">
        <v>334</v>
      </c>
      <c r="G153" s="9" t="s">
        <v>21</v>
      </c>
      <c r="H153" s="10">
        <v>242570.62</v>
      </c>
      <c r="I153" s="10">
        <v>2363.59</v>
      </c>
      <c r="J153" s="10">
        <v>8071.04</v>
      </c>
      <c r="K153" s="10">
        <v>5354.71</v>
      </c>
      <c r="L153" s="10">
        <v>4577.8900000000003</v>
      </c>
      <c r="M153" s="10">
        <v>5711.46</v>
      </c>
      <c r="N153" s="10">
        <v>5806.11</v>
      </c>
      <c r="O153" s="10">
        <v>5944.34</v>
      </c>
      <c r="P153" s="10">
        <v>5242.3100000000004</v>
      </c>
      <c r="Q153" s="10">
        <v>5810.28</v>
      </c>
      <c r="R153" s="11">
        <f t="shared" si="0"/>
        <v>291452.35000000003</v>
      </c>
    </row>
    <row r="154" spans="1:18" ht="12.75" x14ac:dyDescent="0.2">
      <c r="A154" s="9" t="s">
        <v>332</v>
      </c>
      <c r="B154" s="9" t="s">
        <v>17</v>
      </c>
      <c r="C154" s="9" t="s">
        <v>36</v>
      </c>
      <c r="D154" s="9" t="s">
        <v>74</v>
      </c>
      <c r="E154" s="9" t="s">
        <v>86</v>
      </c>
      <c r="F154" s="9" t="s">
        <v>334</v>
      </c>
      <c r="G154" s="9" t="s">
        <v>37</v>
      </c>
      <c r="H154" s="10">
        <v>620980.78</v>
      </c>
      <c r="I154" s="10">
        <v>440045.43</v>
      </c>
      <c r="J154" s="10">
        <v>797755.31</v>
      </c>
      <c r="K154" s="10">
        <v>1866899.18</v>
      </c>
      <c r="L154" s="10">
        <v>2101799.0299999998</v>
      </c>
      <c r="M154" s="10">
        <v>2173065.4</v>
      </c>
      <c r="N154" s="10">
        <v>1933104.11</v>
      </c>
      <c r="O154" s="10">
        <v>1813796.01</v>
      </c>
      <c r="P154" s="10">
        <v>1823136.04</v>
      </c>
      <c r="Q154" s="10">
        <v>1791055.92</v>
      </c>
      <c r="R154" s="11">
        <f t="shared" si="0"/>
        <v>15361637.209999999</v>
      </c>
    </row>
    <row r="155" spans="1:18" ht="12.75" x14ac:dyDescent="0.2">
      <c r="A155" s="9" t="s">
        <v>332</v>
      </c>
      <c r="B155" s="9" t="s">
        <v>17</v>
      </c>
      <c r="C155" s="9" t="s">
        <v>36</v>
      </c>
      <c r="D155" s="9" t="s">
        <v>87</v>
      </c>
      <c r="E155" s="9" t="s">
        <v>88</v>
      </c>
      <c r="F155" s="9" t="s">
        <v>334</v>
      </c>
      <c r="G155" s="9" t="s">
        <v>37</v>
      </c>
      <c r="H155" s="10">
        <v>428252.76</v>
      </c>
      <c r="I155" s="10">
        <v>303472.63</v>
      </c>
      <c r="J155" s="10">
        <v>562376.15</v>
      </c>
      <c r="K155" s="9">
        <v>0</v>
      </c>
      <c r="L155" s="10">
        <v>9914141.9600000009</v>
      </c>
      <c r="M155" s="10">
        <v>4303006.3600000003</v>
      </c>
      <c r="N155" s="10">
        <v>3886197.93</v>
      </c>
      <c r="O155" s="10">
        <v>3705583.55</v>
      </c>
      <c r="P155" s="10">
        <v>3764951.38</v>
      </c>
      <c r="Q155" s="10">
        <v>3741258.25</v>
      </c>
      <c r="R155" s="11">
        <f t="shared" si="0"/>
        <v>30609240.969999999</v>
      </c>
    </row>
    <row r="156" spans="1:18" ht="12.75" x14ac:dyDescent="0.2">
      <c r="A156" s="9" t="s">
        <v>332</v>
      </c>
      <c r="B156" s="9" t="s">
        <v>17</v>
      </c>
      <c r="C156" s="9" t="s">
        <v>18</v>
      </c>
      <c r="D156" s="9" t="s">
        <v>87</v>
      </c>
      <c r="E156" s="9" t="s">
        <v>89</v>
      </c>
      <c r="F156" s="9" t="s">
        <v>334</v>
      </c>
      <c r="G156" s="9" t="s">
        <v>21</v>
      </c>
      <c r="H156" s="9" t="s">
        <v>29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276.83999999999997</v>
      </c>
      <c r="Q156" s="10">
        <v>1322.29</v>
      </c>
      <c r="R156" s="12">
        <f t="shared" si="0"/>
        <v>1599.1299999999999</v>
      </c>
    </row>
    <row r="157" spans="1:18" ht="12.75" x14ac:dyDescent="0.2">
      <c r="A157" s="9" t="s">
        <v>332</v>
      </c>
      <c r="B157" s="9" t="s">
        <v>17</v>
      </c>
      <c r="C157" s="9" t="s">
        <v>18</v>
      </c>
      <c r="D157" s="9" t="s">
        <v>87</v>
      </c>
      <c r="E157" s="9" t="s">
        <v>89</v>
      </c>
      <c r="F157" s="9" t="s">
        <v>334</v>
      </c>
      <c r="G157" s="9" t="s">
        <v>24</v>
      </c>
      <c r="H157" s="10">
        <v>15382.78</v>
      </c>
      <c r="I157" s="9">
        <v>420.29</v>
      </c>
      <c r="J157" s="9">
        <v>650.59</v>
      </c>
      <c r="K157" s="10">
        <v>23098.63</v>
      </c>
      <c r="L157" s="10">
        <v>16558.8</v>
      </c>
      <c r="M157" s="10">
        <v>1152.33</v>
      </c>
      <c r="N157" s="10">
        <v>24901.65</v>
      </c>
      <c r="O157" s="9">
        <v>0</v>
      </c>
      <c r="P157" s="10">
        <v>16197.09</v>
      </c>
      <c r="Q157" s="10">
        <v>7947.48</v>
      </c>
      <c r="R157" s="11">
        <f t="shared" si="0"/>
        <v>106309.64</v>
      </c>
    </row>
    <row r="158" spans="1:18" ht="12.75" x14ac:dyDescent="0.2">
      <c r="A158" s="9" t="s">
        <v>332</v>
      </c>
      <c r="B158" s="9" t="s">
        <v>17</v>
      </c>
      <c r="C158" s="9" t="s">
        <v>36</v>
      </c>
      <c r="D158" s="9" t="s">
        <v>87</v>
      </c>
      <c r="E158" s="9" t="s">
        <v>89</v>
      </c>
      <c r="F158" s="9" t="s">
        <v>334</v>
      </c>
      <c r="G158" s="9" t="s">
        <v>37</v>
      </c>
      <c r="H158" s="10">
        <v>291084.74</v>
      </c>
      <c r="I158" s="10">
        <v>206271.29</v>
      </c>
      <c r="J158" s="10">
        <v>373947.8</v>
      </c>
      <c r="K158" s="10">
        <v>875108.99</v>
      </c>
      <c r="L158" s="10">
        <v>985218.3</v>
      </c>
      <c r="M158" s="10">
        <v>1018624.41</v>
      </c>
      <c r="N158" s="10">
        <v>906142.55</v>
      </c>
      <c r="O158" s="10">
        <v>850216.88</v>
      </c>
      <c r="P158" s="10">
        <v>854595.02</v>
      </c>
      <c r="Q158" s="10">
        <v>839557.46</v>
      </c>
      <c r="R158" s="11">
        <f t="shared" si="0"/>
        <v>7200767.4400000004</v>
      </c>
    </row>
    <row r="159" spans="1:18" ht="12.75" x14ac:dyDescent="0.2">
      <c r="A159" s="9" t="s">
        <v>332</v>
      </c>
      <c r="B159" s="9" t="s">
        <v>17</v>
      </c>
      <c r="C159" s="9" t="s">
        <v>36</v>
      </c>
      <c r="D159" s="9" t="s">
        <v>87</v>
      </c>
      <c r="E159" s="9" t="s">
        <v>89</v>
      </c>
      <c r="F159" s="9" t="s">
        <v>334</v>
      </c>
      <c r="G159" s="9" t="s">
        <v>37</v>
      </c>
      <c r="H159" s="10">
        <v>669595.62</v>
      </c>
      <c r="I159" s="10">
        <v>474495.35</v>
      </c>
      <c r="J159" s="9">
        <v>0</v>
      </c>
      <c r="K159" s="10">
        <v>2509194.06</v>
      </c>
      <c r="L159" s="9">
        <v>0</v>
      </c>
      <c r="M159" s="9">
        <v>0</v>
      </c>
      <c r="N159" s="9">
        <v>0</v>
      </c>
      <c r="O159" s="9">
        <v>0</v>
      </c>
      <c r="P159" s="10">
        <v>3215214.73</v>
      </c>
      <c r="Q159" s="10">
        <v>2281824</v>
      </c>
      <c r="R159" s="11">
        <f t="shared" si="0"/>
        <v>9150323.7599999998</v>
      </c>
    </row>
    <row r="160" spans="1:18" ht="12.75" x14ac:dyDescent="0.2">
      <c r="A160" s="9" t="s">
        <v>332</v>
      </c>
      <c r="B160" s="9" t="s">
        <v>17</v>
      </c>
      <c r="C160" s="9" t="s">
        <v>18</v>
      </c>
      <c r="D160" s="9" t="s">
        <v>87</v>
      </c>
      <c r="E160" s="9" t="s">
        <v>89</v>
      </c>
      <c r="F160" s="9" t="s">
        <v>334</v>
      </c>
      <c r="G160" s="9" t="s">
        <v>25</v>
      </c>
      <c r="H160" s="9" t="s">
        <v>29</v>
      </c>
      <c r="I160" s="9">
        <v>0</v>
      </c>
      <c r="J160" s="9">
        <v>0</v>
      </c>
      <c r="K160" s="10">
        <v>476994.44</v>
      </c>
      <c r="L160" s="10">
        <v>43540.77</v>
      </c>
      <c r="M160" s="10">
        <v>23622.65</v>
      </c>
      <c r="N160" s="9">
        <v>0</v>
      </c>
      <c r="O160" s="9">
        <v>0</v>
      </c>
      <c r="P160" s="9">
        <v>0</v>
      </c>
      <c r="Q160" s="9">
        <v>0</v>
      </c>
      <c r="R160" s="12">
        <f t="shared" si="0"/>
        <v>544157.86</v>
      </c>
    </row>
    <row r="161" spans="1:18" ht="12.75" x14ac:dyDescent="0.2">
      <c r="A161" s="9" t="s">
        <v>332</v>
      </c>
      <c r="B161" s="9" t="s">
        <v>17</v>
      </c>
      <c r="C161" s="9" t="s">
        <v>18</v>
      </c>
      <c r="D161" s="9" t="s">
        <v>87</v>
      </c>
      <c r="E161" s="9" t="s">
        <v>89</v>
      </c>
      <c r="F161" s="9" t="s">
        <v>334</v>
      </c>
      <c r="G161" s="9" t="s">
        <v>26</v>
      </c>
      <c r="H161" s="10">
        <v>179209.35</v>
      </c>
      <c r="I161" s="10">
        <v>11370.18</v>
      </c>
      <c r="J161" s="10">
        <v>22065.19</v>
      </c>
      <c r="K161" s="10">
        <v>7430.89</v>
      </c>
      <c r="L161" s="10">
        <v>10271.75</v>
      </c>
      <c r="M161" s="9">
        <v>0</v>
      </c>
      <c r="N161" s="10">
        <v>8036.47</v>
      </c>
      <c r="O161" s="10">
        <v>9463</v>
      </c>
      <c r="P161" s="10">
        <v>10043.959999999999</v>
      </c>
      <c r="Q161" s="10">
        <v>8883.5400000000009</v>
      </c>
      <c r="R161" s="11">
        <f t="shared" si="0"/>
        <v>266774.33</v>
      </c>
    </row>
    <row r="162" spans="1:18" ht="12.75" x14ac:dyDescent="0.2">
      <c r="A162" s="9" t="s">
        <v>332</v>
      </c>
      <c r="B162" s="9" t="s">
        <v>17</v>
      </c>
      <c r="C162" s="9" t="s">
        <v>18</v>
      </c>
      <c r="D162" s="9" t="s">
        <v>87</v>
      </c>
      <c r="E162" s="9" t="s">
        <v>89</v>
      </c>
      <c r="F162" s="9" t="s">
        <v>334</v>
      </c>
      <c r="G162" s="9" t="s">
        <v>38</v>
      </c>
      <c r="H162" s="10">
        <v>582169.48</v>
      </c>
      <c r="I162" s="10">
        <v>1107991.6599999999</v>
      </c>
      <c r="J162" s="10">
        <v>1934995</v>
      </c>
      <c r="K162" s="10">
        <v>1663809.96</v>
      </c>
      <c r="L162" s="10">
        <v>1739847.69</v>
      </c>
      <c r="M162" s="10">
        <v>2660985.0099999998</v>
      </c>
      <c r="N162" s="10">
        <v>1501659.76</v>
      </c>
      <c r="O162" s="10">
        <v>640074.57999999996</v>
      </c>
      <c r="P162" s="10">
        <v>2423762.2799999998</v>
      </c>
      <c r="Q162" s="10">
        <v>1338947.71</v>
      </c>
      <c r="R162" s="11">
        <f t="shared" si="0"/>
        <v>15594243.129999999</v>
      </c>
    </row>
    <row r="163" spans="1:18" ht="12.75" x14ac:dyDescent="0.2">
      <c r="A163" s="9" t="s">
        <v>332</v>
      </c>
      <c r="B163" s="9" t="s">
        <v>17</v>
      </c>
      <c r="C163" s="9" t="s">
        <v>18</v>
      </c>
      <c r="D163" s="9" t="s">
        <v>87</v>
      </c>
      <c r="E163" s="9" t="s">
        <v>89</v>
      </c>
      <c r="F163" s="9" t="s">
        <v>334</v>
      </c>
      <c r="G163" s="9" t="s">
        <v>27</v>
      </c>
      <c r="H163" s="9" t="s">
        <v>29</v>
      </c>
      <c r="I163" s="9">
        <v>0</v>
      </c>
      <c r="J163" s="9">
        <v>0</v>
      </c>
      <c r="K163" s="10">
        <v>10176.99</v>
      </c>
      <c r="L163" s="9">
        <v>0</v>
      </c>
      <c r="M163" s="9">
        <v>0</v>
      </c>
      <c r="N163" s="9">
        <v>0</v>
      </c>
      <c r="O163" s="9">
        <v>0</v>
      </c>
      <c r="P163" s="10">
        <v>397377.02</v>
      </c>
      <c r="Q163" s="9">
        <v>0</v>
      </c>
      <c r="R163" s="12">
        <f t="shared" si="0"/>
        <v>407554.01</v>
      </c>
    </row>
    <row r="164" spans="1:18" ht="12.75" x14ac:dyDescent="0.2">
      <c r="A164" s="9" t="s">
        <v>332</v>
      </c>
      <c r="B164" s="9" t="s">
        <v>17</v>
      </c>
      <c r="C164" s="9" t="s">
        <v>18</v>
      </c>
      <c r="D164" s="9" t="s">
        <v>87</v>
      </c>
      <c r="E164" s="9" t="s">
        <v>89</v>
      </c>
      <c r="F164" s="9" t="s">
        <v>334</v>
      </c>
      <c r="G164" s="9" t="s">
        <v>27</v>
      </c>
      <c r="H164" s="9" t="s">
        <v>29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10">
        <v>40198.92</v>
      </c>
      <c r="Q164" s="10">
        <v>14752.28</v>
      </c>
      <c r="R164" s="12">
        <f t="shared" si="0"/>
        <v>54951.199999999997</v>
      </c>
    </row>
    <row r="165" spans="1:18" ht="12.75" x14ac:dyDescent="0.2">
      <c r="A165" s="9" t="s">
        <v>332</v>
      </c>
      <c r="B165" s="9" t="s">
        <v>17</v>
      </c>
      <c r="C165" s="9" t="s">
        <v>18</v>
      </c>
      <c r="D165" s="9" t="s">
        <v>87</v>
      </c>
      <c r="E165" s="9" t="s">
        <v>89</v>
      </c>
      <c r="F165" s="9" t="s">
        <v>334</v>
      </c>
      <c r="G165" s="9" t="s">
        <v>27</v>
      </c>
      <c r="H165" s="10">
        <v>194056.49</v>
      </c>
      <c r="I165" s="10">
        <v>41150.36</v>
      </c>
      <c r="J165" s="10">
        <v>92067.69</v>
      </c>
      <c r="K165" s="10">
        <v>103017.47</v>
      </c>
      <c r="L165" s="10">
        <v>60942.62</v>
      </c>
      <c r="M165" s="10">
        <v>88748.81</v>
      </c>
      <c r="N165" s="10">
        <v>89192.93</v>
      </c>
      <c r="O165" s="10">
        <v>73426.27</v>
      </c>
      <c r="P165" s="10">
        <v>66008.38</v>
      </c>
      <c r="Q165" s="10">
        <v>73851.509999999995</v>
      </c>
      <c r="R165" s="11">
        <f t="shared" si="0"/>
        <v>882462.52999999991</v>
      </c>
    </row>
    <row r="166" spans="1:18" ht="12.75" x14ac:dyDescent="0.2">
      <c r="A166" s="9" t="s">
        <v>332</v>
      </c>
      <c r="B166" s="9" t="s">
        <v>17</v>
      </c>
      <c r="C166" s="9" t="s">
        <v>18</v>
      </c>
      <c r="D166" s="9" t="s">
        <v>87</v>
      </c>
      <c r="E166" s="9" t="s">
        <v>89</v>
      </c>
      <c r="F166" s="9" t="s">
        <v>334</v>
      </c>
      <c r="G166" s="9" t="s">
        <v>28</v>
      </c>
      <c r="H166" s="9" t="s">
        <v>29</v>
      </c>
      <c r="I166" s="9">
        <v>0</v>
      </c>
      <c r="J166" s="10">
        <v>110372.54</v>
      </c>
      <c r="K166" s="10">
        <v>19587.87</v>
      </c>
      <c r="L166" s="10">
        <v>27159.200000000001</v>
      </c>
      <c r="M166" s="9">
        <v>0</v>
      </c>
      <c r="N166" s="10">
        <v>12204.78</v>
      </c>
      <c r="O166" s="9">
        <v>0</v>
      </c>
      <c r="P166" s="10">
        <v>37328.339999999997</v>
      </c>
      <c r="Q166" s="10">
        <v>5516.47</v>
      </c>
      <c r="R166" s="12">
        <f t="shared" si="0"/>
        <v>212169.19999999998</v>
      </c>
    </row>
    <row r="167" spans="1:18" ht="12.75" x14ac:dyDescent="0.2">
      <c r="A167" s="9" t="s">
        <v>332</v>
      </c>
      <c r="B167" s="9" t="s">
        <v>17</v>
      </c>
      <c r="C167" s="9" t="s">
        <v>18</v>
      </c>
      <c r="D167" s="9" t="s">
        <v>87</v>
      </c>
      <c r="E167" s="9" t="s">
        <v>89</v>
      </c>
      <c r="F167" s="9" t="s">
        <v>334</v>
      </c>
      <c r="G167" s="9" t="s">
        <v>28</v>
      </c>
      <c r="H167" s="9" t="s">
        <v>29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10">
        <v>19224.099999999999</v>
      </c>
      <c r="Q167" s="10">
        <v>14698.48</v>
      </c>
      <c r="R167" s="12">
        <f t="shared" si="0"/>
        <v>33922.58</v>
      </c>
    </row>
    <row r="168" spans="1:18" ht="12.75" x14ac:dyDescent="0.2">
      <c r="A168" s="9" t="s">
        <v>332</v>
      </c>
      <c r="B168" s="9" t="s">
        <v>17</v>
      </c>
      <c r="C168" s="9" t="s">
        <v>18</v>
      </c>
      <c r="D168" s="9" t="s">
        <v>87</v>
      </c>
      <c r="E168" s="9" t="s">
        <v>90</v>
      </c>
      <c r="F168" s="9" t="s">
        <v>334</v>
      </c>
      <c r="G168" s="9" t="s">
        <v>28</v>
      </c>
      <c r="H168" s="9" t="s">
        <v>29</v>
      </c>
      <c r="I168" s="9">
        <v>0</v>
      </c>
      <c r="J168" s="9">
        <v>0</v>
      </c>
      <c r="K168" s="10">
        <v>58763.62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12">
        <f t="shared" si="0"/>
        <v>58763.62</v>
      </c>
    </row>
    <row r="169" spans="1:18" ht="12.75" x14ac:dyDescent="0.2">
      <c r="A169" s="9" t="s">
        <v>332</v>
      </c>
      <c r="B169" s="9" t="s">
        <v>17</v>
      </c>
      <c r="C169" s="9" t="s">
        <v>18</v>
      </c>
      <c r="D169" s="9" t="s">
        <v>87</v>
      </c>
      <c r="E169" s="9" t="s">
        <v>91</v>
      </c>
      <c r="F169" s="9" t="s">
        <v>334</v>
      </c>
      <c r="G169" s="9" t="s">
        <v>26</v>
      </c>
      <c r="H169" s="10">
        <v>89604.68</v>
      </c>
      <c r="I169" s="10">
        <v>5685.09</v>
      </c>
      <c r="J169" s="9">
        <v>0</v>
      </c>
      <c r="K169" s="9">
        <v>0</v>
      </c>
      <c r="L169" s="10">
        <v>1986.16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11">
        <f t="shared" si="0"/>
        <v>97275.93</v>
      </c>
    </row>
    <row r="170" spans="1:18" ht="12.75" x14ac:dyDescent="0.2">
      <c r="A170" s="9" t="s">
        <v>332</v>
      </c>
      <c r="B170" s="9" t="s">
        <v>17</v>
      </c>
      <c r="C170" s="9" t="s">
        <v>18</v>
      </c>
      <c r="D170" s="9" t="s">
        <v>87</v>
      </c>
      <c r="E170" s="9" t="s">
        <v>91</v>
      </c>
      <c r="F170" s="9" t="s">
        <v>334</v>
      </c>
      <c r="G170" s="9" t="s">
        <v>28</v>
      </c>
      <c r="H170" s="9" t="s">
        <v>29</v>
      </c>
      <c r="I170" s="9">
        <v>0</v>
      </c>
      <c r="J170" s="9">
        <v>0</v>
      </c>
      <c r="K170" s="10">
        <v>19587.87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12">
        <f t="shared" si="0"/>
        <v>19587.87</v>
      </c>
    </row>
    <row r="171" spans="1:18" ht="12.75" x14ac:dyDescent="0.2">
      <c r="A171" s="9" t="s">
        <v>332</v>
      </c>
      <c r="B171" s="9" t="s">
        <v>17</v>
      </c>
      <c r="C171" s="9" t="s">
        <v>18</v>
      </c>
      <c r="D171" s="9" t="s">
        <v>87</v>
      </c>
      <c r="E171" s="9" t="s">
        <v>92</v>
      </c>
      <c r="F171" s="9" t="s">
        <v>334</v>
      </c>
      <c r="G171" s="9" t="s">
        <v>24</v>
      </c>
      <c r="H171" s="9" t="s">
        <v>29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10">
        <v>248024.39</v>
      </c>
      <c r="O171" s="9">
        <v>0</v>
      </c>
      <c r="P171" s="9">
        <v>0</v>
      </c>
      <c r="Q171" s="9">
        <v>0</v>
      </c>
      <c r="R171" s="12">
        <f t="shared" si="0"/>
        <v>248024.39</v>
      </c>
    </row>
    <row r="172" spans="1:18" ht="12.75" x14ac:dyDescent="0.2">
      <c r="A172" s="9" t="s">
        <v>332</v>
      </c>
      <c r="B172" s="9" t="s">
        <v>17</v>
      </c>
      <c r="C172" s="9" t="s">
        <v>36</v>
      </c>
      <c r="D172" s="9" t="s">
        <v>87</v>
      </c>
      <c r="E172" s="9" t="s">
        <v>92</v>
      </c>
      <c r="F172" s="9" t="s">
        <v>334</v>
      </c>
      <c r="G172" s="9" t="s">
        <v>37</v>
      </c>
      <c r="H172" s="9" t="s">
        <v>29</v>
      </c>
      <c r="I172" s="9">
        <v>0</v>
      </c>
      <c r="J172" s="10">
        <v>6207206.4500000002</v>
      </c>
      <c r="K172" s="10">
        <v>15207166.23</v>
      </c>
      <c r="L172" s="10">
        <v>9824415.0600000005</v>
      </c>
      <c r="M172" s="10">
        <v>6190786.2599999998</v>
      </c>
      <c r="N172" s="10">
        <v>17538505.75</v>
      </c>
      <c r="O172" s="10">
        <v>14961244.66</v>
      </c>
      <c r="P172" s="10">
        <v>25303043.109999999</v>
      </c>
      <c r="Q172" s="10">
        <v>12837680.199999999</v>
      </c>
      <c r="R172" s="12">
        <f t="shared" si="0"/>
        <v>108070047.72</v>
      </c>
    </row>
    <row r="173" spans="1:18" ht="12.75" x14ac:dyDescent="0.2">
      <c r="A173" s="9" t="s">
        <v>332</v>
      </c>
      <c r="B173" s="9" t="s">
        <v>17</v>
      </c>
      <c r="C173" s="9" t="s">
        <v>18</v>
      </c>
      <c r="D173" s="9" t="s">
        <v>87</v>
      </c>
      <c r="E173" s="9" t="s">
        <v>92</v>
      </c>
      <c r="F173" s="9" t="s">
        <v>334</v>
      </c>
      <c r="G173" s="9" t="s">
        <v>26</v>
      </c>
      <c r="H173" s="10">
        <v>2841968.08</v>
      </c>
      <c r="I173" s="10">
        <v>180312.47</v>
      </c>
      <c r="J173" s="10">
        <v>365838.04</v>
      </c>
      <c r="K173" s="10">
        <v>143080.29</v>
      </c>
      <c r="L173" s="10">
        <v>73911.149999999994</v>
      </c>
      <c r="M173" s="10">
        <v>29886.39</v>
      </c>
      <c r="N173" s="10">
        <v>64184.42</v>
      </c>
      <c r="O173" s="10">
        <v>135878.62</v>
      </c>
      <c r="P173" s="10">
        <v>77281.37</v>
      </c>
      <c r="Q173" s="10">
        <v>50581.54</v>
      </c>
      <c r="R173" s="11">
        <f t="shared" si="0"/>
        <v>3962922.3700000006</v>
      </c>
    </row>
    <row r="174" spans="1:18" ht="12.75" x14ac:dyDescent="0.2">
      <c r="A174" s="9" t="s">
        <v>332</v>
      </c>
      <c r="B174" s="9" t="s">
        <v>17</v>
      </c>
      <c r="C174" s="9" t="s">
        <v>18</v>
      </c>
      <c r="D174" s="9" t="s">
        <v>87</v>
      </c>
      <c r="E174" s="9" t="s">
        <v>92</v>
      </c>
      <c r="F174" s="9" t="s">
        <v>334</v>
      </c>
      <c r="G174" s="9" t="s">
        <v>55</v>
      </c>
      <c r="H174" s="10">
        <v>489685.07</v>
      </c>
      <c r="I174" s="10">
        <v>356182.29</v>
      </c>
      <c r="J174" s="10">
        <v>1292447.57</v>
      </c>
      <c r="K174" s="10">
        <v>504465.01</v>
      </c>
      <c r="L174" s="10">
        <v>1210824.3899999999</v>
      </c>
      <c r="M174" s="10">
        <v>2639002.81</v>
      </c>
      <c r="N174" s="10">
        <v>993599.56</v>
      </c>
      <c r="O174" s="10">
        <v>526172.30000000005</v>
      </c>
      <c r="P174" s="10">
        <v>930074.83</v>
      </c>
      <c r="Q174" s="10">
        <v>1181414.96</v>
      </c>
      <c r="R174" s="11">
        <f t="shared" si="0"/>
        <v>10123868.789999999</v>
      </c>
    </row>
    <row r="175" spans="1:18" ht="12.75" x14ac:dyDescent="0.2">
      <c r="A175" s="9" t="s">
        <v>332</v>
      </c>
      <c r="B175" s="9" t="s">
        <v>17</v>
      </c>
      <c r="C175" s="9" t="s">
        <v>36</v>
      </c>
      <c r="D175" s="9" t="s">
        <v>87</v>
      </c>
      <c r="E175" s="9" t="s">
        <v>93</v>
      </c>
      <c r="F175" s="9" t="s">
        <v>334</v>
      </c>
      <c r="G175" s="9" t="s">
        <v>37</v>
      </c>
      <c r="H175" s="9" t="s">
        <v>29</v>
      </c>
      <c r="I175" s="9">
        <v>0</v>
      </c>
      <c r="J175" s="10">
        <v>879304.03</v>
      </c>
      <c r="K175" s="10">
        <v>11319836.199999999</v>
      </c>
      <c r="L175" s="10">
        <v>2498446.4700000002</v>
      </c>
      <c r="M175" s="10">
        <v>5163776.8600000003</v>
      </c>
      <c r="N175" s="10">
        <v>5191785.99</v>
      </c>
      <c r="O175" s="10">
        <v>7857425.7300000004</v>
      </c>
      <c r="P175" s="10">
        <v>7110073.8200000003</v>
      </c>
      <c r="Q175" s="10">
        <v>9679184.4700000007</v>
      </c>
      <c r="R175" s="12">
        <f t="shared" si="0"/>
        <v>49699833.569999993</v>
      </c>
    </row>
    <row r="176" spans="1:18" ht="12.75" x14ac:dyDescent="0.2">
      <c r="A176" s="9" t="s">
        <v>332</v>
      </c>
      <c r="B176" s="9" t="s">
        <v>17</v>
      </c>
      <c r="C176" s="9" t="s">
        <v>18</v>
      </c>
      <c r="D176" s="9" t="s">
        <v>87</v>
      </c>
      <c r="E176" s="9" t="s">
        <v>93</v>
      </c>
      <c r="F176" s="9" t="s">
        <v>334</v>
      </c>
      <c r="G176" s="9" t="s">
        <v>26</v>
      </c>
      <c r="H176" s="9" t="s">
        <v>29</v>
      </c>
      <c r="I176" s="9">
        <v>0</v>
      </c>
      <c r="J176" s="10">
        <v>30977.54</v>
      </c>
      <c r="K176" s="10">
        <v>11822.42</v>
      </c>
      <c r="L176" s="10">
        <v>9456.26</v>
      </c>
      <c r="M176" s="10">
        <v>6765.2</v>
      </c>
      <c r="N176" s="9">
        <v>0</v>
      </c>
      <c r="O176" s="10">
        <v>18749.37</v>
      </c>
      <c r="P176" s="9">
        <v>0</v>
      </c>
      <c r="Q176" s="10">
        <v>14629.39</v>
      </c>
      <c r="R176" s="12">
        <f t="shared" si="0"/>
        <v>92400.18</v>
      </c>
    </row>
    <row r="177" spans="1:18" ht="12.75" x14ac:dyDescent="0.2">
      <c r="A177" s="9" t="s">
        <v>332</v>
      </c>
      <c r="B177" s="9" t="s">
        <v>17</v>
      </c>
      <c r="C177" s="9" t="s">
        <v>18</v>
      </c>
      <c r="D177" s="9" t="s">
        <v>87</v>
      </c>
      <c r="E177" s="9" t="s">
        <v>93</v>
      </c>
      <c r="F177" s="9" t="s">
        <v>334</v>
      </c>
      <c r="G177" s="9" t="s">
        <v>55</v>
      </c>
      <c r="H177" s="10">
        <v>344830.59</v>
      </c>
      <c r="I177" s="10">
        <v>250819.47</v>
      </c>
      <c r="J177" s="10">
        <v>602222.4</v>
      </c>
      <c r="K177" s="10">
        <v>210858.06</v>
      </c>
      <c r="L177" s="10">
        <v>463150.04</v>
      </c>
      <c r="M177" s="9">
        <v>0</v>
      </c>
      <c r="N177" s="10">
        <v>300479.87</v>
      </c>
      <c r="O177" s="10">
        <v>603331.28</v>
      </c>
      <c r="P177" s="9">
        <v>0</v>
      </c>
      <c r="Q177" s="9">
        <v>0</v>
      </c>
      <c r="R177" s="11">
        <f t="shared" si="0"/>
        <v>2775691.71</v>
      </c>
    </row>
    <row r="178" spans="1:18" ht="12.75" x14ac:dyDescent="0.2">
      <c r="A178" s="9" t="s">
        <v>332</v>
      </c>
      <c r="B178" s="9" t="s">
        <v>17</v>
      </c>
      <c r="C178" s="9" t="s">
        <v>18</v>
      </c>
      <c r="D178" s="9" t="s">
        <v>87</v>
      </c>
      <c r="E178" s="9" t="s">
        <v>94</v>
      </c>
      <c r="F178" s="9" t="s">
        <v>334</v>
      </c>
      <c r="G178" s="9" t="s">
        <v>24</v>
      </c>
      <c r="H178" s="10">
        <v>291084.74</v>
      </c>
      <c r="I178" s="10">
        <v>7953.12</v>
      </c>
      <c r="J178" s="10">
        <v>21141.83</v>
      </c>
      <c r="K178" s="10">
        <v>57150.75</v>
      </c>
      <c r="L178" s="10">
        <v>47857.46</v>
      </c>
      <c r="M178" s="10">
        <v>64713.98</v>
      </c>
      <c r="N178" s="10">
        <v>63234.22</v>
      </c>
      <c r="O178" s="10">
        <v>48525</v>
      </c>
      <c r="P178" s="10">
        <v>55105.51</v>
      </c>
      <c r="Q178" s="10">
        <v>62004.34</v>
      </c>
      <c r="R178" s="11">
        <f t="shared" si="0"/>
        <v>718770.95</v>
      </c>
    </row>
    <row r="179" spans="1:18" ht="12.75" x14ac:dyDescent="0.2">
      <c r="A179" s="9" t="s">
        <v>332</v>
      </c>
      <c r="B179" s="9" t="s">
        <v>17</v>
      </c>
      <c r="C179" s="9" t="s">
        <v>36</v>
      </c>
      <c r="D179" s="9" t="s">
        <v>87</v>
      </c>
      <c r="E179" s="9" t="s">
        <v>94</v>
      </c>
      <c r="F179" s="9" t="s">
        <v>334</v>
      </c>
      <c r="G179" s="9" t="s">
        <v>37</v>
      </c>
      <c r="H179" s="9" t="s">
        <v>29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10">
        <v>1158124.6100000001</v>
      </c>
      <c r="Q179" s="10">
        <v>583589.88</v>
      </c>
      <c r="R179" s="12">
        <f t="shared" si="0"/>
        <v>1741714.4900000002</v>
      </c>
    </row>
    <row r="180" spans="1:18" ht="12.75" x14ac:dyDescent="0.2">
      <c r="A180" s="9" t="s">
        <v>332</v>
      </c>
      <c r="B180" s="9" t="s">
        <v>17</v>
      </c>
      <c r="C180" s="9" t="s">
        <v>36</v>
      </c>
      <c r="D180" s="9" t="s">
        <v>87</v>
      </c>
      <c r="E180" s="9" t="s">
        <v>95</v>
      </c>
      <c r="F180" s="9" t="s">
        <v>334</v>
      </c>
      <c r="G180" s="9" t="s">
        <v>37</v>
      </c>
      <c r="H180" s="10">
        <v>670112.23</v>
      </c>
      <c r="I180" s="10">
        <v>474861.44</v>
      </c>
      <c r="J180" s="10">
        <v>879496.37</v>
      </c>
      <c r="K180" s="10">
        <v>10813960.75</v>
      </c>
      <c r="L180" s="10">
        <v>2499042.37</v>
      </c>
      <c r="M180" s="10">
        <v>2624451.83</v>
      </c>
      <c r="N180" s="10">
        <v>8145898.6600000001</v>
      </c>
      <c r="O180" s="10">
        <v>5294106.54</v>
      </c>
      <c r="P180" s="10">
        <v>10573056.25</v>
      </c>
      <c r="Q180" s="10">
        <v>3322772.8</v>
      </c>
      <c r="R180" s="11">
        <f t="shared" si="0"/>
        <v>45297759.239999995</v>
      </c>
    </row>
    <row r="181" spans="1:18" ht="12.75" x14ac:dyDescent="0.2">
      <c r="A181" s="9" t="s">
        <v>332</v>
      </c>
      <c r="B181" s="9" t="s">
        <v>17</v>
      </c>
      <c r="C181" s="9" t="s">
        <v>18</v>
      </c>
      <c r="D181" s="9" t="s">
        <v>87</v>
      </c>
      <c r="E181" s="9" t="s">
        <v>95</v>
      </c>
      <c r="F181" s="9" t="s">
        <v>334</v>
      </c>
      <c r="G181" s="9" t="s">
        <v>26</v>
      </c>
      <c r="H181" s="9" t="s">
        <v>29</v>
      </c>
      <c r="I181" s="9">
        <v>0</v>
      </c>
      <c r="J181" s="10">
        <v>78022.58</v>
      </c>
      <c r="K181" s="10">
        <v>26895.08</v>
      </c>
      <c r="L181" s="10">
        <v>14158.82</v>
      </c>
      <c r="M181" s="10">
        <v>6765.2</v>
      </c>
      <c r="N181" s="10">
        <v>7480.77</v>
      </c>
      <c r="O181" s="10">
        <v>7263.97</v>
      </c>
      <c r="P181" s="10">
        <v>11631.5</v>
      </c>
      <c r="Q181" s="9">
        <v>0</v>
      </c>
      <c r="R181" s="12">
        <f t="shared" si="0"/>
        <v>152217.92000000001</v>
      </c>
    </row>
    <row r="182" spans="1:18" ht="12.75" x14ac:dyDescent="0.2">
      <c r="A182" s="9" t="s">
        <v>332</v>
      </c>
      <c r="B182" s="9" t="s">
        <v>17</v>
      </c>
      <c r="C182" s="9" t="s">
        <v>18</v>
      </c>
      <c r="D182" s="9" t="s">
        <v>87</v>
      </c>
      <c r="E182" s="9" t="s">
        <v>95</v>
      </c>
      <c r="F182" s="9" t="s">
        <v>334</v>
      </c>
      <c r="G182" s="9" t="s">
        <v>55</v>
      </c>
      <c r="H182" s="9" t="s">
        <v>29</v>
      </c>
      <c r="I182" s="9">
        <v>0</v>
      </c>
      <c r="J182" s="10">
        <v>513971.02</v>
      </c>
      <c r="K182" s="10">
        <v>505965.56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12">
        <f t="shared" si="0"/>
        <v>1019936.5800000001</v>
      </c>
    </row>
    <row r="183" spans="1:18" ht="12.75" x14ac:dyDescent="0.2">
      <c r="A183" s="9" t="s">
        <v>332</v>
      </c>
      <c r="B183" s="9" t="s">
        <v>17</v>
      </c>
      <c r="C183" s="9" t="s">
        <v>36</v>
      </c>
      <c r="D183" s="9" t="s">
        <v>96</v>
      </c>
      <c r="E183" s="9" t="s">
        <v>97</v>
      </c>
      <c r="F183" s="9" t="s">
        <v>334</v>
      </c>
      <c r="G183" s="9" t="s">
        <v>37</v>
      </c>
      <c r="H183" s="10">
        <v>1233126.06</v>
      </c>
      <c r="I183" s="10">
        <v>873829.77</v>
      </c>
      <c r="J183" s="10">
        <v>1619325.42</v>
      </c>
      <c r="K183" s="10">
        <v>3949212.71</v>
      </c>
      <c r="L183" s="10">
        <v>4601136.21</v>
      </c>
      <c r="M183" s="10">
        <v>4833164.04</v>
      </c>
      <c r="N183" s="9">
        <v>0</v>
      </c>
      <c r="O183" s="10">
        <v>4162134.83</v>
      </c>
      <c r="P183" s="10">
        <v>4228816.34</v>
      </c>
      <c r="Q183" s="10">
        <v>4202205.8600000003</v>
      </c>
      <c r="R183" s="11">
        <f t="shared" si="0"/>
        <v>29702951.239999998</v>
      </c>
    </row>
    <row r="184" spans="1:18" ht="12.75" x14ac:dyDescent="0.2">
      <c r="A184" s="9" t="s">
        <v>332</v>
      </c>
      <c r="B184" s="9" t="s">
        <v>17</v>
      </c>
      <c r="C184" s="9" t="s">
        <v>18</v>
      </c>
      <c r="D184" s="9" t="s">
        <v>96</v>
      </c>
      <c r="E184" s="9" t="s">
        <v>98</v>
      </c>
      <c r="F184" s="9" t="s">
        <v>334</v>
      </c>
      <c r="G184" s="9" t="s">
        <v>21</v>
      </c>
      <c r="H184" s="10">
        <v>276142.39</v>
      </c>
      <c r="I184" s="10">
        <v>2690.71</v>
      </c>
      <c r="J184" s="10">
        <v>9188.07</v>
      </c>
      <c r="K184" s="10">
        <v>6095.8</v>
      </c>
      <c r="L184" s="10">
        <v>5211.47</v>
      </c>
      <c r="M184" s="10">
        <v>6501.93</v>
      </c>
      <c r="N184" s="10">
        <v>6609.68</v>
      </c>
      <c r="O184" s="10">
        <v>6767.03</v>
      </c>
      <c r="P184" s="10">
        <v>5967.84</v>
      </c>
      <c r="Q184" s="10">
        <v>6614.42</v>
      </c>
      <c r="R184" s="11">
        <f t="shared" si="0"/>
        <v>331789.34000000003</v>
      </c>
    </row>
    <row r="185" spans="1:18" ht="12.75" x14ac:dyDescent="0.2">
      <c r="A185" s="9" t="s">
        <v>332</v>
      </c>
      <c r="B185" s="9" t="s">
        <v>17</v>
      </c>
      <c r="C185" s="9" t="s">
        <v>18</v>
      </c>
      <c r="D185" s="9" t="s">
        <v>96</v>
      </c>
      <c r="E185" s="9" t="s">
        <v>98</v>
      </c>
      <c r="F185" s="9" t="s">
        <v>334</v>
      </c>
      <c r="G185" s="9" t="s">
        <v>24</v>
      </c>
      <c r="H185" s="10">
        <v>25125.200000000001</v>
      </c>
      <c r="I185" s="9">
        <v>686.48</v>
      </c>
      <c r="J185" s="10">
        <v>3773.44</v>
      </c>
      <c r="K185" s="10">
        <v>8178.97</v>
      </c>
      <c r="L185" s="10">
        <v>12004.07</v>
      </c>
      <c r="M185" s="9">
        <v>0</v>
      </c>
      <c r="N185" s="10">
        <v>28353.58</v>
      </c>
      <c r="O185" s="10">
        <v>24713.09</v>
      </c>
      <c r="P185" s="9">
        <v>0</v>
      </c>
      <c r="Q185" s="10">
        <v>53784.68</v>
      </c>
      <c r="R185" s="11">
        <f t="shared" si="0"/>
        <v>156619.50999999998</v>
      </c>
    </row>
    <row r="186" spans="1:18" ht="12.75" x14ac:dyDescent="0.2">
      <c r="A186" s="9" t="s">
        <v>332</v>
      </c>
      <c r="B186" s="9" t="s">
        <v>17</v>
      </c>
      <c r="C186" s="9" t="s">
        <v>18</v>
      </c>
      <c r="D186" s="9" t="s">
        <v>96</v>
      </c>
      <c r="E186" s="9" t="s">
        <v>98</v>
      </c>
      <c r="F186" s="9" t="s">
        <v>334</v>
      </c>
      <c r="G186" s="9" t="s">
        <v>25</v>
      </c>
      <c r="H186" s="9" t="s">
        <v>29</v>
      </c>
      <c r="I186" s="9">
        <v>0</v>
      </c>
      <c r="J186" s="10">
        <v>633682.74</v>
      </c>
      <c r="K186" s="10">
        <v>681343.96</v>
      </c>
      <c r="L186" s="9">
        <v>0</v>
      </c>
      <c r="M186" s="9">
        <v>0</v>
      </c>
      <c r="N186" s="9">
        <v>0</v>
      </c>
      <c r="O186" s="10">
        <v>110307.06</v>
      </c>
      <c r="P186" s="10">
        <v>802229.95</v>
      </c>
      <c r="Q186" s="9">
        <v>0</v>
      </c>
      <c r="R186" s="12">
        <f t="shared" si="0"/>
        <v>2227563.71</v>
      </c>
    </row>
    <row r="187" spans="1:18" ht="12.75" x14ac:dyDescent="0.2">
      <c r="A187" s="9" t="s">
        <v>332</v>
      </c>
      <c r="B187" s="9" t="s">
        <v>17</v>
      </c>
      <c r="C187" s="9" t="s">
        <v>18</v>
      </c>
      <c r="D187" s="9" t="s">
        <v>96</v>
      </c>
      <c r="E187" s="9" t="s">
        <v>98</v>
      </c>
      <c r="F187" s="9" t="s">
        <v>334</v>
      </c>
      <c r="G187" s="9" t="s">
        <v>27</v>
      </c>
      <c r="H187" s="10">
        <v>664123.30000000005</v>
      </c>
      <c r="I187" s="10">
        <v>140829.69</v>
      </c>
      <c r="J187" s="10">
        <v>80461.009999999995</v>
      </c>
      <c r="K187" s="10">
        <v>47775.86</v>
      </c>
      <c r="L187" s="10">
        <v>47535.25</v>
      </c>
      <c r="M187" s="10">
        <v>69224.070000000007</v>
      </c>
      <c r="N187" s="10">
        <v>141430.29999999999</v>
      </c>
      <c r="O187" s="10">
        <v>57272.49</v>
      </c>
      <c r="P187" s="10">
        <v>166516.73000000001</v>
      </c>
      <c r="Q187" s="10">
        <v>57604.18</v>
      </c>
      <c r="R187" s="11">
        <f t="shared" si="0"/>
        <v>1472772.88</v>
      </c>
    </row>
    <row r="188" spans="1:18" ht="12.75" x14ac:dyDescent="0.2">
      <c r="A188" s="9" t="s">
        <v>332</v>
      </c>
      <c r="B188" s="9" t="s">
        <v>17</v>
      </c>
      <c r="C188" s="9" t="s">
        <v>18</v>
      </c>
      <c r="D188" s="9" t="s">
        <v>96</v>
      </c>
      <c r="E188" s="9" t="s">
        <v>98</v>
      </c>
      <c r="F188" s="9" t="s">
        <v>334</v>
      </c>
      <c r="G188" s="9" t="s">
        <v>28</v>
      </c>
      <c r="H188" s="10">
        <v>388112.99</v>
      </c>
      <c r="I188" s="10">
        <v>530811.31999999995</v>
      </c>
      <c r="J188" s="10">
        <v>314799.81</v>
      </c>
      <c r="K188" s="10">
        <v>83026.03</v>
      </c>
      <c r="L188" s="10">
        <v>58818.96</v>
      </c>
      <c r="M188" s="10">
        <v>77844.33</v>
      </c>
      <c r="N188" s="10">
        <v>75623.850000000006</v>
      </c>
      <c r="O188" s="10">
        <v>73064.490000000005</v>
      </c>
      <c r="P188" s="10">
        <v>92240.85</v>
      </c>
      <c r="Q188" s="10">
        <v>55496.57</v>
      </c>
      <c r="R188" s="11">
        <f t="shared" si="0"/>
        <v>1749839.2000000002</v>
      </c>
    </row>
    <row r="189" spans="1:18" ht="12.75" x14ac:dyDescent="0.2">
      <c r="A189" s="9" t="s">
        <v>332</v>
      </c>
      <c r="B189" s="9" t="s">
        <v>17</v>
      </c>
      <c r="C189" s="9" t="s">
        <v>18</v>
      </c>
      <c r="D189" s="9" t="s">
        <v>96</v>
      </c>
      <c r="E189" s="9" t="s">
        <v>98</v>
      </c>
      <c r="F189" s="9" t="s">
        <v>334</v>
      </c>
      <c r="G189" s="9" t="s">
        <v>55</v>
      </c>
      <c r="H189" s="9" t="s">
        <v>29</v>
      </c>
      <c r="I189" s="9">
        <v>0</v>
      </c>
      <c r="J189" s="9">
        <v>0</v>
      </c>
      <c r="K189" s="10">
        <v>37638.71</v>
      </c>
      <c r="L189" s="10">
        <v>57811.1</v>
      </c>
      <c r="M189" s="9">
        <v>0</v>
      </c>
      <c r="N189" s="9">
        <v>0</v>
      </c>
      <c r="O189" s="9">
        <v>0</v>
      </c>
      <c r="P189" s="9">
        <v>0</v>
      </c>
      <c r="Q189" s="10">
        <v>125277.86</v>
      </c>
      <c r="R189" s="12">
        <f t="shared" si="0"/>
        <v>220727.66999999998</v>
      </c>
    </row>
    <row r="190" spans="1:18" ht="12.75" x14ac:dyDescent="0.2">
      <c r="A190" s="9" t="s">
        <v>332</v>
      </c>
      <c r="B190" s="9" t="s">
        <v>17</v>
      </c>
      <c r="C190" s="9" t="s">
        <v>18</v>
      </c>
      <c r="D190" s="9" t="s">
        <v>96</v>
      </c>
      <c r="E190" s="9" t="s">
        <v>99</v>
      </c>
      <c r="F190" s="9" t="s">
        <v>334</v>
      </c>
      <c r="G190" s="9" t="s">
        <v>21</v>
      </c>
      <c r="H190" s="10">
        <v>27407.57</v>
      </c>
      <c r="I190" s="9">
        <v>267.06</v>
      </c>
      <c r="J190" s="9">
        <v>911.93</v>
      </c>
      <c r="K190" s="9">
        <v>605.02</v>
      </c>
      <c r="L190" s="9">
        <v>517.25</v>
      </c>
      <c r="M190" s="9">
        <v>645.33000000000004</v>
      </c>
      <c r="N190" s="9">
        <v>656.02</v>
      </c>
      <c r="O190" s="9">
        <v>671.64</v>
      </c>
      <c r="P190" s="10">
        <v>2134.29</v>
      </c>
      <c r="Q190" s="9">
        <v>656.49</v>
      </c>
      <c r="R190" s="11">
        <f t="shared" si="0"/>
        <v>34472.6</v>
      </c>
    </row>
    <row r="191" spans="1:18" ht="12.75" x14ac:dyDescent="0.2">
      <c r="A191" s="9" t="s">
        <v>332</v>
      </c>
      <c r="B191" s="9" t="s">
        <v>17</v>
      </c>
      <c r="C191" s="9" t="s">
        <v>18</v>
      </c>
      <c r="D191" s="9" t="s">
        <v>96</v>
      </c>
      <c r="E191" s="9" t="s">
        <v>99</v>
      </c>
      <c r="F191" s="9" t="s">
        <v>334</v>
      </c>
      <c r="G191" s="9" t="s">
        <v>24</v>
      </c>
      <c r="H191" s="9" t="s">
        <v>29</v>
      </c>
      <c r="I191" s="9">
        <v>0</v>
      </c>
      <c r="J191" s="10">
        <v>1124.5999999999999</v>
      </c>
      <c r="K191" s="9">
        <v>0</v>
      </c>
      <c r="L191" s="9">
        <v>0</v>
      </c>
      <c r="M191" s="9">
        <v>0</v>
      </c>
      <c r="N191" s="9">
        <v>0</v>
      </c>
      <c r="O191" s="10">
        <v>4554.2700000000004</v>
      </c>
      <c r="P191" s="10">
        <v>18995.150000000001</v>
      </c>
      <c r="Q191" s="10">
        <v>1243.48</v>
      </c>
      <c r="R191" s="12">
        <f t="shared" si="0"/>
        <v>25917.500000000004</v>
      </c>
    </row>
    <row r="192" spans="1:18" ht="12.75" x14ac:dyDescent="0.2">
      <c r="A192" s="9" t="s">
        <v>332</v>
      </c>
      <c r="B192" s="9" t="s">
        <v>17</v>
      </c>
      <c r="C192" s="9" t="s">
        <v>18</v>
      </c>
      <c r="D192" s="9" t="s">
        <v>96</v>
      </c>
      <c r="E192" s="9" t="s">
        <v>99</v>
      </c>
      <c r="F192" s="9" t="s">
        <v>334</v>
      </c>
      <c r="G192" s="9" t="s">
        <v>25</v>
      </c>
      <c r="H192" s="9" t="s">
        <v>29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10">
        <v>697625.34</v>
      </c>
      <c r="Q192" s="10">
        <v>4555.1899999999996</v>
      </c>
      <c r="R192" s="12">
        <f t="shared" si="0"/>
        <v>702180.52999999991</v>
      </c>
    </row>
    <row r="193" spans="1:18" ht="12.75" x14ac:dyDescent="0.2">
      <c r="A193" s="9" t="s">
        <v>332</v>
      </c>
      <c r="B193" s="9" t="s">
        <v>17</v>
      </c>
      <c r="C193" s="9" t="s">
        <v>18</v>
      </c>
      <c r="D193" s="9" t="s">
        <v>96</v>
      </c>
      <c r="E193" s="9" t="s">
        <v>99</v>
      </c>
      <c r="F193" s="9" t="s">
        <v>334</v>
      </c>
      <c r="G193" s="9" t="s">
        <v>26</v>
      </c>
      <c r="H193" s="9" t="s">
        <v>29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10">
        <v>2259.37</v>
      </c>
      <c r="R193" s="12">
        <f t="shared" si="0"/>
        <v>2259.37</v>
      </c>
    </row>
    <row r="194" spans="1:18" ht="12.75" x14ac:dyDescent="0.2">
      <c r="A194" s="9" t="s">
        <v>332</v>
      </c>
      <c r="B194" s="9" t="s">
        <v>17</v>
      </c>
      <c r="C194" s="9" t="s">
        <v>18</v>
      </c>
      <c r="D194" s="9" t="s">
        <v>96</v>
      </c>
      <c r="E194" s="9" t="s">
        <v>99</v>
      </c>
      <c r="F194" s="9" t="s">
        <v>334</v>
      </c>
      <c r="G194" s="9" t="s">
        <v>27</v>
      </c>
      <c r="H194" s="10">
        <v>489507.5</v>
      </c>
      <c r="I194" s="10">
        <v>103801.79</v>
      </c>
      <c r="J194" s="10">
        <v>306189.84999999998</v>
      </c>
      <c r="K194" s="10">
        <v>154505.91</v>
      </c>
      <c r="L194" s="10">
        <v>153727.76</v>
      </c>
      <c r="M194" s="10">
        <v>223868.88</v>
      </c>
      <c r="N194" s="10">
        <v>224989.16</v>
      </c>
      <c r="O194" s="10">
        <v>918132.77</v>
      </c>
      <c r="P194" s="10">
        <v>199350.22</v>
      </c>
      <c r="Q194" s="10">
        <v>200779.21</v>
      </c>
      <c r="R194" s="11">
        <f t="shared" si="0"/>
        <v>2974853.0500000003</v>
      </c>
    </row>
    <row r="195" spans="1:18" ht="12.75" x14ac:dyDescent="0.2">
      <c r="A195" s="9" t="s">
        <v>332</v>
      </c>
      <c r="B195" s="9" t="s">
        <v>17</v>
      </c>
      <c r="C195" s="9" t="s">
        <v>18</v>
      </c>
      <c r="D195" s="9" t="s">
        <v>96</v>
      </c>
      <c r="E195" s="9" t="s">
        <v>99</v>
      </c>
      <c r="F195" s="9" t="s">
        <v>334</v>
      </c>
      <c r="G195" s="9" t="s">
        <v>28</v>
      </c>
      <c r="H195" s="10">
        <v>58216.95</v>
      </c>
      <c r="I195" s="10">
        <v>79621.7</v>
      </c>
      <c r="J195" s="10">
        <v>44876.13</v>
      </c>
      <c r="K195" s="10">
        <v>10873.98</v>
      </c>
      <c r="L195" s="10">
        <v>8061.23</v>
      </c>
      <c r="M195" s="10">
        <v>10887.83</v>
      </c>
      <c r="N195" s="10">
        <v>11343.58</v>
      </c>
      <c r="O195" s="10">
        <v>10959.67</v>
      </c>
      <c r="P195" s="10">
        <v>10407.91</v>
      </c>
      <c r="Q195" s="10">
        <v>8324.49</v>
      </c>
      <c r="R195" s="11">
        <f t="shared" si="0"/>
        <v>253573.47</v>
      </c>
    </row>
    <row r="196" spans="1:18" ht="12.75" x14ac:dyDescent="0.2">
      <c r="A196" s="9" t="s">
        <v>332</v>
      </c>
      <c r="B196" s="9" t="s">
        <v>17</v>
      </c>
      <c r="C196" s="9" t="s">
        <v>18</v>
      </c>
      <c r="D196" s="9" t="s">
        <v>96</v>
      </c>
      <c r="E196" s="9" t="s">
        <v>99</v>
      </c>
      <c r="F196" s="9" t="s">
        <v>334</v>
      </c>
      <c r="G196" s="9" t="s">
        <v>55</v>
      </c>
      <c r="H196" s="10">
        <v>19599.71</v>
      </c>
      <c r="I196" s="10">
        <v>14256.24</v>
      </c>
      <c r="J196" s="10">
        <v>19038.12</v>
      </c>
      <c r="K196" s="10">
        <v>23753.86</v>
      </c>
      <c r="L196" s="10">
        <v>21013.38</v>
      </c>
      <c r="M196" s="10">
        <v>11770.29</v>
      </c>
      <c r="N196" s="10">
        <v>29062.69</v>
      </c>
      <c r="O196" s="10">
        <v>34692.31</v>
      </c>
      <c r="P196" s="10">
        <v>27081.18</v>
      </c>
      <c r="Q196" s="10">
        <v>25760.560000000001</v>
      </c>
      <c r="R196" s="11">
        <f t="shared" si="0"/>
        <v>226028.34</v>
      </c>
    </row>
    <row r="197" spans="1:18" ht="12.75" x14ac:dyDescent="0.2">
      <c r="A197" s="9" t="s">
        <v>332</v>
      </c>
      <c r="B197" s="9" t="s">
        <v>17</v>
      </c>
      <c r="C197" s="9" t="s">
        <v>18</v>
      </c>
      <c r="D197" s="9" t="s">
        <v>96</v>
      </c>
      <c r="E197" s="9" t="s">
        <v>100</v>
      </c>
      <c r="F197" s="9" t="s">
        <v>334</v>
      </c>
      <c r="G197" s="9" t="s">
        <v>27</v>
      </c>
      <c r="H197" s="10">
        <v>264887.11</v>
      </c>
      <c r="I197" s="10">
        <v>56170.25</v>
      </c>
      <c r="J197" s="10">
        <v>125672.4</v>
      </c>
      <c r="K197" s="10">
        <v>83607.759999999995</v>
      </c>
      <c r="L197" s="10">
        <v>83186.679999999993</v>
      </c>
      <c r="M197" s="10">
        <v>121142.13</v>
      </c>
      <c r="N197" s="10">
        <v>121748.34</v>
      </c>
      <c r="O197" s="10">
        <v>100226.86</v>
      </c>
      <c r="P197" s="10">
        <v>90101.440000000002</v>
      </c>
      <c r="Q197" s="10">
        <v>100807.31</v>
      </c>
      <c r="R197" s="11">
        <f t="shared" si="0"/>
        <v>1147550.28</v>
      </c>
    </row>
    <row r="198" spans="1:18" ht="12.75" x14ac:dyDescent="0.2">
      <c r="A198" s="9" t="s">
        <v>332</v>
      </c>
      <c r="B198" s="9" t="s">
        <v>17</v>
      </c>
      <c r="C198" s="9" t="s">
        <v>36</v>
      </c>
      <c r="D198" s="9" t="s">
        <v>96</v>
      </c>
      <c r="E198" s="9" t="s">
        <v>101</v>
      </c>
      <c r="F198" s="9" t="s">
        <v>334</v>
      </c>
      <c r="G198" s="9" t="s">
        <v>37</v>
      </c>
      <c r="H198" s="10">
        <v>665926.36</v>
      </c>
      <c r="I198" s="10">
        <v>471895.2</v>
      </c>
      <c r="J198" s="10">
        <v>872687.57</v>
      </c>
      <c r="K198" s="10">
        <v>2120322.5</v>
      </c>
      <c r="L198" s="10">
        <v>2462895.9300000002</v>
      </c>
      <c r="M198" s="10">
        <v>2583569.25</v>
      </c>
      <c r="N198" s="10">
        <v>196330.89</v>
      </c>
      <c r="O198" s="10">
        <v>184213.66</v>
      </c>
      <c r="P198" s="10">
        <v>185162.25</v>
      </c>
      <c r="Q198" s="10">
        <v>181904.12</v>
      </c>
      <c r="R198" s="11">
        <f t="shared" si="0"/>
        <v>9924907.7300000004</v>
      </c>
    </row>
    <row r="199" spans="1:18" ht="12.75" x14ac:dyDescent="0.2">
      <c r="A199" s="9" t="s">
        <v>332</v>
      </c>
      <c r="B199" s="9" t="s">
        <v>17</v>
      </c>
      <c r="C199" s="9" t="s">
        <v>18</v>
      </c>
      <c r="D199" s="9" t="s">
        <v>96</v>
      </c>
      <c r="E199" s="9" t="s">
        <v>101</v>
      </c>
      <c r="F199" s="9" t="s">
        <v>334</v>
      </c>
      <c r="G199" s="9" t="s">
        <v>27</v>
      </c>
      <c r="H199" s="10">
        <v>339598.86</v>
      </c>
      <c r="I199" s="10">
        <v>72013.14</v>
      </c>
      <c r="J199" s="10">
        <v>161118.46</v>
      </c>
      <c r="K199" s="10">
        <v>107189.43</v>
      </c>
      <c r="L199" s="10">
        <v>106649.59</v>
      </c>
      <c r="M199" s="10">
        <v>155310.42000000001</v>
      </c>
      <c r="N199" s="10">
        <v>156087.62</v>
      </c>
      <c r="O199" s="10">
        <v>128495.98</v>
      </c>
      <c r="P199" s="10">
        <v>115514.67</v>
      </c>
      <c r="Q199" s="10">
        <v>129240.14</v>
      </c>
      <c r="R199" s="11">
        <f t="shared" si="0"/>
        <v>1471218.3099999998</v>
      </c>
    </row>
    <row r="200" spans="1:18" ht="12.75" x14ac:dyDescent="0.2">
      <c r="A200" s="9" t="s">
        <v>332</v>
      </c>
      <c r="B200" s="9" t="s">
        <v>17</v>
      </c>
      <c r="C200" s="9" t="s">
        <v>18</v>
      </c>
      <c r="D200" s="9" t="s">
        <v>96</v>
      </c>
      <c r="E200" s="9" t="s">
        <v>101</v>
      </c>
      <c r="F200" s="9" t="s">
        <v>334</v>
      </c>
      <c r="G200" s="9" t="s">
        <v>28</v>
      </c>
      <c r="H200" s="10">
        <v>19405.650000000001</v>
      </c>
      <c r="I200" s="10">
        <v>26540.57</v>
      </c>
      <c r="J200" s="10">
        <v>14958.71</v>
      </c>
      <c r="K200" s="10">
        <v>3624.66</v>
      </c>
      <c r="L200" s="10">
        <v>2687.08</v>
      </c>
      <c r="M200" s="10">
        <v>3629.28</v>
      </c>
      <c r="N200" s="10">
        <v>3781.19</v>
      </c>
      <c r="O200" s="10">
        <v>3653.22</v>
      </c>
      <c r="P200" s="10">
        <v>3469.3</v>
      </c>
      <c r="Q200" s="10">
        <v>2774.83</v>
      </c>
      <c r="R200" s="11">
        <f t="shared" si="0"/>
        <v>84524.49</v>
      </c>
    </row>
    <row r="201" spans="1:18" ht="12.75" x14ac:dyDescent="0.2">
      <c r="A201" s="9" t="s">
        <v>332</v>
      </c>
      <c r="B201" s="9" t="s">
        <v>17</v>
      </c>
      <c r="C201" s="9" t="s">
        <v>36</v>
      </c>
      <c r="D201" s="9" t="s">
        <v>96</v>
      </c>
      <c r="E201" s="9" t="s">
        <v>102</v>
      </c>
      <c r="F201" s="9" t="s">
        <v>334</v>
      </c>
      <c r="G201" s="9" t="s">
        <v>37</v>
      </c>
      <c r="H201" s="10">
        <v>835107.56</v>
      </c>
      <c r="I201" s="10">
        <v>591782.03</v>
      </c>
      <c r="J201" s="10">
        <v>1072837.55</v>
      </c>
      <c r="K201" s="10">
        <v>2510643.94</v>
      </c>
      <c r="L201" s="10">
        <v>2826542.03</v>
      </c>
      <c r="M201" s="10">
        <v>2922382.49</v>
      </c>
      <c r="N201" s="10">
        <v>2599677.67</v>
      </c>
      <c r="O201" s="10">
        <v>2439229.7200000002</v>
      </c>
      <c r="P201" s="10">
        <v>2451790.38</v>
      </c>
      <c r="Q201" s="10">
        <v>2408648.38</v>
      </c>
      <c r="R201" s="11">
        <f t="shared" si="0"/>
        <v>20658641.75</v>
      </c>
    </row>
    <row r="202" spans="1:18" ht="12.75" x14ac:dyDescent="0.2">
      <c r="A202" s="9" t="s">
        <v>332</v>
      </c>
      <c r="B202" s="9" t="s">
        <v>17</v>
      </c>
      <c r="C202" s="9" t="s">
        <v>18</v>
      </c>
      <c r="D202" s="9" t="s">
        <v>96</v>
      </c>
      <c r="E202" s="9" t="s">
        <v>102</v>
      </c>
      <c r="F202" s="9" t="s">
        <v>334</v>
      </c>
      <c r="G202" s="9" t="s">
        <v>27</v>
      </c>
      <c r="H202" s="10">
        <v>100909.38</v>
      </c>
      <c r="I202" s="10">
        <v>21398.19</v>
      </c>
      <c r="J202" s="10">
        <v>47875.199999999997</v>
      </c>
      <c r="K202" s="10">
        <v>31850.57</v>
      </c>
      <c r="L202" s="10">
        <v>31690.16</v>
      </c>
      <c r="M202" s="10">
        <v>46149.38</v>
      </c>
      <c r="N202" s="10">
        <v>46380.32</v>
      </c>
      <c r="O202" s="10">
        <v>38181.660000000003</v>
      </c>
      <c r="P202" s="10">
        <v>34324.36</v>
      </c>
      <c r="Q202" s="10">
        <v>38402.78</v>
      </c>
      <c r="R202" s="11">
        <f t="shared" si="0"/>
        <v>437162</v>
      </c>
    </row>
    <row r="203" spans="1:18" ht="12.75" x14ac:dyDescent="0.2">
      <c r="A203" s="9" t="s">
        <v>332</v>
      </c>
      <c r="B203" s="9" t="s">
        <v>17</v>
      </c>
      <c r="C203" s="9" t="s">
        <v>36</v>
      </c>
      <c r="D203" s="9" t="s">
        <v>96</v>
      </c>
      <c r="E203" s="9" t="s">
        <v>103</v>
      </c>
      <c r="F203" s="9" t="s">
        <v>334</v>
      </c>
      <c r="G203" s="9" t="s">
        <v>37</v>
      </c>
      <c r="H203" s="10">
        <v>3461867.54</v>
      </c>
      <c r="I203" s="10">
        <v>2453182.2000000002</v>
      </c>
      <c r="J203" s="10">
        <v>4166519.5</v>
      </c>
      <c r="K203" s="10">
        <v>9064452.6600000001</v>
      </c>
      <c r="L203" s="10">
        <v>12960376.99</v>
      </c>
      <c r="M203" s="10">
        <v>13090302.880000001</v>
      </c>
      <c r="N203" s="10">
        <v>10837996.9</v>
      </c>
      <c r="O203" s="10">
        <v>10877902.85</v>
      </c>
      <c r="P203" s="10">
        <v>8767675.1199999992</v>
      </c>
      <c r="Q203" s="10">
        <v>8729844.3399999999</v>
      </c>
      <c r="R203" s="11">
        <f t="shared" si="0"/>
        <v>84410120.980000004</v>
      </c>
    </row>
    <row r="204" spans="1:18" ht="12.75" x14ac:dyDescent="0.2">
      <c r="A204" s="9" t="s">
        <v>332</v>
      </c>
      <c r="B204" s="9" t="s">
        <v>17</v>
      </c>
      <c r="C204" s="9" t="s">
        <v>36</v>
      </c>
      <c r="D204" s="9" t="s">
        <v>96</v>
      </c>
      <c r="E204" s="9" t="s">
        <v>104</v>
      </c>
      <c r="F204" s="9" t="s">
        <v>334</v>
      </c>
      <c r="G204" s="9" t="s">
        <v>37</v>
      </c>
      <c r="H204" s="10">
        <v>1624089.99</v>
      </c>
      <c r="I204" s="10">
        <v>1150878.42</v>
      </c>
      <c r="J204" s="10">
        <v>2243799.62</v>
      </c>
      <c r="K204" s="10">
        <v>12331009.390000001</v>
      </c>
      <c r="L204" s="10">
        <v>8916405.0700000003</v>
      </c>
      <c r="M204" s="10">
        <v>11712322.060000001</v>
      </c>
      <c r="N204" s="10">
        <v>8786799.8800000008</v>
      </c>
      <c r="O204" s="10">
        <v>8378993.7800000003</v>
      </c>
      <c r="P204" s="10">
        <v>10829479.640000001</v>
      </c>
      <c r="Q204" s="10">
        <v>11328441.470000001</v>
      </c>
      <c r="R204" s="11">
        <f t="shared" si="0"/>
        <v>77302219.320000008</v>
      </c>
    </row>
    <row r="205" spans="1:18" ht="12.75" x14ac:dyDescent="0.2">
      <c r="A205" s="9" t="s">
        <v>332</v>
      </c>
      <c r="B205" s="9" t="s">
        <v>17</v>
      </c>
      <c r="C205" s="9" t="s">
        <v>36</v>
      </c>
      <c r="D205" s="9" t="s">
        <v>96</v>
      </c>
      <c r="E205" s="9" t="s">
        <v>105</v>
      </c>
      <c r="F205" s="9" t="s">
        <v>334</v>
      </c>
      <c r="G205" s="9" t="s">
        <v>37</v>
      </c>
      <c r="H205" s="10">
        <v>2049385.32</v>
      </c>
      <c r="I205" s="10">
        <v>1452255.33</v>
      </c>
      <c r="J205" s="10">
        <v>4132454.23</v>
      </c>
      <c r="K205" s="10">
        <v>7696868.5499999998</v>
      </c>
      <c r="L205" s="10">
        <v>10691787.029999999</v>
      </c>
      <c r="M205" s="10">
        <v>11374999.18</v>
      </c>
      <c r="N205" s="10">
        <v>7866281.7000000002</v>
      </c>
      <c r="O205" s="10">
        <v>8635187.1600000001</v>
      </c>
      <c r="P205" s="10">
        <v>9898959.0399999991</v>
      </c>
      <c r="Q205" s="10">
        <v>8126163.3600000003</v>
      </c>
      <c r="R205" s="11">
        <f t="shared" si="0"/>
        <v>71924340.900000006</v>
      </c>
    </row>
    <row r="206" spans="1:18" ht="12.75" x14ac:dyDescent="0.2">
      <c r="A206" s="9" t="s">
        <v>332</v>
      </c>
      <c r="B206" s="9" t="s">
        <v>17</v>
      </c>
      <c r="C206" s="9" t="s">
        <v>18</v>
      </c>
      <c r="D206" s="9" t="s">
        <v>96</v>
      </c>
      <c r="E206" s="9" t="s">
        <v>105</v>
      </c>
      <c r="F206" s="9" t="s">
        <v>334</v>
      </c>
      <c r="G206" s="9" t="s">
        <v>28</v>
      </c>
      <c r="H206" s="9" t="s">
        <v>29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10">
        <v>18228.59</v>
      </c>
      <c r="O206" s="9">
        <v>0</v>
      </c>
      <c r="P206" s="9">
        <v>0</v>
      </c>
      <c r="Q206" s="9">
        <v>0</v>
      </c>
      <c r="R206" s="12">
        <f t="shared" si="0"/>
        <v>18228.59</v>
      </c>
    </row>
    <row r="207" spans="1:18" ht="12.75" x14ac:dyDescent="0.2">
      <c r="A207" s="9" t="s">
        <v>332</v>
      </c>
      <c r="B207" s="9" t="s">
        <v>17</v>
      </c>
      <c r="C207" s="9" t="s">
        <v>18</v>
      </c>
      <c r="D207" s="9" t="s">
        <v>96</v>
      </c>
      <c r="E207" s="9" t="s">
        <v>106</v>
      </c>
      <c r="F207" s="9" t="s">
        <v>334</v>
      </c>
      <c r="G207" s="9" t="s">
        <v>24</v>
      </c>
      <c r="H207" s="10">
        <v>200848.47</v>
      </c>
      <c r="I207" s="10">
        <v>5487.65</v>
      </c>
      <c r="J207" s="10">
        <v>14587.86</v>
      </c>
      <c r="K207" s="10">
        <v>39434.019999999997</v>
      </c>
      <c r="L207" s="10">
        <v>33021.64</v>
      </c>
      <c r="M207" s="10">
        <v>44652.65</v>
      </c>
      <c r="N207" s="10">
        <v>43631.61</v>
      </c>
      <c r="O207" s="10">
        <v>33482.25</v>
      </c>
      <c r="P207" s="10">
        <v>38022.800000000003</v>
      </c>
      <c r="Q207" s="10">
        <v>42783</v>
      </c>
      <c r="R207" s="11">
        <f t="shared" si="0"/>
        <v>495951.94999999995</v>
      </c>
    </row>
    <row r="208" spans="1:18" ht="12.75" x14ac:dyDescent="0.2">
      <c r="A208" s="9" t="s">
        <v>332</v>
      </c>
      <c r="B208" s="9" t="s">
        <v>17</v>
      </c>
      <c r="C208" s="9" t="s">
        <v>36</v>
      </c>
      <c r="D208" s="9" t="s">
        <v>96</v>
      </c>
      <c r="E208" s="9" t="s">
        <v>106</v>
      </c>
      <c r="F208" s="9" t="s">
        <v>334</v>
      </c>
      <c r="G208" s="9" t="s">
        <v>37</v>
      </c>
      <c r="H208" s="10">
        <v>2248716.1800000002</v>
      </c>
      <c r="I208" s="10">
        <v>1593507.1</v>
      </c>
      <c r="J208" s="10">
        <v>2278675.0099999998</v>
      </c>
      <c r="K208" s="10">
        <v>7143426.5899999999</v>
      </c>
      <c r="L208" s="10">
        <v>5190033.79</v>
      </c>
      <c r="M208" s="10">
        <v>6776593.1500000004</v>
      </c>
      <c r="N208" s="10">
        <v>6127921.8399999999</v>
      </c>
      <c r="O208" s="10">
        <v>9304903.6199999992</v>
      </c>
      <c r="P208" s="10">
        <v>12883425.359999999</v>
      </c>
      <c r="Q208" s="10">
        <v>12341898.560000001</v>
      </c>
      <c r="R208" s="11">
        <f t="shared" si="0"/>
        <v>65889101.200000003</v>
      </c>
    </row>
    <row r="209" spans="1:18" ht="12.75" x14ac:dyDescent="0.2">
      <c r="A209" s="9" t="s">
        <v>332</v>
      </c>
      <c r="B209" s="9" t="s">
        <v>17</v>
      </c>
      <c r="C209" s="9" t="s">
        <v>36</v>
      </c>
      <c r="D209" s="9" t="s">
        <v>96</v>
      </c>
      <c r="E209" s="9" t="s">
        <v>107</v>
      </c>
      <c r="F209" s="9" t="s">
        <v>334</v>
      </c>
      <c r="G209" s="9" t="s">
        <v>37</v>
      </c>
      <c r="H209" s="10">
        <v>170445.02</v>
      </c>
      <c r="I209" s="10">
        <v>120782.39999999999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11">
        <f t="shared" si="0"/>
        <v>291227.42</v>
      </c>
    </row>
    <row r="210" spans="1:18" ht="12.75" x14ac:dyDescent="0.2">
      <c r="A210" s="9" t="s">
        <v>332</v>
      </c>
      <c r="B210" s="9" t="s">
        <v>17</v>
      </c>
      <c r="C210" s="9" t="s">
        <v>36</v>
      </c>
      <c r="D210" s="9" t="s">
        <v>96</v>
      </c>
      <c r="E210" s="9" t="s">
        <v>108</v>
      </c>
      <c r="F210" s="9" t="s">
        <v>334</v>
      </c>
      <c r="G210" s="9" t="s">
        <v>37</v>
      </c>
      <c r="H210" s="10">
        <v>511335.05</v>
      </c>
      <c r="I210" s="10">
        <v>362347.21</v>
      </c>
      <c r="J210" s="10">
        <v>2428719.4500000002</v>
      </c>
      <c r="K210" s="10">
        <v>4318663.21</v>
      </c>
      <c r="L210" s="10">
        <v>4432705.71</v>
      </c>
      <c r="M210" s="10">
        <v>5343562.04</v>
      </c>
      <c r="N210" s="10">
        <v>3016674.8</v>
      </c>
      <c r="O210" s="10">
        <v>3441041.01</v>
      </c>
      <c r="P210" s="10">
        <v>2922558.37</v>
      </c>
      <c r="Q210" s="10">
        <v>2334359.5299999998</v>
      </c>
      <c r="R210" s="11">
        <f t="shared" si="0"/>
        <v>29111966.379999999</v>
      </c>
    </row>
    <row r="211" spans="1:18" ht="12.75" x14ac:dyDescent="0.2">
      <c r="A211" s="9" t="s">
        <v>332</v>
      </c>
      <c r="B211" s="9" t="s">
        <v>17</v>
      </c>
      <c r="C211" s="9" t="s">
        <v>36</v>
      </c>
      <c r="D211" s="9" t="s">
        <v>96</v>
      </c>
      <c r="E211" s="9" t="s">
        <v>109</v>
      </c>
      <c r="F211" s="9" t="s">
        <v>334</v>
      </c>
      <c r="G211" s="9" t="s">
        <v>37</v>
      </c>
      <c r="H211" s="10">
        <v>734505.7</v>
      </c>
      <c r="I211" s="10">
        <v>520492.56</v>
      </c>
      <c r="J211" s="10">
        <v>964541.94</v>
      </c>
      <c r="K211" s="10">
        <v>3941656.32</v>
      </c>
      <c r="L211" s="10">
        <v>1907928.61</v>
      </c>
      <c r="M211" s="10">
        <v>2004136.74</v>
      </c>
      <c r="N211" s="10">
        <v>1809411.79</v>
      </c>
      <c r="O211" s="10">
        <v>1725884.01</v>
      </c>
      <c r="P211" s="10">
        <v>1169023.3500000001</v>
      </c>
      <c r="Q211" s="10">
        <v>1167179.77</v>
      </c>
      <c r="R211" s="11">
        <f t="shared" si="0"/>
        <v>15944760.789999999</v>
      </c>
    </row>
    <row r="212" spans="1:18" ht="12.75" x14ac:dyDescent="0.2">
      <c r="A212" s="9" t="s">
        <v>332</v>
      </c>
      <c r="B212" s="9" t="s">
        <v>17</v>
      </c>
      <c r="C212" s="9" t="s">
        <v>36</v>
      </c>
      <c r="D212" s="9" t="s">
        <v>96</v>
      </c>
      <c r="E212" s="9" t="s">
        <v>110</v>
      </c>
      <c r="F212" s="9" t="s">
        <v>334</v>
      </c>
      <c r="G212" s="9" t="s">
        <v>37</v>
      </c>
      <c r="H212" s="10">
        <v>340890.03</v>
      </c>
      <c r="I212" s="10">
        <v>241564.81</v>
      </c>
      <c r="J212" s="10">
        <v>447652.14</v>
      </c>
      <c r="K212" s="10">
        <v>1091733.1200000001</v>
      </c>
      <c r="L212" s="10">
        <v>1271950.57</v>
      </c>
      <c r="M212" s="10">
        <v>1336091.1599999999</v>
      </c>
      <c r="N212" s="10">
        <v>1206669.92</v>
      </c>
      <c r="O212" s="10">
        <v>4939658.6399999997</v>
      </c>
      <c r="P212" s="10">
        <v>2911659.63</v>
      </c>
      <c r="Q212" s="10">
        <v>1750769.65</v>
      </c>
      <c r="R212" s="11">
        <f t="shared" si="0"/>
        <v>15538639.67</v>
      </c>
    </row>
    <row r="213" spans="1:18" ht="12.75" x14ac:dyDescent="0.2">
      <c r="A213" s="9" t="s">
        <v>332</v>
      </c>
      <c r="B213" s="9" t="s">
        <v>17</v>
      </c>
      <c r="C213" s="9" t="s">
        <v>36</v>
      </c>
      <c r="D213" s="9" t="s">
        <v>96</v>
      </c>
      <c r="E213" s="9" t="s">
        <v>111</v>
      </c>
      <c r="F213" s="9" t="s">
        <v>334</v>
      </c>
      <c r="G213" s="9" t="s">
        <v>37</v>
      </c>
      <c r="H213" s="9" t="s">
        <v>29</v>
      </c>
      <c r="I213" s="9">
        <v>0</v>
      </c>
      <c r="J213" s="9">
        <v>0</v>
      </c>
      <c r="K213" s="10">
        <v>1637599.68</v>
      </c>
      <c r="L213" s="10">
        <v>1907928.61</v>
      </c>
      <c r="M213" s="10">
        <v>2004136.74</v>
      </c>
      <c r="N213" s="10">
        <v>1809411.79</v>
      </c>
      <c r="O213" s="10">
        <v>2876473.36</v>
      </c>
      <c r="P213" s="10">
        <v>2922558.37</v>
      </c>
      <c r="Q213" s="10">
        <v>2906923.87</v>
      </c>
      <c r="R213" s="12">
        <f t="shared" si="0"/>
        <v>16065032.420000002</v>
      </c>
    </row>
    <row r="214" spans="1:18" ht="12.75" x14ac:dyDescent="0.2">
      <c r="A214" s="9" t="s">
        <v>332</v>
      </c>
      <c r="B214" s="9" t="s">
        <v>17</v>
      </c>
      <c r="C214" s="9" t="s">
        <v>18</v>
      </c>
      <c r="D214" s="9" t="s">
        <v>112</v>
      </c>
      <c r="E214" s="9" t="s">
        <v>113</v>
      </c>
      <c r="F214" s="9" t="s">
        <v>334</v>
      </c>
      <c r="G214" s="9" t="s">
        <v>21</v>
      </c>
      <c r="H214" s="10">
        <v>776225.97</v>
      </c>
      <c r="I214" s="10">
        <v>7563.48</v>
      </c>
      <c r="J214" s="10">
        <v>34320.9</v>
      </c>
      <c r="K214" s="10">
        <v>28214.75</v>
      </c>
      <c r="L214" s="10">
        <v>14649.25</v>
      </c>
      <c r="M214" s="10">
        <v>18276.68</v>
      </c>
      <c r="N214" s="10">
        <v>18579.57</v>
      </c>
      <c r="O214" s="10">
        <v>19021.88</v>
      </c>
      <c r="P214" s="10">
        <v>16775.38</v>
      </c>
      <c r="Q214" s="10">
        <v>18592.88</v>
      </c>
      <c r="R214" s="11">
        <f t="shared" si="0"/>
        <v>952220.74</v>
      </c>
    </row>
    <row r="215" spans="1:18" ht="12.75" x14ac:dyDescent="0.2">
      <c r="A215" s="9" t="s">
        <v>332</v>
      </c>
      <c r="B215" s="9" t="s">
        <v>17</v>
      </c>
      <c r="C215" s="9" t="s">
        <v>18</v>
      </c>
      <c r="D215" s="9" t="s">
        <v>112</v>
      </c>
      <c r="E215" s="9" t="s">
        <v>113</v>
      </c>
      <c r="F215" s="9" t="s">
        <v>334</v>
      </c>
      <c r="G215" s="9" t="s">
        <v>24</v>
      </c>
      <c r="H215" s="10">
        <v>1288102.58</v>
      </c>
      <c r="I215" s="10">
        <v>35193.99</v>
      </c>
      <c r="J215" s="10">
        <v>92932.53</v>
      </c>
      <c r="K215" s="10">
        <v>251658.32</v>
      </c>
      <c r="L215" s="10">
        <v>228342.13</v>
      </c>
      <c r="M215" s="10">
        <v>272740.90999999997</v>
      </c>
      <c r="N215" s="10">
        <v>278540.03999999998</v>
      </c>
      <c r="O215" s="10">
        <v>259867.22</v>
      </c>
      <c r="P215" s="10">
        <v>228320.49</v>
      </c>
      <c r="Q215" s="10">
        <v>368331.58</v>
      </c>
      <c r="R215" s="11">
        <f t="shared" si="0"/>
        <v>3304029.790000001</v>
      </c>
    </row>
    <row r="216" spans="1:18" ht="12.75" x14ac:dyDescent="0.2">
      <c r="A216" s="9" t="s">
        <v>332</v>
      </c>
      <c r="B216" s="9" t="s">
        <v>17</v>
      </c>
      <c r="C216" s="9" t="s">
        <v>36</v>
      </c>
      <c r="D216" s="9" t="s">
        <v>112</v>
      </c>
      <c r="E216" s="9" t="s">
        <v>113</v>
      </c>
      <c r="F216" s="9" t="s">
        <v>334</v>
      </c>
      <c r="G216" s="9" t="s">
        <v>37</v>
      </c>
      <c r="H216" s="10">
        <v>675143.68000000005</v>
      </c>
      <c r="I216" s="10">
        <v>478426.87</v>
      </c>
      <c r="J216" s="10">
        <v>1781822.53</v>
      </c>
      <c r="K216" s="10">
        <v>2162214.42</v>
      </c>
      <c r="L216" s="10">
        <v>2519145.13</v>
      </c>
      <c r="M216" s="10">
        <v>2646181.31</v>
      </c>
      <c r="N216" s="10">
        <v>2389860.4</v>
      </c>
      <c r="O216" s="10">
        <v>2278789.25</v>
      </c>
      <c r="P216" s="10">
        <v>2315297.7400000002</v>
      </c>
      <c r="Q216" s="9">
        <v>0</v>
      </c>
      <c r="R216" s="11">
        <f t="shared" si="0"/>
        <v>17246881.329999998</v>
      </c>
    </row>
    <row r="217" spans="1:18" ht="12.75" x14ac:dyDescent="0.2">
      <c r="A217" s="9" t="s">
        <v>332</v>
      </c>
      <c r="B217" s="9" t="s">
        <v>17</v>
      </c>
      <c r="C217" s="9" t="s">
        <v>36</v>
      </c>
      <c r="D217" s="9" t="s">
        <v>112</v>
      </c>
      <c r="E217" s="9" t="s">
        <v>113</v>
      </c>
      <c r="F217" s="9" t="s">
        <v>334</v>
      </c>
      <c r="G217" s="9" t="s">
        <v>37</v>
      </c>
      <c r="H217" s="9" t="s">
        <v>29</v>
      </c>
      <c r="I217" s="9">
        <v>0</v>
      </c>
      <c r="J217" s="9">
        <v>0</v>
      </c>
      <c r="K217" s="9">
        <v>0</v>
      </c>
      <c r="L217" s="9">
        <v>0</v>
      </c>
      <c r="M217" s="10">
        <v>680179.99</v>
      </c>
      <c r="N217" s="9">
        <v>0</v>
      </c>
      <c r="O217" s="9">
        <v>0</v>
      </c>
      <c r="P217" s="9">
        <v>0</v>
      </c>
      <c r="Q217" s="9">
        <v>0</v>
      </c>
      <c r="R217" s="12">
        <f t="shared" si="0"/>
        <v>680179.99</v>
      </c>
    </row>
    <row r="218" spans="1:18" ht="12.75" x14ac:dyDescent="0.2">
      <c r="A218" s="9" t="s">
        <v>332</v>
      </c>
      <c r="B218" s="9" t="s">
        <v>17</v>
      </c>
      <c r="C218" s="9" t="s">
        <v>18</v>
      </c>
      <c r="D218" s="9" t="s">
        <v>112</v>
      </c>
      <c r="E218" s="9" t="s">
        <v>113</v>
      </c>
      <c r="F218" s="9" t="s">
        <v>334</v>
      </c>
      <c r="G218" s="9" t="s">
        <v>25</v>
      </c>
      <c r="H218" s="9" t="s">
        <v>29</v>
      </c>
      <c r="I218" s="9">
        <v>0</v>
      </c>
      <c r="J218" s="10">
        <v>101803.82</v>
      </c>
      <c r="K218" s="10">
        <v>132718.35999999999</v>
      </c>
      <c r="L218" s="10">
        <v>103886.35</v>
      </c>
      <c r="M218" s="9">
        <v>0</v>
      </c>
      <c r="N218" s="9">
        <v>0</v>
      </c>
      <c r="O218" s="9">
        <v>0</v>
      </c>
      <c r="P218" s="10">
        <v>500240.17</v>
      </c>
      <c r="Q218" s="9">
        <v>0</v>
      </c>
      <c r="R218" s="12">
        <f t="shared" si="0"/>
        <v>838648.7</v>
      </c>
    </row>
    <row r="219" spans="1:18" ht="12.75" x14ac:dyDescent="0.2">
      <c r="A219" s="9" t="s">
        <v>332</v>
      </c>
      <c r="B219" s="9" t="s">
        <v>17</v>
      </c>
      <c r="C219" s="9" t="s">
        <v>18</v>
      </c>
      <c r="D219" s="9" t="s">
        <v>112</v>
      </c>
      <c r="E219" s="9" t="s">
        <v>113</v>
      </c>
      <c r="F219" s="9" t="s">
        <v>334</v>
      </c>
      <c r="G219" s="9" t="s">
        <v>26</v>
      </c>
      <c r="H219" s="9" t="s">
        <v>29</v>
      </c>
      <c r="I219" s="9">
        <v>0</v>
      </c>
      <c r="J219" s="9">
        <v>0</v>
      </c>
      <c r="K219" s="9">
        <v>548.66</v>
      </c>
      <c r="L219" s="9">
        <v>0</v>
      </c>
      <c r="M219" s="9">
        <v>650.5</v>
      </c>
      <c r="N219" s="9">
        <v>0</v>
      </c>
      <c r="O219" s="10">
        <v>1071.3900000000001</v>
      </c>
      <c r="P219" s="9">
        <v>92.4</v>
      </c>
      <c r="Q219" s="9">
        <v>0</v>
      </c>
      <c r="R219" s="12">
        <f t="shared" si="0"/>
        <v>2362.9500000000003</v>
      </c>
    </row>
    <row r="220" spans="1:18" ht="12.75" x14ac:dyDescent="0.2">
      <c r="A220" s="9" t="s">
        <v>332</v>
      </c>
      <c r="B220" s="9" t="s">
        <v>17</v>
      </c>
      <c r="C220" s="9" t="s">
        <v>18</v>
      </c>
      <c r="D220" s="9" t="s">
        <v>112</v>
      </c>
      <c r="E220" s="9" t="s">
        <v>113</v>
      </c>
      <c r="F220" s="9" t="s">
        <v>334</v>
      </c>
      <c r="G220" s="9" t="s">
        <v>27</v>
      </c>
      <c r="H220" s="10">
        <v>1935267.33</v>
      </c>
      <c r="I220" s="10">
        <v>410380.27</v>
      </c>
      <c r="J220" s="9">
        <v>0</v>
      </c>
      <c r="K220" s="10">
        <v>1524.11</v>
      </c>
      <c r="L220" s="10">
        <v>715524.93</v>
      </c>
      <c r="M220" s="9">
        <v>0</v>
      </c>
      <c r="N220" s="9">
        <v>0</v>
      </c>
      <c r="O220" s="9">
        <v>0</v>
      </c>
      <c r="P220" s="10">
        <v>174288.17</v>
      </c>
      <c r="Q220" s="9">
        <v>0</v>
      </c>
      <c r="R220" s="11">
        <f t="shared" si="0"/>
        <v>3236984.81</v>
      </c>
    </row>
    <row r="221" spans="1:18" ht="12.75" x14ac:dyDescent="0.2">
      <c r="A221" s="9" t="s">
        <v>332</v>
      </c>
      <c r="B221" s="9" t="s">
        <v>17</v>
      </c>
      <c r="C221" s="9" t="s">
        <v>18</v>
      </c>
      <c r="D221" s="9" t="s">
        <v>112</v>
      </c>
      <c r="E221" s="9" t="s">
        <v>113</v>
      </c>
      <c r="F221" s="9" t="s">
        <v>334</v>
      </c>
      <c r="G221" s="9" t="s">
        <v>28</v>
      </c>
      <c r="H221" s="9" t="s">
        <v>29</v>
      </c>
      <c r="I221" s="9">
        <v>0</v>
      </c>
      <c r="J221" s="10">
        <v>19629.43</v>
      </c>
      <c r="K221" s="9">
        <v>0</v>
      </c>
      <c r="L221" s="9">
        <v>0</v>
      </c>
      <c r="M221" s="10">
        <v>10178.39</v>
      </c>
      <c r="N221" s="9">
        <v>0</v>
      </c>
      <c r="O221" s="10">
        <v>22122.21</v>
      </c>
      <c r="P221" s="10">
        <v>3572.53</v>
      </c>
      <c r="Q221" s="9">
        <v>0</v>
      </c>
      <c r="R221" s="12">
        <f t="shared" si="0"/>
        <v>55502.559999999998</v>
      </c>
    </row>
    <row r="222" spans="1:18" ht="12.75" x14ac:dyDescent="0.2">
      <c r="A222" s="9" t="s">
        <v>332</v>
      </c>
      <c r="B222" s="9" t="s">
        <v>17</v>
      </c>
      <c r="C222" s="9" t="s">
        <v>18</v>
      </c>
      <c r="D222" s="9" t="s">
        <v>112</v>
      </c>
      <c r="E222" s="9" t="s">
        <v>114</v>
      </c>
      <c r="F222" s="9" t="s">
        <v>334</v>
      </c>
      <c r="G222" s="9" t="s">
        <v>24</v>
      </c>
      <c r="H222" s="10">
        <v>649118.97</v>
      </c>
      <c r="I222" s="10">
        <v>17735.46</v>
      </c>
      <c r="J222" s="10">
        <v>47146.29</v>
      </c>
      <c r="K222" s="10">
        <v>127446.18</v>
      </c>
      <c r="L222" s="10">
        <v>106722.13</v>
      </c>
      <c r="M222" s="10">
        <v>144312.18</v>
      </c>
      <c r="N222" s="10">
        <v>141012.31</v>
      </c>
      <c r="O222" s="10">
        <v>108210.74</v>
      </c>
      <c r="P222" s="10">
        <v>273914.57</v>
      </c>
      <c r="Q222" s="10">
        <v>138269.68</v>
      </c>
      <c r="R222" s="11">
        <f t="shared" si="0"/>
        <v>1753888.51</v>
      </c>
    </row>
    <row r="223" spans="1:18" ht="12.75" x14ac:dyDescent="0.2">
      <c r="A223" s="9" t="s">
        <v>332</v>
      </c>
      <c r="B223" s="9" t="s">
        <v>17</v>
      </c>
      <c r="C223" s="9" t="s">
        <v>36</v>
      </c>
      <c r="D223" s="9" t="s">
        <v>112</v>
      </c>
      <c r="E223" s="9" t="s">
        <v>114</v>
      </c>
      <c r="F223" s="9" t="s">
        <v>334</v>
      </c>
      <c r="G223" s="9" t="s">
        <v>37</v>
      </c>
      <c r="H223" s="10">
        <v>513730.52</v>
      </c>
      <c r="I223" s="10">
        <v>364044.71</v>
      </c>
      <c r="J223" s="10">
        <v>674623.97</v>
      </c>
      <c r="K223" s="10">
        <v>1645273.25</v>
      </c>
      <c r="L223" s="10">
        <v>1916869.56</v>
      </c>
      <c r="M223" s="10">
        <v>3087504.13</v>
      </c>
      <c r="N223" s="10">
        <v>2788435.13</v>
      </c>
      <c r="O223" s="10">
        <v>2658838.3199999998</v>
      </c>
      <c r="P223" s="10">
        <v>2701441.18</v>
      </c>
      <c r="Q223" s="10">
        <v>2684450.4</v>
      </c>
      <c r="R223" s="11">
        <f t="shared" si="0"/>
        <v>19035211.169999998</v>
      </c>
    </row>
    <row r="224" spans="1:18" ht="12.75" x14ac:dyDescent="0.2">
      <c r="A224" s="9" t="s">
        <v>332</v>
      </c>
      <c r="B224" s="9" t="s">
        <v>17</v>
      </c>
      <c r="C224" s="9" t="s">
        <v>36</v>
      </c>
      <c r="D224" s="9" t="s">
        <v>112</v>
      </c>
      <c r="E224" s="9" t="s">
        <v>115</v>
      </c>
      <c r="F224" s="9" t="s">
        <v>334</v>
      </c>
      <c r="G224" s="9" t="s">
        <v>37</v>
      </c>
      <c r="H224" s="10">
        <v>3019569.29</v>
      </c>
      <c r="I224" s="10">
        <v>2139756.52</v>
      </c>
      <c r="J224" s="10">
        <v>5729866.4800000004</v>
      </c>
      <c r="K224" s="10">
        <v>12330789</v>
      </c>
      <c r="L224" s="10">
        <v>15561349.35</v>
      </c>
      <c r="M224" s="10">
        <v>20994478.73</v>
      </c>
      <c r="N224" s="10">
        <v>13610865.859999999</v>
      </c>
      <c r="O224" s="10">
        <v>12914730.76</v>
      </c>
      <c r="P224" s="10">
        <v>20067922.059999999</v>
      </c>
      <c r="Q224" s="10">
        <v>13090769.52</v>
      </c>
      <c r="R224" s="11">
        <f t="shared" si="0"/>
        <v>119460097.57000001</v>
      </c>
    </row>
    <row r="225" spans="1:18" ht="12.75" x14ac:dyDescent="0.2">
      <c r="A225" s="9" t="s">
        <v>332</v>
      </c>
      <c r="B225" s="9" t="s">
        <v>17</v>
      </c>
      <c r="C225" s="9" t="s">
        <v>18</v>
      </c>
      <c r="D225" s="9" t="s">
        <v>112</v>
      </c>
      <c r="E225" s="9" t="s">
        <v>116</v>
      </c>
      <c r="F225" s="9" t="s">
        <v>334</v>
      </c>
      <c r="G225" s="9" t="s">
        <v>24</v>
      </c>
      <c r="H225" s="10">
        <v>595753.43000000005</v>
      </c>
      <c r="I225" s="10">
        <v>16277.38</v>
      </c>
      <c r="J225" s="10">
        <v>43270.28</v>
      </c>
      <c r="K225" s="10">
        <v>116968.54</v>
      </c>
      <c r="L225" s="10">
        <v>97948.26</v>
      </c>
      <c r="M225" s="10">
        <v>132447.95000000001</v>
      </c>
      <c r="N225" s="10">
        <v>129419.37</v>
      </c>
      <c r="O225" s="10">
        <v>99314.49</v>
      </c>
      <c r="P225" s="10">
        <v>112782.61</v>
      </c>
      <c r="Q225" s="10">
        <v>126902.22</v>
      </c>
      <c r="R225" s="11">
        <f t="shared" si="0"/>
        <v>1471084.53</v>
      </c>
    </row>
    <row r="226" spans="1:18" ht="12.75" x14ac:dyDescent="0.2">
      <c r="A226" s="9" t="s">
        <v>332</v>
      </c>
      <c r="B226" s="9" t="s">
        <v>17</v>
      </c>
      <c r="C226" s="9" t="s">
        <v>36</v>
      </c>
      <c r="D226" s="9" t="s">
        <v>112</v>
      </c>
      <c r="E226" s="9" t="s">
        <v>116</v>
      </c>
      <c r="F226" s="9" t="s">
        <v>334</v>
      </c>
      <c r="G226" s="9" t="s">
        <v>37</v>
      </c>
      <c r="H226" s="10">
        <v>171257.96</v>
      </c>
      <c r="I226" s="10">
        <v>121358.48</v>
      </c>
      <c r="J226" s="10">
        <v>224893.8</v>
      </c>
      <c r="K226" s="9">
        <v>0</v>
      </c>
      <c r="L226" s="10">
        <v>219079.72</v>
      </c>
      <c r="M226" s="10">
        <v>2263475.27</v>
      </c>
      <c r="N226" s="10">
        <v>2967133.7</v>
      </c>
      <c r="O226" s="10">
        <v>578040.55000000005</v>
      </c>
      <c r="P226" s="9">
        <v>0</v>
      </c>
      <c r="Q226" s="9">
        <v>0</v>
      </c>
      <c r="R226" s="11">
        <f t="shared" si="0"/>
        <v>6545239.4799999995</v>
      </c>
    </row>
    <row r="227" spans="1:18" ht="12.75" x14ac:dyDescent="0.2">
      <c r="A227" s="9" t="s">
        <v>332</v>
      </c>
      <c r="B227" s="9" t="s">
        <v>17</v>
      </c>
      <c r="C227" s="9" t="s">
        <v>18</v>
      </c>
      <c r="D227" s="9" t="s">
        <v>112</v>
      </c>
      <c r="E227" s="9" t="s">
        <v>116</v>
      </c>
      <c r="F227" s="9" t="s">
        <v>334</v>
      </c>
      <c r="G227" s="9" t="s">
        <v>25</v>
      </c>
      <c r="H227" s="10">
        <v>1557303.35</v>
      </c>
      <c r="I227" s="10">
        <v>8377441.1399999997</v>
      </c>
      <c r="J227" s="10">
        <v>2949845.68</v>
      </c>
      <c r="K227" s="10">
        <v>1251006.43</v>
      </c>
      <c r="L227" s="10">
        <v>1249719.53</v>
      </c>
      <c r="M227" s="10">
        <v>1442064.32</v>
      </c>
      <c r="N227" s="10">
        <v>1398154.72</v>
      </c>
      <c r="O227" s="10">
        <v>1420537.39</v>
      </c>
      <c r="P227" s="10">
        <v>1072585.05</v>
      </c>
      <c r="Q227" s="10">
        <v>1016226.72</v>
      </c>
      <c r="R227" s="11">
        <f t="shared" si="0"/>
        <v>21734884.329999998</v>
      </c>
    </row>
    <row r="228" spans="1:18" ht="12.75" x14ac:dyDescent="0.2">
      <c r="A228" s="9" t="s">
        <v>332</v>
      </c>
      <c r="B228" s="9" t="s">
        <v>17</v>
      </c>
      <c r="C228" s="9" t="s">
        <v>36</v>
      </c>
      <c r="D228" s="9" t="s">
        <v>112</v>
      </c>
      <c r="E228" s="9" t="s">
        <v>117</v>
      </c>
      <c r="F228" s="9" t="s">
        <v>334</v>
      </c>
      <c r="G228" s="9" t="s">
        <v>37</v>
      </c>
      <c r="H228" s="10">
        <v>3561282.76</v>
      </c>
      <c r="I228" s="10">
        <v>2523630.7799999998</v>
      </c>
      <c r="J228" s="10">
        <v>4899920.0199999996</v>
      </c>
      <c r="K228" s="10">
        <v>14074711.119999999</v>
      </c>
      <c r="L228" s="10">
        <v>15814357.25</v>
      </c>
      <c r="M228" s="10">
        <v>15967096.09</v>
      </c>
      <c r="N228" s="10">
        <v>14420407.310000001</v>
      </c>
      <c r="O228" s="10">
        <v>13174913.689999999</v>
      </c>
      <c r="P228" s="10">
        <v>12575733.529999999</v>
      </c>
      <c r="Q228" s="10">
        <v>13130794.33</v>
      </c>
      <c r="R228" s="11">
        <f t="shared" si="0"/>
        <v>110142846.88</v>
      </c>
    </row>
    <row r="229" spans="1:18" ht="12.75" x14ac:dyDescent="0.2">
      <c r="A229" s="9" t="s">
        <v>332</v>
      </c>
      <c r="B229" s="9" t="s">
        <v>17</v>
      </c>
      <c r="C229" s="9" t="s">
        <v>36</v>
      </c>
      <c r="D229" s="9" t="s">
        <v>112</v>
      </c>
      <c r="E229" s="9" t="s">
        <v>118</v>
      </c>
      <c r="F229" s="9" t="s">
        <v>334</v>
      </c>
      <c r="G229" s="9" t="s">
        <v>37</v>
      </c>
      <c r="H229" s="10">
        <v>390288.19</v>
      </c>
      <c r="I229" s="10">
        <v>276569.81</v>
      </c>
      <c r="J229" s="10">
        <v>646880.43000000005</v>
      </c>
      <c r="K229" s="10">
        <v>702160.01</v>
      </c>
      <c r="L229" s="10">
        <v>5652699.5499999998</v>
      </c>
      <c r="M229" s="10">
        <v>5700772.6699999999</v>
      </c>
      <c r="N229" s="10">
        <v>6071479.1600000001</v>
      </c>
      <c r="O229" s="10">
        <v>3538112.81</v>
      </c>
      <c r="P229" s="10">
        <v>1475707.64</v>
      </c>
      <c r="Q229" s="10">
        <v>1466420.86</v>
      </c>
      <c r="R229" s="11">
        <f t="shared" si="0"/>
        <v>25921091.129999999</v>
      </c>
    </row>
    <row r="230" spans="1:18" ht="12.75" x14ac:dyDescent="0.2">
      <c r="A230" s="9" t="s">
        <v>332</v>
      </c>
      <c r="B230" s="9" t="s">
        <v>17</v>
      </c>
      <c r="C230" s="9" t="s">
        <v>36</v>
      </c>
      <c r="D230" s="9" t="s">
        <v>112</v>
      </c>
      <c r="E230" s="9" t="s">
        <v>119</v>
      </c>
      <c r="F230" s="9" t="s">
        <v>334</v>
      </c>
      <c r="G230" s="9" t="s">
        <v>37</v>
      </c>
      <c r="H230" s="10">
        <v>6998163.7199999997</v>
      </c>
      <c r="I230" s="10">
        <v>4959106.74</v>
      </c>
      <c r="J230" s="10">
        <v>6744567.6699999999</v>
      </c>
      <c r="K230" s="10">
        <v>16412564.189999999</v>
      </c>
      <c r="L230" s="10">
        <v>17891916.530000001</v>
      </c>
      <c r="M230" s="10">
        <v>18794171.27</v>
      </c>
      <c r="N230" s="10">
        <v>15761290.949999999</v>
      </c>
      <c r="O230" s="10">
        <v>12711143.77</v>
      </c>
      <c r="P230" s="10">
        <v>12914773.470000001</v>
      </c>
      <c r="Q230" s="10">
        <v>12255446.109999999</v>
      </c>
      <c r="R230" s="11">
        <f t="shared" si="0"/>
        <v>125443144.42</v>
      </c>
    </row>
    <row r="231" spans="1:18" ht="12.75" x14ac:dyDescent="0.2">
      <c r="A231" s="9" t="s">
        <v>332</v>
      </c>
      <c r="B231" s="9" t="s">
        <v>17</v>
      </c>
      <c r="C231" s="9" t="s">
        <v>36</v>
      </c>
      <c r="D231" s="9" t="s">
        <v>112</v>
      </c>
      <c r="E231" s="9" t="s">
        <v>120</v>
      </c>
      <c r="F231" s="9" t="s">
        <v>334</v>
      </c>
      <c r="G231" s="9" t="s">
        <v>37</v>
      </c>
      <c r="H231" s="10">
        <v>688315.18</v>
      </c>
      <c r="I231" s="10">
        <v>487760.59</v>
      </c>
      <c r="J231" s="10">
        <v>764632.5</v>
      </c>
      <c r="K231" s="10">
        <v>1755095.36</v>
      </c>
      <c r="L231" s="10">
        <v>3603259.94</v>
      </c>
      <c r="M231" s="10">
        <v>4029275.54</v>
      </c>
      <c r="N231" s="10">
        <v>4543187.42</v>
      </c>
      <c r="O231" s="10">
        <v>2658909.11</v>
      </c>
      <c r="P231" s="10">
        <v>2701513.13</v>
      </c>
      <c r="Q231" s="10">
        <v>2684521.88</v>
      </c>
      <c r="R231" s="11">
        <f t="shared" si="0"/>
        <v>23916470.649999999</v>
      </c>
    </row>
    <row r="232" spans="1:18" ht="12.75" x14ac:dyDescent="0.2">
      <c r="A232" s="9" t="s">
        <v>332</v>
      </c>
      <c r="B232" s="9" t="s">
        <v>17</v>
      </c>
      <c r="C232" s="9" t="s">
        <v>18</v>
      </c>
      <c r="D232" s="9" t="s">
        <v>112</v>
      </c>
      <c r="E232" s="9" t="s">
        <v>120</v>
      </c>
      <c r="F232" s="9" t="s">
        <v>334</v>
      </c>
      <c r="G232" s="9" t="s">
        <v>38</v>
      </c>
      <c r="H232" s="10">
        <v>291084.74</v>
      </c>
      <c r="I232" s="10">
        <v>553995.82999999996</v>
      </c>
      <c r="J232" s="10">
        <v>967497.5</v>
      </c>
      <c r="K232" s="10">
        <v>831904.98</v>
      </c>
      <c r="L232" s="10">
        <v>869923.85</v>
      </c>
      <c r="M232" s="10">
        <v>1330492.51</v>
      </c>
      <c r="N232" s="10">
        <v>750829.88</v>
      </c>
      <c r="O232" s="10">
        <v>320037.28999999998</v>
      </c>
      <c r="P232" s="10">
        <v>1211881.1399999999</v>
      </c>
      <c r="Q232" s="10">
        <v>669473.86</v>
      </c>
      <c r="R232" s="11">
        <f t="shared" si="0"/>
        <v>7797121.5800000001</v>
      </c>
    </row>
    <row r="233" spans="1:18" ht="12.75" x14ac:dyDescent="0.2">
      <c r="A233" s="9" t="s">
        <v>332</v>
      </c>
      <c r="B233" s="9" t="s">
        <v>17</v>
      </c>
      <c r="C233" s="9" t="s">
        <v>36</v>
      </c>
      <c r="D233" s="9" t="s">
        <v>112</v>
      </c>
      <c r="E233" s="9" t="s">
        <v>121</v>
      </c>
      <c r="F233" s="9" t="s">
        <v>334</v>
      </c>
      <c r="G233" s="9" t="s">
        <v>37</v>
      </c>
      <c r="H233" s="9" t="s">
        <v>29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10">
        <v>823891.95</v>
      </c>
      <c r="R233" s="12">
        <f t="shared" si="0"/>
        <v>823891.95</v>
      </c>
    </row>
    <row r="234" spans="1:18" ht="12.75" x14ac:dyDescent="0.2">
      <c r="A234" s="9" t="s">
        <v>332</v>
      </c>
      <c r="B234" s="9" t="s">
        <v>17</v>
      </c>
      <c r="C234" s="9" t="s">
        <v>18</v>
      </c>
      <c r="D234" s="9" t="s">
        <v>112</v>
      </c>
      <c r="E234" s="9" t="s">
        <v>121</v>
      </c>
      <c r="F234" s="9" t="s">
        <v>334</v>
      </c>
      <c r="G234" s="9" t="s">
        <v>28</v>
      </c>
      <c r="H234" s="10">
        <v>722860.43</v>
      </c>
      <c r="I234" s="10">
        <v>988636.07</v>
      </c>
      <c r="J234" s="10">
        <v>557211.94999999995</v>
      </c>
      <c r="K234" s="10">
        <v>135018.57999999999</v>
      </c>
      <c r="L234" s="10">
        <v>100093.66</v>
      </c>
      <c r="M234" s="10">
        <v>135190.5</v>
      </c>
      <c r="N234" s="10">
        <v>140849.41</v>
      </c>
      <c r="O234" s="10">
        <v>136082.60999999999</v>
      </c>
      <c r="P234" s="10">
        <v>129231.54</v>
      </c>
      <c r="Q234" s="10">
        <v>103362.36</v>
      </c>
      <c r="R234" s="11">
        <f t="shared" si="0"/>
        <v>3148537.1100000003</v>
      </c>
    </row>
    <row r="235" spans="1:18" ht="12.75" x14ac:dyDescent="0.2">
      <c r="A235" s="9" t="s">
        <v>332</v>
      </c>
      <c r="B235" s="9" t="s">
        <v>17</v>
      </c>
      <c r="C235" s="9" t="s">
        <v>36</v>
      </c>
      <c r="D235" s="9" t="s">
        <v>112</v>
      </c>
      <c r="E235" s="9" t="s">
        <v>122</v>
      </c>
      <c r="F235" s="9" t="s">
        <v>334</v>
      </c>
      <c r="G235" s="9" t="s">
        <v>37</v>
      </c>
      <c r="H235" s="10">
        <v>626180.30000000005</v>
      </c>
      <c r="I235" s="10">
        <v>443729.97</v>
      </c>
      <c r="J235" s="10">
        <v>1269945.08</v>
      </c>
      <c r="K235" s="10">
        <v>5290977.4800000004</v>
      </c>
      <c r="L235" s="10">
        <v>8596377.1300000008</v>
      </c>
      <c r="M235" s="10">
        <v>6475245.5099999998</v>
      </c>
      <c r="N235" s="10">
        <v>5848025.2699999996</v>
      </c>
      <c r="O235" s="10">
        <v>5184988.2</v>
      </c>
      <c r="P235" s="10">
        <v>8351996.1299999999</v>
      </c>
      <c r="Q235" s="10">
        <v>10282916.699999999</v>
      </c>
      <c r="R235" s="11">
        <f t="shared" si="0"/>
        <v>52370381.769999996</v>
      </c>
    </row>
    <row r="236" spans="1:18" ht="12.75" x14ac:dyDescent="0.2">
      <c r="A236" s="9" t="s">
        <v>332</v>
      </c>
      <c r="B236" s="9" t="s">
        <v>17</v>
      </c>
      <c r="C236" s="9" t="s">
        <v>36</v>
      </c>
      <c r="D236" s="9" t="s">
        <v>112</v>
      </c>
      <c r="E236" s="9" t="s">
        <v>123</v>
      </c>
      <c r="F236" s="9" t="s">
        <v>334</v>
      </c>
      <c r="G236" s="9" t="s">
        <v>37</v>
      </c>
      <c r="H236" s="10">
        <v>685071.98</v>
      </c>
      <c r="I236" s="10">
        <v>485462.36</v>
      </c>
      <c r="J236" s="10">
        <v>899626.15</v>
      </c>
      <c r="K236" s="10">
        <v>2194043.6800000002</v>
      </c>
      <c r="L236" s="10">
        <v>2556200.27</v>
      </c>
      <c r="M236" s="9">
        <v>0</v>
      </c>
      <c r="N236" s="9">
        <v>0</v>
      </c>
      <c r="O236" s="9">
        <v>0</v>
      </c>
      <c r="P236" s="10">
        <v>1174574.26</v>
      </c>
      <c r="Q236" s="10">
        <v>583589.88</v>
      </c>
      <c r="R236" s="11">
        <f t="shared" si="0"/>
        <v>8578568.5800000001</v>
      </c>
    </row>
    <row r="237" spans="1:18" ht="12.75" x14ac:dyDescent="0.2">
      <c r="A237" s="9" t="s">
        <v>332</v>
      </c>
      <c r="B237" s="9" t="s">
        <v>17</v>
      </c>
      <c r="C237" s="9" t="s">
        <v>18</v>
      </c>
      <c r="D237" s="9" t="s">
        <v>112</v>
      </c>
      <c r="E237" s="9" t="s">
        <v>123</v>
      </c>
      <c r="F237" s="9" t="s">
        <v>334</v>
      </c>
      <c r="G237" s="9" t="s">
        <v>49</v>
      </c>
      <c r="H237" s="10">
        <v>1164338.96</v>
      </c>
      <c r="I237" s="10">
        <v>1872929.64</v>
      </c>
      <c r="J237" s="10">
        <v>2171836.3199999998</v>
      </c>
      <c r="K237" s="10">
        <v>1233960.67</v>
      </c>
      <c r="L237" s="10">
        <v>1749815.39</v>
      </c>
      <c r="M237" s="10">
        <v>1207476.3400000001</v>
      </c>
      <c r="N237" s="10">
        <v>1845290.76</v>
      </c>
      <c r="O237" s="10">
        <v>1215681.49</v>
      </c>
      <c r="P237" s="10">
        <v>1932627.59</v>
      </c>
      <c r="Q237" s="10">
        <v>960653</v>
      </c>
      <c r="R237" s="11">
        <f t="shared" si="0"/>
        <v>15354610.16</v>
      </c>
    </row>
    <row r="238" spans="1:18" ht="12.75" x14ac:dyDescent="0.2">
      <c r="A238" s="9" t="s">
        <v>332</v>
      </c>
      <c r="B238" s="9" t="s">
        <v>17</v>
      </c>
      <c r="C238" s="9" t="s">
        <v>36</v>
      </c>
      <c r="D238" s="9" t="s">
        <v>112</v>
      </c>
      <c r="E238" s="9" t="s">
        <v>124</v>
      </c>
      <c r="F238" s="9" t="s">
        <v>334</v>
      </c>
      <c r="G238" s="9" t="s">
        <v>37</v>
      </c>
      <c r="H238" s="9" t="s">
        <v>29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10">
        <v>2122943.63</v>
      </c>
      <c r="R238" s="12">
        <f t="shared" si="0"/>
        <v>2122943.63</v>
      </c>
    </row>
    <row r="239" spans="1:18" ht="12.75" x14ac:dyDescent="0.2">
      <c r="A239" s="9" t="s">
        <v>332</v>
      </c>
      <c r="B239" s="9" t="s">
        <v>17</v>
      </c>
      <c r="C239" s="9" t="s">
        <v>18</v>
      </c>
      <c r="D239" s="9" t="s">
        <v>112</v>
      </c>
      <c r="E239" s="9" t="s">
        <v>124</v>
      </c>
      <c r="F239" s="9" t="s">
        <v>334</v>
      </c>
      <c r="G239" s="9" t="s">
        <v>38</v>
      </c>
      <c r="H239" s="10">
        <v>291084.74</v>
      </c>
      <c r="I239" s="10">
        <v>553995.82999999996</v>
      </c>
      <c r="J239" s="10">
        <v>967497.5</v>
      </c>
      <c r="K239" s="10">
        <v>831904.98</v>
      </c>
      <c r="L239" s="10">
        <v>869923.85</v>
      </c>
      <c r="M239" s="10">
        <v>1330492.51</v>
      </c>
      <c r="N239" s="10">
        <v>750829.88</v>
      </c>
      <c r="O239" s="10">
        <v>320037.28999999998</v>
      </c>
      <c r="P239" s="10">
        <v>1211881.1399999999</v>
      </c>
      <c r="Q239" s="10">
        <v>669473.86</v>
      </c>
      <c r="R239" s="11">
        <f t="shared" si="0"/>
        <v>7797121.5800000001</v>
      </c>
    </row>
    <row r="240" spans="1:18" ht="12.75" x14ac:dyDescent="0.2">
      <c r="A240" s="9" t="s">
        <v>332</v>
      </c>
      <c r="B240" s="9" t="s">
        <v>17</v>
      </c>
      <c r="C240" s="9" t="s">
        <v>18</v>
      </c>
      <c r="D240" s="9" t="s">
        <v>112</v>
      </c>
      <c r="E240" s="9" t="s">
        <v>124</v>
      </c>
      <c r="F240" s="9" t="s">
        <v>334</v>
      </c>
      <c r="G240" s="9" t="s">
        <v>49</v>
      </c>
      <c r="H240" s="10">
        <v>337658.3</v>
      </c>
      <c r="I240" s="10">
        <v>543149.6</v>
      </c>
      <c r="J240" s="10">
        <v>629832.53</v>
      </c>
      <c r="K240" s="10">
        <v>357848.59</v>
      </c>
      <c r="L240" s="10">
        <v>507446.46</v>
      </c>
      <c r="M240" s="10">
        <v>350168.14</v>
      </c>
      <c r="N240" s="10">
        <v>535134.31999999995</v>
      </c>
      <c r="O240" s="10">
        <v>352547.63</v>
      </c>
      <c r="P240" s="10">
        <v>560462</v>
      </c>
      <c r="Q240" s="10">
        <v>278589.37</v>
      </c>
      <c r="R240" s="11">
        <f t="shared" si="0"/>
        <v>4452836.9399999995</v>
      </c>
    </row>
    <row r="241" spans="1:18" ht="12.75" x14ac:dyDescent="0.2">
      <c r="A241" s="9" t="s">
        <v>332</v>
      </c>
      <c r="B241" s="9" t="s">
        <v>17</v>
      </c>
      <c r="C241" s="9" t="s">
        <v>18</v>
      </c>
      <c r="D241" s="9" t="s">
        <v>125</v>
      </c>
      <c r="E241" s="9" t="s">
        <v>126</v>
      </c>
      <c r="F241" s="9" t="s">
        <v>333</v>
      </c>
      <c r="G241" s="9" t="s">
        <v>21</v>
      </c>
      <c r="H241" s="9" t="s">
        <v>29</v>
      </c>
      <c r="I241" s="9">
        <v>0</v>
      </c>
      <c r="J241" s="9">
        <v>0</v>
      </c>
      <c r="K241" s="9">
        <v>0</v>
      </c>
      <c r="L241" s="10">
        <v>25683.38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12">
        <f t="shared" si="0"/>
        <v>25683.38</v>
      </c>
    </row>
    <row r="242" spans="1:18" ht="12.75" x14ac:dyDescent="0.2">
      <c r="A242" s="9" t="s">
        <v>332</v>
      </c>
      <c r="B242" s="9" t="s">
        <v>17</v>
      </c>
      <c r="C242" s="9" t="s">
        <v>18</v>
      </c>
      <c r="D242" s="9" t="s">
        <v>125</v>
      </c>
      <c r="E242" s="9" t="s">
        <v>126</v>
      </c>
      <c r="F242" s="9" t="s">
        <v>333</v>
      </c>
      <c r="G242" s="9" t="s">
        <v>24</v>
      </c>
      <c r="H242" s="10">
        <v>412472.95</v>
      </c>
      <c r="I242" s="10">
        <v>11269.73</v>
      </c>
      <c r="J242" s="10">
        <v>22180.74</v>
      </c>
      <c r="K242" s="10">
        <v>87685.83</v>
      </c>
      <c r="L242" s="10">
        <v>91872.2</v>
      </c>
      <c r="M242" s="10">
        <v>80978.649999999994</v>
      </c>
      <c r="N242" s="10">
        <v>28979.16</v>
      </c>
      <c r="O242" s="10">
        <v>64562.400000000001</v>
      </c>
      <c r="P242" s="10">
        <v>57719.53</v>
      </c>
      <c r="Q242" s="10">
        <v>36446.22</v>
      </c>
      <c r="R242" s="11">
        <f t="shared" si="0"/>
        <v>894167.41</v>
      </c>
    </row>
    <row r="243" spans="1:18" ht="12.75" x14ac:dyDescent="0.2">
      <c r="A243" s="9" t="s">
        <v>332</v>
      </c>
      <c r="B243" s="9" t="s">
        <v>17</v>
      </c>
      <c r="C243" s="9" t="s">
        <v>18</v>
      </c>
      <c r="D243" s="9" t="s">
        <v>125</v>
      </c>
      <c r="E243" s="9" t="s">
        <v>126</v>
      </c>
      <c r="F243" s="9" t="s">
        <v>333</v>
      </c>
      <c r="G243" s="9" t="s">
        <v>24</v>
      </c>
      <c r="H243" s="10">
        <v>4222.25</v>
      </c>
      <c r="I243" s="9">
        <v>115.36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11">
        <f t="shared" si="0"/>
        <v>4337.6099999999997</v>
      </c>
    </row>
    <row r="244" spans="1:18" ht="12.75" x14ac:dyDescent="0.2">
      <c r="A244" s="9" t="s">
        <v>332</v>
      </c>
      <c r="B244" s="9" t="s">
        <v>17</v>
      </c>
      <c r="C244" s="9" t="s">
        <v>18</v>
      </c>
      <c r="D244" s="9" t="s">
        <v>125</v>
      </c>
      <c r="E244" s="9" t="s">
        <v>126</v>
      </c>
      <c r="F244" s="9" t="s">
        <v>333</v>
      </c>
      <c r="G244" s="9" t="s">
        <v>22</v>
      </c>
      <c r="H244" s="9" t="s">
        <v>29</v>
      </c>
      <c r="I244" s="9">
        <v>0</v>
      </c>
      <c r="J244" s="9">
        <v>0</v>
      </c>
      <c r="K244" s="10">
        <v>634509.93000000005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12">
        <f t="shared" si="0"/>
        <v>634509.93000000005</v>
      </c>
    </row>
    <row r="245" spans="1:18" ht="12.75" x14ac:dyDescent="0.2">
      <c r="A245" s="9" t="s">
        <v>332</v>
      </c>
      <c r="B245" s="9" t="s">
        <v>17</v>
      </c>
      <c r="C245" s="9" t="s">
        <v>18</v>
      </c>
      <c r="D245" s="9" t="s">
        <v>125</v>
      </c>
      <c r="E245" s="9" t="s">
        <v>126</v>
      </c>
      <c r="F245" s="9" t="s">
        <v>333</v>
      </c>
      <c r="G245" s="9" t="s">
        <v>25</v>
      </c>
      <c r="H245" s="9" t="s">
        <v>29</v>
      </c>
      <c r="I245" s="9">
        <v>0</v>
      </c>
      <c r="J245" s="9">
        <v>0</v>
      </c>
      <c r="K245" s="9">
        <v>0</v>
      </c>
      <c r="L245" s="10">
        <v>36619.160000000003</v>
      </c>
      <c r="M245" s="10">
        <v>23655.99</v>
      </c>
      <c r="N245" s="9">
        <v>0</v>
      </c>
      <c r="O245" s="10">
        <v>62430.15</v>
      </c>
      <c r="P245" s="9">
        <v>0</v>
      </c>
      <c r="Q245" s="9">
        <v>0</v>
      </c>
      <c r="R245" s="12">
        <f t="shared" si="0"/>
        <v>122705.30000000002</v>
      </c>
    </row>
    <row r="246" spans="1:18" ht="12.75" x14ac:dyDescent="0.2">
      <c r="A246" s="9" t="s">
        <v>332</v>
      </c>
      <c r="B246" s="9" t="s">
        <v>17</v>
      </c>
      <c r="C246" s="9" t="s">
        <v>18</v>
      </c>
      <c r="D246" s="9" t="s">
        <v>125</v>
      </c>
      <c r="E246" s="9" t="s">
        <v>126</v>
      </c>
      <c r="F246" s="9" t="s">
        <v>333</v>
      </c>
      <c r="G246" s="9" t="s">
        <v>26</v>
      </c>
      <c r="H246" s="10">
        <v>74478.28</v>
      </c>
      <c r="I246" s="10">
        <v>4725.37</v>
      </c>
      <c r="J246" s="10">
        <v>7677.04</v>
      </c>
      <c r="K246" s="9">
        <v>0</v>
      </c>
      <c r="L246" s="9">
        <v>534.19000000000005</v>
      </c>
      <c r="M246" s="9">
        <v>0</v>
      </c>
      <c r="N246" s="10">
        <v>158357.07999999999</v>
      </c>
      <c r="O246" s="9">
        <v>796.31</v>
      </c>
      <c r="P246" s="9">
        <v>0</v>
      </c>
      <c r="Q246" s="10">
        <v>4020.96</v>
      </c>
      <c r="R246" s="11">
        <f t="shared" si="0"/>
        <v>250589.22999999995</v>
      </c>
    </row>
    <row r="247" spans="1:18" ht="12.75" x14ac:dyDescent="0.2">
      <c r="A247" s="9" t="s">
        <v>332</v>
      </c>
      <c r="B247" s="9" t="s">
        <v>17</v>
      </c>
      <c r="C247" s="9" t="s">
        <v>18</v>
      </c>
      <c r="D247" s="9" t="s">
        <v>125</v>
      </c>
      <c r="E247" s="9" t="s">
        <v>126</v>
      </c>
      <c r="F247" s="9" t="s">
        <v>333</v>
      </c>
      <c r="G247" s="9" t="s">
        <v>26</v>
      </c>
      <c r="H247" s="9" t="s">
        <v>29</v>
      </c>
      <c r="I247" s="9">
        <v>0</v>
      </c>
      <c r="J247" s="9">
        <v>0</v>
      </c>
      <c r="K247" s="9">
        <v>366.23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12">
        <f t="shared" si="0"/>
        <v>366.23</v>
      </c>
    </row>
    <row r="248" spans="1:18" ht="12.75" x14ac:dyDescent="0.2">
      <c r="A248" s="9" t="s">
        <v>332</v>
      </c>
      <c r="B248" s="9" t="s">
        <v>17</v>
      </c>
      <c r="C248" s="9" t="s">
        <v>18</v>
      </c>
      <c r="D248" s="9" t="s">
        <v>125</v>
      </c>
      <c r="E248" s="9" t="s">
        <v>126</v>
      </c>
      <c r="F248" s="9" t="s">
        <v>333</v>
      </c>
      <c r="G248" s="9" t="s">
        <v>27</v>
      </c>
      <c r="H248" s="10">
        <v>4673574.78</v>
      </c>
      <c r="I248" s="10">
        <v>991048.03</v>
      </c>
      <c r="J248" s="10">
        <v>2141992.17</v>
      </c>
      <c r="K248" s="10">
        <v>127985.82</v>
      </c>
      <c r="L248" s="10">
        <v>1032959.95</v>
      </c>
      <c r="M248" s="10">
        <v>27264.73</v>
      </c>
      <c r="N248" s="10">
        <v>563308.44999999995</v>
      </c>
      <c r="O248" s="10">
        <v>1823083.67</v>
      </c>
      <c r="P248" s="10">
        <v>536295.97</v>
      </c>
      <c r="Q248" s="10">
        <v>3816485.62</v>
      </c>
      <c r="R248" s="11">
        <f t="shared" si="0"/>
        <v>15733999.190000001</v>
      </c>
    </row>
    <row r="249" spans="1:18" ht="12.75" x14ac:dyDescent="0.2">
      <c r="A249" s="9" t="s">
        <v>332</v>
      </c>
      <c r="B249" s="9" t="s">
        <v>17</v>
      </c>
      <c r="C249" s="9" t="s">
        <v>18</v>
      </c>
      <c r="D249" s="9" t="s">
        <v>125</v>
      </c>
      <c r="E249" s="9" t="s">
        <v>126</v>
      </c>
      <c r="F249" s="9" t="s">
        <v>333</v>
      </c>
      <c r="G249" s="9" t="s">
        <v>27</v>
      </c>
      <c r="H249" s="10">
        <v>20600.09</v>
      </c>
      <c r="I249" s="10">
        <v>4368.32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11">
        <f t="shared" si="0"/>
        <v>24968.41</v>
      </c>
    </row>
    <row r="250" spans="1:18" ht="12.75" x14ac:dyDescent="0.2">
      <c r="A250" s="9" t="s">
        <v>332</v>
      </c>
      <c r="B250" s="9" t="s">
        <v>17</v>
      </c>
      <c r="C250" s="9" t="s">
        <v>18</v>
      </c>
      <c r="D250" s="9" t="s">
        <v>125</v>
      </c>
      <c r="E250" s="9" t="s">
        <v>126</v>
      </c>
      <c r="F250" s="9" t="s">
        <v>333</v>
      </c>
      <c r="G250" s="9" t="s">
        <v>28</v>
      </c>
      <c r="H250" s="10">
        <v>31791.07</v>
      </c>
      <c r="I250" s="10">
        <v>43479.76</v>
      </c>
      <c r="J250" s="10">
        <v>19507.11</v>
      </c>
      <c r="K250" s="10">
        <v>8070.07</v>
      </c>
      <c r="L250" s="10">
        <v>15947.9</v>
      </c>
      <c r="M250" s="10">
        <v>5064.96</v>
      </c>
      <c r="N250" s="10">
        <v>3007.4</v>
      </c>
      <c r="O250" s="10">
        <v>1653.09</v>
      </c>
      <c r="P250" s="10">
        <v>5061.08</v>
      </c>
      <c r="Q250" s="9">
        <v>0</v>
      </c>
      <c r="R250" s="11">
        <f t="shared" si="0"/>
        <v>133582.44</v>
      </c>
    </row>
    <row r="251" spans="1:18" ht="12.75" x14ac:dyDescent="0.2">
      <c r="A251" s="9" t="s">
        <v>332</v>
      </c>
      <c r="B251" s="9" t="s">
        <v>17</v>
      </c>
      <c r="C251" s="9" t="s">
        <v>18</v>
      </c>
      <c r="D251" s="9" t="s">
        <v>31</v>
      </c>
      <c r="E251" s="9" t="s">
        <v>127</v>
      </c>
      <c r="F251" s="9" t="s">
        <v>333</v>
      </c>
      <c r="G251" s="9" t="s">
        <v>21</v>
      </c>
      <c r="H251" s="9" t="s">
        <v>29</v>
      </c>
      <c r="I251" s="9">
        <v>0</v>
      </c>
      <c r="J251" s="9">
        <v>0</v>
      </c>
      <c r="K251" s="9">
        <v>0</v>
      </c>
      <c r="L251" s="9">
        <v>980.5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12">
        <f t="shared" si="0"/>
        <v>980.5</v>
      </c>
    </row>
    <row r="252" spans="1:18" ht="12.75" x14ac:dyDescent="0.2">
      <c r="A252" s="9" t="s">
        <v>332</v>
      </c>
      <c r="B252" s="9" t="s">
        <v>17</v>
      </c>
      <c r="C252" s="9" t="s">
        <v>18</v>
      </c>
      <c r="D252" s="9" t="s">
        <v>31</v>
      </c>
      <c r="E252" s="9" t="s">
        <v>127</v>
      </c>
      <c r="F252" s="9" t="s">
        <v>333</v>
      </c>
      <c r="G252" s="9" t="s">
        <v>24</v>
      </c>
      <c r="H252" s="10">
        <v>38811.300000000003</v>
      </c>
      <c r="I252" s="10">
        <v>1060.42</v>
      </c>
      <c r="J252" s="10">
        <v>2818.91</v>
      </c>
      <c r="K252" s="10">
        <v>151680.71</v>
      </c>
      <c r="L252" s="10">
        <v>117606.31</v>
      </c>
      <c r="M252" s="10">
        <v>144627.48000000001</v>
      </c>
      <c r="N252" s="10">
        <v>141662.32999999999</v>
      </c>
      <c r="O252" s="10">
        <v>391822.39</v>
      </c>
      <c r="P252" s="10">
        <v>236891.18</v>
      </c>
      <c r="Q252" s="10">
        <v>138980.15</v>
      </c>
      <c r="R252" s="11">
        <f t="shared" si="0"/>
        <v>1365961.18</v>
      </c>
    </row>
    <row r="253" spans="1:18" ht="12.75" x14ac:dyDescent="0.2">
      <c r="A253" s="9" t="s">
        <v>332</v>
      </c>
      <c r="B253" s="9" t="s">
        <v>17</v>
      </c>
      <c r="C253" s="9" t="s">
        <v>18</v>
      </c>
      <c r="D253" s="9" t="s">
        <v>31</v>
      </c>
      <c r="E253" s="9" t="s">
        <v>127</v>
      </c>
      <c r="F253" s="9" t="s">
        <v>333</v>
      </c>
      <c r="G253" s="9" t="s">
        <v>24</v>
      </c>
      <c r="H253" s="10">
        <v>166888.57999999999</v>
      </c>
      <c r="I253" s="10">
        <v>4559.79</v>
      </c>
      <c r="J253" s="10">
        <v>12121.32</v>
      </c>
      <c r="K253" s="10">
        <v>30480.400000000001</v>
      </c>
      <c r="L253" s="10">
        <v>25523.98</v>
      </c>
      <c r="M253" s="10">
        <v>34514.120000000003</v>
      </c>
      <c r="N253" s="10">
        <v>33724.92</v>
      </c>
      <c r="O253" s="10">
        <v>25880</v>
      </c>
      <c r="P253" s="10">
        <v>29389.599999999999</v>
      </c>
      <c r="Q253" s="10">
        <v>33068.980000000003</v>
      </c>
      <c r="R253" s="11">
        <f t="shared" si="0"/>
        <v>396151.68999999994</v>
      </c>
    </row>
    <row r="254" spans="1:18" ht="12.75" x14ac:dyDescent="0.2">
      <c r="A254" s="9" t="s">
        <v>332</v>
      </c>
      <c r="B254" s="9" t="s">
        <v>17</v>
      </c>
      <c r="C254" s="9" t="s">
        <v>18</v>
      </c>
      <c r="D254" s="9" t="s">
        <v>31</v>
      </c>
      <c r="E254" s="9" t="s">
        <v>127</v>
      </c>
      <c r="F254" s="9" t="s">
        <v>333</v>
      </c>
      <c r="G254" s="9" t="s">
        <v>24</v>
      </c>
      <c r="H254" s="10">
        <v>412370.05</v>
      </c>
      <c r="I254" s="10">
        <v>11266.92</v>
      </c>
      <c r="J254" s="10">
        <v>29950.93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10">
        <v>15678.7</v>
      </c>
      <c r="R254" s="11">
        <f t="shared" si="0"/>
        <v>469266.6</v>
      </c>
    </row>
    <row r="255" spans="1:18" ht="12.75" x14ac:dyDescent="0.2">
      <c r="A255" s="9" t="s">
        <v>332</v>
      </c>
      <c r="B255" s="9" t="s">
        <v>17</v>
      </c>
      <c r="C255" s="9" t="s">
        <v>18</v>
      </c>
      <c r="D255" s="9" t="s">
        <v>31</v>
      </c>
      <c r="E255" s="9" t="s">
        <v>127</v>
      </c>
      <c r="F255" s="9" t="s">
        <v>333</v>
      </c>
      <c r="G255" s="9" t="s">
        <v>22</v>
      </c>
      <c r="H255" s="9" t="s">
        <v>29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10">
        <v>79003.78</v>
      </c>
      <c r="O255" s="9">
        <v>0</v>
      </c>
      <c r="P255" s="9">
        <v>0</v>
      </c>
      <c r="Q255" s="10">
        <v>246199.24</v>
      </c>
      <c r="R255" s="12">
        <f t="shared" si="0"/>
        <v>325203.02</v>
      </c>
    </row>
    <row r="256" spans="1:18" ht="12.75" x14ac:dyDescent="0.2">
      <c r="A256" s="9" t="s">
        <v>332</v>
      </c>
      <c r="B256" s="9" t="s">
        <v>17</v>
      </c>
      <c r="C256" s="9" t="s">
        <v>18</v>
      </c>
      <c r="D256" s="9" t="s">
        <v>31</v>
      </c>
      <c r="E256" s="9" t="s">
        <v>127</v>
      </c>
      <c r="F256" s="9" t="s">
        <v>333</v>
      </c>
      <c r="G256" s="9" t="s">
        <v>22</v>
      </c>
      <c r="H256" s="10">
        <v>591872.30000000005</v>
      </c>
      <c r="I256" s="10">
        <v>419418.3</v>
      </c>
      <c r="J256" s="10">
        <v>760360.53</v>
      </c>
      <c r="K256" s="9">
        <v>0</v>
      </c>
      <c r="L256" s="9">
        <v>0</v>
      </c>
      <c r="M256" s="9">
        <v>0</v>
      </c>
      <c r="N256" s="9">
        <v>0</v>
      </c>
      <c r="O256" s="10">
        <v>486562.94</v>
      </c>
      <c r="P256" s="9">
        <v>0</v>
      </c>
      <c r="Q256" s="10">
        <v>65884.460000000006</v>
      </c>
      <c r="R256" s="11">
        <f t="shared" si="0"/>
        <v>2324098.5300000003</v>
      </c>
    </row>
    <row r="257" spans="1:18" ht="12.75" x14ac:dyDescent="0.2">
      <c r="A257" s="9" t="s">
        <v>332</v>
      </c>
      <c r="B257" s="9" t="s">
        <v>17</v>
      </c>
      <c r="C257" s="9" t="s">
        <v>18</v>
      </c>
      <c r="D257" s="9" t="s">
        <v>31</v>
      </c>
      <c r="E257" s="9" t="s">
        <v>127</v>
      </c>
      <c r="F257" s="9" t="s">
        <v>333</v>
      </c>
      <c r="G257" s="9" t="s">
        <v>26</v>
      </c>
      <c r="H257" s="10">
        <v>485141.23</v>
      </c>
      <c r="I257" s="10">
        <v>30780.44</v>
      </c>
      <c r="J257" s="10">
        <v>39892.26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11">
        <f t="shared" si="0"/>
        <v>555813.92999999993</v>
      </c>
    </row>
    <row r="258" spans="1:18" ht="12.75" x14ac:dyDescent="0.2">
      <c r="A258" s="9" t="s">
        <v>332</v>
      </c>
      <c r="B258" s="9" t="s">
        <v>17</v>
      </c>
      <c r="C258" s="9" t="s">
        <v>18</v>
      </c>
      <c r="D258" s="9" t="s">
        <v>31</v>
      </c>
      <c r="E258" s="9" t="s">
        <v>127</v>
      </c>
      <c r="F258" s="9" t="s">
        <v>333</v>
      </c>
      <c r="G258" s="9" t="s">
        <v>27</v>
      </c>
      <c r="H258" s="10">
        <v>512759.24</v>
      </c>
      <c r="I258" s="10">
        <v>108732.41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11">
        <f t="shared" si="0"/>
        <v>621491.65</v>
      </c>
    </row>
    <row r="259" spans="1:18" ht="12.75" x14ac:dyDescent="0.2">
      <c r="A259" s="9" t="s">
        <v>332</v>
      </c>
      <c r="B259" s="9" t="s">
        <v>17</v>
      </c>
      <c r="C259" s="9" t="s">
        <v>18</v>
      </c>
      <c r="D259" s="9" t="s">
        <v>31</v>
      </c>
      <c r="E259" s="9" t="s">
        <v>127</v>
      </c>
      <c r="F259" s="9" t="s">
        <v>333</v>
      </c>
      <c r="G259" s="9" t="s">
        <v>28</v>
      </c>
      <c r="H259" s="10">
        <v>47900.13</v>
      </c>
      <c r="I259" s="10">
        <v>65511.68</v>
      </c>
      <c r="J259" s="10">
        <v>202835.29</v>
      </c>
      <c r="K259" s="10">
        <v>3262.19</v>
      </c>
      <c r="L259" s="10">
        <v>2418.37</v>
      </c>
      <c r="M259" s="10">
        <v>3266.35</v>
      </c>
      <c r="N259" s="10">
        <v>3403.07</v>
      </c>
      <c r="O259" s="10">
        <v>3287.9</v>
      </c>
      <c r="P259" s="10">
        <v>3122.37</v>
      </c>
      <c r="Q259" s="10">
        <v>2497.35</v>
      </c>
      <c r="R259" s="11">
        <f t="shared" si="0"/>
        <v>337504.69999999995</v>
      </c>
    </row>
    <row r="260" spans="1:18" ht="12.75" x14ac:dyDescent="0.2">
      <c r="A260" s="9" t="s">
        <v>332</v>
      </c>
      <c r="B260" s="9" t="s">
        <v>17</v>
      </c>
      <c r="C260" s="9" t="s">
        <v>18</v>
      </c>
      <c r="D260" s="9" t="s">
        <v>31</v>
      </c>
      <c r="E260" s="9" t="s">
        <v>127</v>
      </c>
      <c r="F260" s="9" t="s">
        <v>333</v>
      </c>
      <c r="G260" s="9" t="s">
        <v>34</v>
      </c>
      <c r="H260" s="9" t="s">
        <v>29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10">
        <v>90504.62</v>
      </c>
      <c r="O260" s="9">
        <v>0</v>
      </c>
      <c r="P260" s="9">
        <v>0</v>
      </c>
      <c r="Q260" s="9">
        <v>0</v>
      </c>
      <c r="R260" s="12">
        <f t="shared" si="0"/>
        <v>90504.62</v>
      </c>
    </row>
    <row r="261" spans="1:18" ht="12.75" x14ac:dyDescent="0.2">
      <c r="A261" s="9" t="s">
        <v>332</v>
      </c>
      <c r="B261" s="9" t="s">
        <v>17</v>
      </c>
      <c r="C261" s="9" t="s">
        <v>18</v>
      </c>
      <c r="D261" s="9" t="s">
        <v>31</v>
      </c>
      <c r="E261" s="9" t="s">
        <v>127</v>
      </c>
      <c r="F261" s="9" t="s">
        <v>333</v>
      </c>
      <c r="G261" s="9" t="s">
        <v>55</v>
      </c>
      <c r="H261" s="9" t="s">
        <v>29</v>
      </c>
      <c r="I261" s="9">
        <v>0</v>
      </c>
      <c r="J261" s="9">
        <v>0</v>
      </c>
      <c r="K261" s="10">
        <v>47037.35</v>
      </c>
      <c r="L261" s="10">
        <v>41610.65</v>
      </c>
      <c r="M261" s="10">
        <v>23307.5</v>
      </c>
      <c r="N261" s="10">
        <v>76365.88</v>
      </c>
      <c r="O261" s="10">
        <v>68697.64</v>
      </c>
      <c r="P261" s="10">
        <v>216282.3</v>
      </c>
      <c r="Q261" s="10">
        <v>175145.93</v>
      </c>
      <c r="R261" s="12">
        <f t="shared" si="0"/>
        <v>648447.25</v>
      </c>
    </row>
    <row r="262" spans="1:18" ht="12.75" x14ac:dyDescent="0.2">
      <c r="A262" s="9" t="s">
        <v>332</v>
      </c>
      <c r="B262" s="9" t="s">
        <v>17</v>
      </c>
      <c r="C262" s="9" t="s">
        <v>18</v>
      </c>
      <c r="D262" s="9" t="s">
        <v>31</v>
      </c>
      <c r="E262" s="9" t="s">
        <v>128</v>
      </c>
      <c r="F262" s="9" t="s">
        <v>333</v>
      </c>
      <c r="G262" s="9" t="s">
        <v>21</v>
      </c>
      <c r="H262" s="10">
        <v>97028.25</v>
      </c>
      <c r="I262" s="9">
        <v>945.44</v>
      </c>
      <c r="J262" s="10">
        <v>3228.42</v>
      </c>
      <c r="K262" s="10">
        <v>10709.42</v>
      </c>
      <c r="L262" s="10">
        <v>9155.7800000000007</v>
      </c>
      <c r="M262" s="10">
        <v>11422.92</v>
      </c>
      <c r="N262" s="10">
        <v>13655.71</v>
      </c>
      <c r="O262" s="10">
        <v>13312.7</v>
      </c>
      <c r="P262" s="10">
        <v>10668.43</v>
      </c>
      <c r="Q262" s="10">
        <v>17046.509999999998</v>
      </c>
      <c r="R262" s="11">
        <f t="shared" si="0"/>
        <v>187173.58000000002</v>
      </c>
    </row>
    <row r="263" spans="1:18" ht="12.75" x14ac:dyDescent="0.2">
      <c r="A263" s="9" t="s">
        <v>332</v>
      </c>
      <c r="B263" s="9" t="s">
        <v>17</v>
      </c>
      <c r="C263" s="9" t="s">
        <v>18</v>
      </c>
      <c r="D263" s="9" t="s">
        <v>31</v>
      </c>
      <c r="E263" s="9" t="s">
        <v>128</v>
      </c>
      <c r="F263" s="9" t="s">
        <v>333</v>
      </c>
      <c r="G263" s="9" t="s">
        <v>24</v>
      </c>
      <c r="H263" s="9" t="s">
        <v>29</v>
      </c>
      <c r="I263" s="9">
        <v>0</v>
      </c>
      <c r="J263" s="9">
        <v>0</v>
      </c>
      <c r="K263" s="10">
        <v>222326.18</v>
      </c>
      <c r="L263" s="9">
        <v>0</v>
      </c>
      <c r="M263" s="9">
        <v>0</v>
      </c>
      <c r="N263" s="9">
        <v>0</v>
      </c>
      <c r="O263" s="10">
        <v>196745.5</v>
      </c>
      <c r="P263" s="10">
        <v>189521.14</v>
      </c>
      <c r="Q263" s="10">
        <v>-68283.460000000006</v>
      </c>
      <c r="R263" s="12">
        <f t="shared" si="0"/>
        <v>540309.3600000001</v>
      </c>
    </row>
    <row r="264" spans="1:18" ht="12.75" x14ac:dyDescent="0.2">
      <c r="A264" s="9" t="s">
        <v>332</v>
      </c>
      <c r="B264" s="9" t="s">
        <v>17</v>
      </c>
      <c r="C264" s="9" t="s">
        <v>18</v>
      </c>
      <c r="D264" s="9" t="s">
        <v>31</v>
      </c>
      <c r="E264" s="9" t="s">
        <v>128</v>
      </c>
      <c r="F264" s="9" t="s">
        <v>333</v>
      </c>
      <c r="G264" s="9" t="s">
        <v>26</v>
      </c>
      <c r="H264" s="10">
        <v>290990.87</v>
      </c>
      <c r="I264" s="10">
        <v>18462.310000000001</v>
      </c>
      <c r="J264" s="10">
        <v>450152.93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11">
        <f t="shared" si="0"/>
        <v>759606.11</v>
      </c>
    </row>
    <row r="265" spans="1:18" ht="12.75" x14ac:dyDescent="0.2">
      <c r="A265" s="9" t="s">
        <v>332</v>
      </c>
      <c r="B265" s="9" t="s">
        <v>17</v>
      </c>
      <c r="C265" s="9" t="s">
        <v>18</v>
      </c>
      <c r="D265" s="9" t="s">
        <v>31</v>
      </c>
      <c r="E265" s="9" t="s">
        <v>128</v>
      </c>
      <c r="F265" s="9" t="s">
        <v>333</v>
      </c>
      <c r="G265" s="9" t="s">
        <v>27</v>
      </c>
      <c r="H265" s="10">
        <v>388112.99</v>
      </c>
      <c r="I265" s="10">
        <v>82300.73</v>
      </c>
      <c r="J265" s="10">
        <v>184135.38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11">
        <f t="shared" si="0"/>
        <v>654549.1</v>
      </c>
    </row>
    <row r="266" spans="1:18" ht="12.75" x14ac:dyDescent="0.2">
      <c r="A266" s="9" t="s">
        <v>332</v>
      </c>
      <c r="B266" s="9" t="s">
        <v>17</v>
      </c>
      <c r="C266" s="9" t="s">
        <v>18</v>
      </c>
      <c r="D266" s="9" t="s">
        <v>31</v>
      </c>
      <c r="E266" s="9" t="s">
        <v>128</v>
      </c>
      <c r="F266" s="9" t="s">
        <v>333</v>
      </c>
      <c r="G266" s="9" t="s">
        <v>28</v>
      </c>
      <c r="H266" s="9" t="s">
        <v>29</v>
      </c>
      <c r="I266" s="9">
        <v>0</v>
      </c>
      <c r="J266" s="9">
        <v>0</v>
      </c>
      <c r="K266" s="10">
        <v>18123.3</v>
      </c>
      <c r="L266" s="10">
        <v>13435.39</v>
      </c>
      <c r="M266" s="10">
        <v>18146.38</v>
      </c>
      <c r="N266" s="10">
        <v>18905.96</v>
      </c>
      <c r="O266" s="10">
        <v>18266.12</v>
      </c>
      <c r="P266" s="10">
        <v>17346.52</v>
      </c>
      <c r="Q266" s="10">
        <v>13874.14</v>
      </c>
      <c r="R266" s="12">
        <f t="shared" si="0"/>
        <v>118097.81</v>
      </c>
    </row>
    <row r="267" spans="1:18" ht="12.75" x14ac:dyDescent="0.2">
      <c r="A267" s="9" t="s">
        <v>332</v>
      </c>
      <c r="B267" s="9" t="s">
        <v>17</v>
      </c>
      <c r="C267" s="9" t="s">
        <v>18</v>
      </c>
      <c r="D267" s="9" t="s">
        <v>31</v>
      </c>
      <c r="E267" s="9" t="s">
        <v>128</v>
      </c>
      <c r="F267" s="9" t="s">
        <v>333</v>
      </c>
      <c r="G267" s="9" t="s">
        <v>34</v>
      </c>
      <c r="H267" s="10">
        <v>145542.37</v>
      </c>
      <c r="I267" s="10">
        <v>142915.72</v>
      </c>
      <c r="J267" s="10">
        <v>79329.91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11">
        <f t="shared" si="0"/>
        <v>367788</v>
      </c>
    </row>
    <row r="268" spans="1:18" ht="12.75" x14ac:dyDescent="0.2">
      <c r="A268" s="9" t="s">
        <v>332</v>
      </c>
      <c r="B268" s="9" t="s">
        <v>17</v>
      </c>
      <c r="C268" s="9" t="s">
        <v>18</v>
      </c>
      <c r="D268" s="9" t="s">
        <v>31</v>
      </c>
      <c r="E268" s="9" t="s">
        <v>129</v>
      </c>
      <c r="F268" s="9" t="s">
        <v>333</v>
      </c>
      <c r="G268" s="9" t="s">
        <v>21</v>
      </c>
      <c r="H268" s="9" t="s">
        <v>29</v>
      </c>
      <c r="I268" s="9">
        <v>0</v>
      </c>
      <c r="J268" s="9">
        <v>0</v>
      </c>
      <c r="K268" s="10">
        <v>3212.83</v>
      </c>
      <c r="L268" s="10">
        <v>2746.73</v>
      </c>
      <c r="M268" s="10">
        <v>3426.88</v>
      </c>
      <c r="N268" s="10">
        <v>3483.67</v>
      </c>
      <c r="O268" s="10">
        <v>3566.6</v>
      </c>
      <c r="P268" s="10">
        <v>3145.38</v>
      </c>
      <c r="Q268" s="10">
        <v>3486.17</v>
      </c>
      <c r="R268" s="12">
        <f t="shared" si="0"/>
        <v>23068.260000000002</v>
      </c>
    </row>
    <row r="269" spans="1:18" ht="12.75" x14ac:dyDescent="0.2">
      <c r="A269" s="9" t="s">
        <v>332</v>
      </c>
      <c r="B269" s="9" t="s">
        <v>17</v>
      </c>
      <c r="C269" s="9" t="s">
        <v>18</v>
      </c>
      <c r="D269" s="9" t="s">
        <v>130</v>
      </c>
      <c r="E269" s="9" t="s">
        <v>131</v>
      </c>
      <c r="F269" s="9" t="s">
        <v>333</v>
      </c>
      <c r="G269" s="9" t="s">
        <v>21</v>
      </c>
      <c r="H269" s="10">
        <v>194056.49</v>
      </c>
      <c r="I269" s="10">
        <v>1890.87</v>
      </c>
      <c r="J269" s="10">
        <v>6456.83</v>
      </c>
      <c r="K269" s="10">
        <v>4283.7700000000004</v>
      </c>
      <c r="L269" s="10">
        <v>3662.31</v>
      </c>
      <c r="M269" s="10">
        <v>4569.17</v>
      </c>
      <c r="N269" s="10">
        <v>4644.8900000000003</v>
      </c>
      <c r="O269" s="10">
        <v>4755.47</v>
      </c>
      <c r="P269" s="10">
        <v>4193.8500000000004</v>
      </c>
      <c r="Q269" s="10">
        <v>4648.22</v>
      </c>
      <c r="R269" s="11">
        <f t="shared" si="0"/>
        <v>233161.87</v>
      </c>
    </row>
    <row r="270" spans="1:18" ht="12.75" x14ac:dyDescent="0.2">
      <c r="A270" s="9" t="s">
        <v>332</v>
      </c>
      <c r="B270" s="9" t="s">
        <v>17</v>
      </c>
      <c r="C270" s="9" t="s">
        <v>18</v>
      </c>
      <c r="D270" s="9" t="s">
        <v>130</v>
      </c>
      <c r="E270" s="9" t="s">
        <v>131</v>
      </c>
      <c r="F270" s="9" t="s">
        <v>333</v>
      </c>
      <c r="G270" s="9" t="s">
        <v>24</v>
      </c>
      <c r="H270" s="10">
        <v>24990.6</v>
      </c>
      <c r="I270" s="9">
        <v>682.8</v>
      </c>
      <c r="J270" s="10">
        <v>1255.0899999999999</v>
      </c>
      <c r="K270" s="10">
        <v>5280.12</v>
      </c>
      <c r="L270" s="10">
        <v>2936.53</v>
      </c>
      <c r="M270" s="10">
        <v>5905.4</v>
      </c>
      <c r="N270" s="9">
        <v>0</v>
      </c>
      <c r="O270" s="10">
        <v>4317.26</v>
      </c>
      <c r="P270" s="9">
        <v>0</v>
      </c>
      <c r="Q270" s="10">
        <v>2100.41</v>
      </c>
      <c r="R270" s="11">
        <f t="shared" si="0"/>
        <v>47468.210000000006</v>
      </c>
    </row>
    <row r="271" spans="1:18" ht="12.75" x14ac:dyDescent="0.2">
      <c r="A271" s="9" t="s">
        <v>332</v>
      </c>
      <c r="B271" s="9" t="s">
        <v>17</v>
      </c>
      <c r="C271" s="9" t="s">
        <v>18</v>
      </c>
      <c r="D271" s="9" t="s">
        <v>130</v>
      </c>
      <c r="E271" s="9" t="s">
        <v>131</v>
      </c>
      <c r="F271" s="9" t="s">
        <v>333</v>
      </c>
      <c r="G271" s="9" t="s">
        <v>25</v>
      </c>
      <c r="H271" s="9" t="s">
        <v>29</v>
      </c>
      <c r="I271" s="9">
        <v>0</v>
      </c>
      <c r="J271" s="9">
        <v>0</v>
      </c>
      <c r="K271" s="9">
        <v>0</v>
      </c>
      <c r="L271" s="9">
        <v>0</v>
      </c>
      <c r="M271" s="10">
        <v>94657.45</v>
      </c>
      <c r="N271" s="9">
        <v>0</v>
      </c>
      <c r="O271" s="9">
        <v>0</v>
      </c>
      <c r="P271" s="9">
        <v>0</v>
      </c>
      <c r="Q271" s="9">
        <v>0</v>
      </c>
      <c r="R271" s="12">
        <f t="shared" si="0"/>
        <v>94657.45</v>
      </c>
    </row>
    <row r="272" spans="1:18" ht="12.75" x14ac:dyDescent="0.2">
      <c r="A272" s="9" t="s">
        <v>332</v>
      </c>
      <c r="B272" s="9" t="s">
        <v>17</v>
      </c>
      <c r="C272" s="9" t="s">
        <v>18</v>
      </c>
      <c r="D272" s="9" t="s">
        <v>130</v>
      </c>
      <c r="E272" s="9" t="s">
        <v>131</v>
      </c>
      <c r="F272" s="9" t="s">
        <v>333</v>
      </c>
      <c r="G272" s="9" t="s">
        <v>26</v>
      </c>
      <c r="H272" s="9" t="s">
        <v>29</v>
      </c>
      <c r="I272" s="9">
        <v>0</v>
      </c>
      <c r="J272" s="9">
        <v>736.56</v>
      </c>
      <c r="K272" s="9">
        <v>0</v>
      </c>
      <c r="L272" s="9">
        <v>198.9</v>
      </c>
      <c r="M272" s="9">
        <v>0</v>
      </c>
      <c r="N272" s="9">
        <v>0</v>
      </c>
      <c r="O272" s="9">
        <v>0</v>
      </c>
      <c r="P272" s="9">
        <v>0</v>
      </c>
      <c r="Q272" s="9">
        <v>529.54</v>
      </c>
      <c r="R272" s="12">
        <f t="shared" si="0"/>
        <v>1465</v>
      </c>
    </row>
    <row r="273" spans="1:18" ht="12.75" x14ac:dyDescent="0.2">
      <c r="A273" s="9" t="s">
        <v>332</v>
      </c>
      <c r="B273" s="9" t="s">
        <v>17</v>
      </c>
      <c r="C273" s="9" t="s">
        <v>18</v>
      </c>
      <c r="D273" s="9" t="s">
        <v>130</v>
      </c>
      <c r="E273" s="9" t="s">
        <v>131</v>
      </c>
      <c r="F273" s="9" t="s">
        <v>333</v>
      </c>
      <c r="G273" s="9" t="s">
        <v>27</v>
      </c>
      <c r="H273" s="9" t="s">
        <v>29</v>
      </c>
      <c r="I273" s="9">
        <v>0</v>
      </c>
      <c r="J273" s="10">
        <v>136599.88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12">
        <f t="shared" si="0"/>
        <v>136599.88</v>
      </c>
    </row>
    <row r="274" spans="1:18" ht="12.75" x14ac:dyDescent="0.2">
      <c r="A274" s="9" t="s">
        <v>332</v>
      </c>
      <c r="B274" s="9" t="s">
        <v>17</v>
      </c>
      <c r="C274" s="9" t="s">
        <v>18</v>
      </c>
      <c r="D274" s="9" t="s">
        <v>130</v>
      </c>
      <c r="E274" s="9" t="s">
        <v>131</v>
      </c>
      <c r="F274" s="9" t="s">
        <v>333</v>
      </c>
      <c r="G274" s="9" t="s">
        <v>28</v>
      </c>
      <c r="H274" s="9" t="s">
        <v>29</v>
      </c>
      <c r="I274" s="9">
        <v>0</v>
      </c>
      <c r="J274" s="10">
        <v>24625.56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10">
        <v>6899.21</v>
      </c>
      <c r="R274" s="12">
        <f t="shared" si="0"/>
        <v>31524.77</v>
      </c>
    </row>
    <row r="275" spans="1:18" ht="12.75" x14ac:dyDescent="0.2">
      <c r="A275" s="9" t="s">
        <v>332</v>
      </c>
      <c r="B275" s="9" t="s">
        <v>17</v>
      </c>
      <c r="C275" s="9" t="s">
        <v>18</v>
      </c>
      <c r="D275" s="9" t="s">
        <v>130</v>
      </c>
      <c r="E275" s="9" t="s">
        <v>131</v>
      </c>
      <c r="F275" s="9" t="s">
        <v>333</v>
      </c>
      <c r="G275" s="9" t="s">
        <v>34</v>
      </c>
      <c r="H275" s="10">
        <v>179114.14</v>
      </c>
      <c r="I275" s="10">
        <v>175881.62</v>
      </c>
      <c r="J275" s="10">
        <v>97628.68</v>
      </c>
      <c r="K275" s="10">
        <v>27464.799999999999</v>
      </c>
      <c r="L275" s="10">
        <v>23295.7</v>
      </c>
      <c r="M275" s="10">
        <v>23572.76</v>
      </c>
      <c r="N275" s="10">
        <v>28453.34</v>
      </c>
      <c r="O275" s="10">
        <v>28856.04</v>
      </c>
      <c r="P275" s="10">
        <v>25288.38</v>
      </c>
      <c r="Q275" s="10">
        <v>27948.45</v>
      </c>
      <c r="R275" s="11">
        <f t="shared" si="0"/>
        <v>637503.90999999992</v>
      </c>
    </row>
    <row r="276" spans="1:18" ht="12.75" x14ac:dyDescent="0.2">
      <c r="A276" s="9" t="s">
        <v>332</v>
      </c>
      <c r="B276" s="9" t="s">
        <v>17</v>
      </c>
      <c r="C276" s="9" t="s">
        <v>18</v>
      </c>
      <c r="D276" s="9" t="s">
        <v>31</v>
      </c>
      <c r="E276" s="9" t="s">
        <v>129</v>
      </c>
      <c r="F276" s="9" t="s">
        <v>333</v>
      </c>
      <c r="G276" s="9" t="s">
        <v>24</v>
      </c>
      <c r="H276" s="9" t="s">
        <v>29</v>
      </c>
      <c r="I276" s="9">
        <v>0</v>
      </c>
      <c r="J276" s="9">
        <v>743.54</v>
      </c>
      <c r="K276" s="10">
        <v>602726.40000000002</v>
      </c>
      <c r="L276" s="10">
        <v>528919.18999999994</v>
      </c>
      <c r="M276" s="10">
        <v>673888.25</v>
      </c>
      <c r="N276" s="10">
        <v>665454.88</v>
      </c>
      <c r="O276" s="10">
        <v>521078.8</v>
      </c>
      <c r="P276" s="10">
        <v>573832.03</v>
      </c>
      <c r="Q276" s="10">
        <v>679413</v>
      </c>
      <c r="R276" s="12">
        <f t="shared" si="0"/>
        <v>4246056.09</v>
      </c>
    </row>
    <row r="277" spans="1:18" ht="12.75" x14ac:dyDescent="0.2">
      <c r="A277" s="9" t="s">
        <v>332</v>
      </c>
      <c r="B277" s="9" t="s">
        <v>17</v>
      </c>
      <c r="C277" s="9" t="s">
        <v>18</v>
      </c>
      <c r="D277" s="9" t="s">
        <v>31</v>
      </c>
      <c r="E277" s="9" t="s">
        <v>129</v>
      </c>
      <c r="F277" s="9" t="s">
        <v>333</v>
      </c>
      <c r="G277" s="9" t="s">
        <v>25</v>
      </c>
      <c r="H277" s="9" t="s">
        <v>29</v>
      </c>
      <c r="I277" s="9">
        <v>0</v>
      </c>
      <c r="J277" s="9">
        <v>0</v>
      </c>
      <c r="K277" s="10">
        <v>2079163.64</v>
      </c>
      <c r="L277" s="10">
        <v>1448273.1</v>
      </c>
      <c r="M277" s="10">
        <v>2346127.7999999998</v>
      </c>
      <c r="N277" s="10">
        <v>1620291.45</v>
      </c>
      <c r="O277" s="10">
        <v>1646230.25</v>
      </c>
      <c r="P277" s="10">
        <v>1338279.6000000001</v>
      </c>
      <c r="Q277" s="10">
        <v>1177683.3</v>
      </c>
      <c r="R277" s="12">
        <f t="shared" si="0"/>
        <v>11656049.140000001</v>
      </c>
    </row>
    <row r="278" spans="1:18" ht="12.75" x14ac:dyDescent="0.2">
      <c r="A278" s="9" t="s">
        <v>332</v>
      </c>
      <c r="B278" s="9" t="s">
        <v>17</v>
      </c>
      <c r="C278" s="9" t="s">
        <v>18</v>
      </c>
      <c r="D278" s="9" t="s">
        <v>31</v>
      </c>
      <c r="E278" s="9" t="s">
        <v>129</v>
      </c>
      <c r="F278" s="9" t="s">
        <v>333</v>
      </c>
      <c r="G278" s="9" t="s">
        <v>26</v>
      </c>
      <c r="H278" s="9" t="s">
        <v>29</v>
      </c>
      <c r="I278" s="9">
        <v>0</v>
      </c>
      <c r="J278" s="9">
        <v>0</v>
      </c>
      <c r="K278" s="9">
        <v>0</v>
      </c>
      <c r="L278" s="9">
        <v>0</v>
      </c>
      <c r="M278" s="10">
        <v>1134.31</v>
      </c>
      <c r="N278" s="9">
        <v>0</v>
      </c>
      <c r="O278" s="9">
        <v>0</v>
      </c>
      <c r="P278" s="10">
        <v>4558.03</v>
      </c>
      <c r="Q278" s="9">
        <v>0</v>
      </c>
      <c r="R278" s="12">
        <f t="shared" si="0"/>
        <v>5692.34</v>
      </c>
    </row>
    <row r="279" spans="1:18" ht="12.75" x14ac:dyDescent="0.2">
      <c r="A279" s="9" t="s">
        <v>332</v>
      </c>
      <c r="B279" s="9" t="s">
        <v>17</v>
      </c>
      <c r="C279" s="9" t="s">
        <v>18</v>
      </c>
      <c r="D279" s="9" t="s">
        <v>31</v>
      </c>
      <c r="E279" s="9" t="s">
        <v>129</v>
      </c>
      <c r="F279" s="9" t="s">
        <v>333</v>
      </c>
      <c r="G279" s="9" t="s">
        <v>27</v>
      </c>
      <c r="H279" s="10">
        <v>1025518.48</v>
      </c>
      <c r="I279" s="10">
        <v>217464.81</v>
      </c>
      <c r="J279" s="9">
        <v>0</v>
      </c>
      <c r="K279" s="10">
        <v>557043.67000000004</v>
      </c>
      <c r="L279" s="10">
        <v>590640.28</v>
      </c>
      <c r="M279" s="10">
        <v>804064.23</v>
      </c>
      <c r="N279" s="10">
        <v>808087.91</v>
      </c>
      <c r="O279" s="10">
        <v>666136.19999999995</v>
      </c>
      <c r="P279" s="10">
        <v>827878.48</v>
      </c>
      <c r="Q279" s="10">
        <v>669094.66</v>
      </c>
      <c r="R279" s="11">
        <f t="shared" si="0"/>
        <v>6165928.7200000007</v>
      </c>
    </row>
    <row r="280" spans="1:18" ht="12.75" x14ac:dyDescent="0.2">
      <c r="A280" s="9" t="s">
        <v>332</v>
      </c>
      <c r="B280" s="9" t="s">
        <v>17</v>
      </c>
      <c r="C280" s="9" t="s">
        <v>18</v>
      </c>
      <c r="D280" s="9" t="s">
        <v>31</v>
      </c>
      <c r="E280" s="9" t="s">
        <v>129</v>
      </c>
      <c r="F280" s="9" t="s">
        <v>333</v>
      </c>
      <c r="G280" s="9" t="s">
        <v>28</v>
      </c>
      <c r="H280" s="9" t="s">
        <v>29</v>
      </c>
      <c r="I280" s="9">
        <v>0</v>
      </c>
      <c r="J280" s="9">
        <v>0</v>
      </c>
      <c r="K280" s="10">
        <v>664037.71</v>
      </c>
      <c r="L280" s="10">
        <v>492272.73</v>
      </c>
      <c r="M280" s="10">
        <v>664883.18999999994</v>
      </c>
      <c r="N280" s="10">
        <v>692714.43</v>
      </c>
      <c r="O280" s="10">
        <v>669270.73</v>
      </c>
      <c r="P280" s="10">
        <v>635576.31000000006</v>
      </c>
      <c r="Q280" s="10">
        <v>508348.55</v>
      </c>
      <c r="R280" s="12">
        <f t="shared" si="0"/>
        <v>4327103.6500000004</v>
      </c>
    </row>
    <row r="281" spans="1:18" ht="12.75" x14ac:dyDescent="0.2">
      <c r="A281" s="9" t="s">
        <v>332</v>
      </c>
      <c r="B281" s="9" t="s">
        <v>17</v>
      </c>
      <c r="C281" s="9" t="s">
        <v>18</v>
      </c>
      <c r="D281" s="9" t="s">
        <v>31</v>
      </c>
      <c r="E281" s="9" t="s">
        <v>129</v>
      </c>
      <c r="F281" s="9" t="s">
        <v>333</v>
      </c>
      <c r="G281" s="9" t="s">
        <v>34</v>
      </c>
      <c r="H281" s="10">
        <v>17465.080000000002</v>
      </c>
      <c r="I281" s="10">
        <v>17149.89</v>
      </c>
      <c r="J281" s="10">
        <v>9519.59</v>
      </c>
      <c r="K281" s="10">
        <v>77519.95</v>
      </c>
      <c r="L281" s="10">
        <v>120166.61</v>
      </c>
      <c r="M281" s="10">
        <v>51078.559999999998</v>
      </c>
      <c r="N281" s="10">
        <v>61654.04</v>
      </c>
      <c r="O281" s="10">
        <v>92879.59</v>
      </c>
      <c r="P281" s="10">
        <v>173275.35</v>
      </c>
      <c r="Q281" s="10">
        <v>60560.01</v>
      </c>
      <c r="R281" s="11">
        <f t="shared" si="0"/>
        <v>681268.66999999993</v>
      </c>
    </row>
    <row r="282" spans="1:18" ht="12.75" x14ac:dyDescent="0.2">
      <c r="A282" s="9" t="s">
        <v>332</v>
      </c>
      <c r="B282" s="9" t="s">
        <v>17</v>
      </c>
      <c r="C282" s="9" t="s">
        <v>18</v>
      </c>
      <c r="D282" s="9" t="s">
        <v>31</v>
      </c>
      <c r="E282" s="9" t="s">
        <v>32</v>
      </c>
      <c r="F282" s="9" t="s">
        <v>333</v>
      </c>
      <c r="G282" s="9" t="s">
        <v>21</v>
      </c>
      <c r="H282" s="10">
        <v>582169.48</v>
      </c>
      <c r="I282" s="10">
        <v>5672.61</v>
      </c>
      <c r="J282" s="10">
        <v>19370.5</v>
      </c>
      <c r="K282" s="10">
        <v>9852.67</v>
      </c>
      <c r="L282" s="10">
        <v>8423.32</v>
      </c>
      <c r="M282" s="10">
        <v>10509.09</v>
      </c>
      <c r="N282" s="10">
        <v>10683.25</v>
      </c>
      <c r="O282" s="10">
        <v>10937.58</v>
      </c>
      <c r="P282" s="10">
        <v>9645.84</v>
      </c>
      <c r="Q282" s="10">
        <v>10690.91</v>
      </c>
      <c r="R282" s="11">
        <f t="shared" si="0"/>
        <v>677955.24999999988</v>
      </c>
    </row>
    <row r="283" spans="1:18" ht="12.75" x14ac:dyDescent="0.2">
      <c r="A283" s="9" t="s">
        <v>332</v>
      </c>
      <c r="B283" s="9" t="s">
        <v>17</v>
      </c>
      <c r="C283" s="9" t="s">
        <v>18</v>
      </c>
      <c r="D283" s="9" t="s">
        <v>31</v>
      </c>
      <c r="E283" s="9" t="s">
        <v>32</v>
      </c>
      <c r="F283" s="9" t="s">
        <v>333</v>
      </c>
      <c r="G283" s="9" t="s">
        <v>24</v>
      </c>
      <c r="H283" s="10">
        <v>9006229.0399999991</v>
      </c>
      <c r="I283" s="10">
        <v>246071.34</v>
      </c>
      <c r="J283" s="10">
        <v>656831.56999999995</v>
      </c>
      <c r="K283" s="9">
        <v>0</v>
      </c>
      <c r="L283" s="10">
        <v>3405.41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11">
        <f t="shared" si="0"/>
        <v>9912537.3599999994</v>
      </c>
    </row>
    <row r="284" spans="1:18" ht="12.75" x14ac:dyDescent="0.2">
      <c r="A284" s="9" t="s">
        <v>332</v>
      </c>
      <c r="B284" s="9" t="s">
        <v>17</v>
      </c>
      <c r="C284" s="9" t="s">
        <v>18</v>
      </c>
      <c r="D284" s="9" t="s">
        <v>31</v>
      </c>
      <c r="E284" s="9" t="s">
        <v>32</v>
      </c>
      <c r="F284" s="9" t="s">
        <v>333</v>
      </c>
      <c r="G284" s="9" t="s">
        <v>22</v>
      </c>
      <c r="H284" s="10">
        <v>1524310.61</v>
      </c>
      <c r="I284" s="10">
        <v>545070.93000000005</v>
      </c>
      <c r="J284" s="10">
        <v>474067.28</v>
      </c>
      <c r="K284" s="10">
        <v>1783885.82</v>
      </c>
      <c r="L284" s="10">
        <v>2230451.12</v>
      </c>
      <c r="M284" s="10">
        <v>5027990.3099999996</v>
      </c>
      <c r="N284" s="10">
        <v>3662886.3</v>
      </c>
      <c r="O284" s="10">
        <v>4551004.04</v>
      </c>
      <c r="P284" s="10">
        <v>4740277.26</v>
      </c>
      <c r="Q284" s="10">
        <v>4367862.9000000004</v>
      </c>
      <c r="R284" s="11">
        <f t="shared" si="0"/>
        <v>28907806.57</v>
      </c>
    </row>
    <row r="285" spans="1:18" ht="12.75" x14ac:dyDescent="0.2">
      <c r="A285" s="9" t="s">
        <v>332</v>
      </c>
      <c r="B285" s="9" t="s">
        <v>17</v>
      </c>
      <c r="C285" s="9" t="s">
        <v>18</v>
      </c>
      <c r="D285" s="9" t="s">
        <v>31</v>
      </c>
      <c r="E285" s="9" t="s">
        <v>32</v>
      </c>
      <c r="F285" s="9" t="s">
        <v>333</v>
      </c>
      <c r="G285" s="9" t="s">
        <v>25</v>
      </c>
      <c r="H285" s="9" t="s">
        <v>29</v>
      </c>
      <c r="I285" s="9">
        <v>0</v>
      </c>
      <c r="J285" s="9">
        <v>0</v>
      </c>
      <c r="K285" s="10">
        <v>5261242</v>
      </c>
      <c r="L285" s="10">
        <v>5255829.8</v>
      </c>
      <c r="M285" s="10">
        <v>6064756.4800000004</v>
      </c>
      <c r="N285" s="10">
        <v>5880089.9400000004</v>
      </c>
      <c r="O285" s="10">
        <v>5974222.6699999999</v>
      </c>
      <c r="P285" s="10">
        <v>4510871.6900000004</v>
      </c>
      <c r="Q285" s="10">
        <v>4273850.68</v>
      </c>
      <c r="R285" s="12">
        <f t="shared" si="0"/>
        <v>37220863.260000005</v>
      </c>
    </row>
    <row r="286" spans="1:18" ht="12.75" x14ac:dyDescent="0.2">
      <c r="A286" s="9" t="s">
        <v>332</v>
      </c>
      <c r="B286" s="9" t="s">
        <v>17</v>
      </c>
      <c r="C286" s="9" t="s">
        <v>18</v>
      </c>
      <c r="D286" s="9" t="s">
        <v>31</v>
      </c>
      <c r="E286" s="9" t="s">
        <v>32</v>
      </c>
      <c r="F286" s="9" t="s">
        <v>333</v>
      </c>
      <c r="G286" s="9" t="s">
        <v>26</v>
      </c>
      <c r="H286" s="10">
        <v>10345420.109999999</v>
      </c>
      <c r="I286" s="10">
        <v>656379.03</v>
      </c>
      <c r="J286" s="10">
        <v>25261.16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11">
        <f t="shared" si="0"/>
        <v>11027060.299999999</v>
      </c>
    </row>
    <row r="287" spans="1:18" ht="12.75" x14ac:dyDescent="0.2">
      <c r="A287" s="9" t="s">
        <v>332</v>
      </c>
      <c r="B287" s="9" t="s">
        <v>17</v>
      </c>
      <c r="C287" s="9" t="s">
        <v>18</v>
      </c>
      <c r="D287" s="9" t="s">
        <v>31</v>
      </c>
      <c r="E287" s="9" t="s">
        <v>32</v>
      </c>
      <c r="F287" s="9" t="s">
        <v>333</v>
      </c>
      <c r="G287" s="9" t="s">
        <v>27</v>
      </c>
      <c r="H287" s="10">
        <v>1850258.57</v>
      </c>
      <c r="I287" s="10">
        <v>392353.86</v>
      </c>
      <c r="J287" s="10">
        <v>391287.69</v>
      </c>
      <c r="K287" s="9">
        <v>0</v>
      </c>
      <c r="L287" s="10">
        <v>14454.02</v>
      </c>
      <c r="M287" s="10">
        <v>3899.4</v>
      </c>
      <c r="N287" s="9">
        <v>0</v>
      </c>
      <c r="O287" s="10">
        <v>11370.45</v>
      </c>
      <c r="P287" s="9">
        <v>0</v>
      </c>
      <c r="Q287" s="10">
        <v>3380.72</v>
      </c>
      <c r="R287" s="11">
        <f t="shared" si="0"/>
        <v>2667004.7100000004</v>
      </c>
    </row>
    <row r="288" spans="1:18" ht="12.75" x14ac:dyDescent="0.2">
      <c r="A288" s="9" t="s">
        <v>332</v>
      </c>
      <c r="B288" s="9" t="s">
        <v>17</v>
      </c>
      <c r="C288" s="9" t="s">
        <v>18</v>
      </c>
      <c r="D288" s="9" t="s">
        <v>31</v>
      </c>
      <c r="E288" s="9" t="s">
        <v>32</v>
      </c>
      <c r="F288" s="9" t="s">
        <v>333</v>
      </c>
      <c r="G288" s="9" t="s">
        <v>28</v>
      </c>
      <c r="H288" s="10">
        <v>2111091.5099999998</v>
      </c>
      <c r="I288" s="10">
        <v>2887281.03</v>
      </c>
      <c r="J288" s="10">
        <v>569795.06999999995</v>
      </c>
      <c r="K288" s="9">
        <v>0</v>
      </c>
      <c r="L288" s="9">
        <v>0</v>
      </c>
      <c r="M288" s="10">
        <v>55181.4</v>
      </c>
      <c r="N288" s="9">
        <v>0</v>
      </c>
      <c r="O288" s="9">
        <v>0</v>
      </c>
      <c r="P288" s="9">
        <v>0</v>
      </c>
      <c r="Q288" s="9">
        <v>0</v>
      </c>
      <c r="R288" s="11">
        <f t="shared" si="0"/>
        <v>5623349.0099999998</v>
      </c>
    </row>
    <row r="289" spans="1:18" ht="12.75" x14ac:dyDescent="0.2">
      <c r="A289" s="9" t="s">
        <v>332</v>
      </c>
      <c r="B289" s="9" t="s">
        <v>17</v>
      </c>
      <c r="C289" s="9" t="s">
        <v>18</v>
      </c>
      <c r="D289" s="9" t="s">
        <v>31</v>
      </c>
      <c r="E289" s="9" t="s">
        <v>32</v>
      </c>
      <c r="F289" s="9" t="s">
        <v>333</v>
      </c>
      <c r="G289" s="9" t="s">
        <v>48</v>
      </c>
      <c r="H289" s="9" t="s">
        <v>29</v>
      </c>
      <c r="I289" s="9">
        <v>0</v>
      </c>
      <c r="J289" s="9">
        <v>0</v>
      </c>
      <c r="K289" s="10">
        <v>263338.95</v>
      </c>
      <c r="L289" s="10">
        <v>220144.93</v>
      </c>
      <c r="M289" s="10">
        <v>301564.83</v>
      </c>
      <c r="N289" s="10">
        <v>222328.57</v>
      </c>
      <c r="O289" s="10">
        <v>214748.84</v>
      </c>
      <c r="P289" s="10">
        <v>341330.53</v>
      </c>
      <c r="Q289" s="10">
        <v>244170.1</v>
      </c>
      <c r="R289" s="12">
        <f t="shared" si="0"/>
        <v>1807626.7500000002</v>
      </c>
    </row>
    <row r="290" spans="1:18" ht="12.75" x14ac:dyDescent="0.2">
      <c r="A290" s="9" t="s">
        <v>332</v>
      </c>
      <c r="B290" s="9" t="s">
        <v>17</v>
      </c>
      <c r="C290" s="9" t="s">
        <v>18</v>
      </c>
      <c r="D290" s="9" t="s">
        <v>31</v>
      </c>
      <c r="E290" s="9" t="s">
        <v>132</v>
      </c>
      <c r="F290" s="9" t="s">
        <v>333</v>
      </c>
      <c r="G290" s="9" t="s">
        <v>21</v>
      </c>
      <c r="H290" s="10">
        <v>436627.11</v>
      </c>
      <c r="I290" s="10">
        <v>4254.46</v>
      </c>
      <c r="J290" s="10">
        <v>14527.87</v>
      </c>
      <c r="K290" s="9">
        <v>0</v>
      </c>
      <c r="L290" s="10">
        <v>3664.69</v>
      </c>
      <c r="M290" s="9">
        <v>0</v>
      </c>
      <c r="N290" s="9">
        <v>0</v>
      </c>
      <c r="O290" s="9">
        <v>0</v>
      </c>
      <c r="P290" s="10">
        <v>56442.54</v>
      </c>
      <c r="Q290" s="9">
        <v>0</v>
      </c>
      <c r="R290" s="11">
        <f t="shared" si="0"/>
        <v>515516.67</v>
      </c>
    </row>
    <row r="291" spans="1:18" ht="12.75" x14ac:dyDescent="0.2">
      <c r="A291" s="9" t="s">
        <v>332</v>
      </c>
      <c r="B291" s="9" t="s">
        <v>17</v>
      </c>
      <c r="C291" s="9" t="s">
        <v>18</v>
      </c>
      <c r="D291" s="9" t="s">
        <v>31</v>
      </c>
      <c r="E291" s="9" t="s">
        <v>132</v>
      </c>
      <c r="F291" s="9" t="s">
        <v>333</v>
      </c>
      <c r="G291" s="9" t="s">
        <v>24</v>
      </c>
      <c r="H291" s="10">
        <v>970282.46</v>
      </c>
      <c r="I291" s="10">
        <v>26510.400000000001</v>
      </c>
      <c r="J291" s="10">
        <v>70472.78</v>
      </c>
      <c r="K291" s="10">
        <v>2436443.2599999998</v>
      </c>
      <c r="L291" s="10">
        <v>1990344.95</v>
      </c>
      <c r="M291" s="10">
        <v>2174737.0099999998</v>
      </c>
      <c r="N291" s="10">
        <v>2430243.98</v>
      </c>
      <c r="O291" s="10">
        <v>1612604.61</v>
      </c>
      <c r="P291" s="10">
        <v>2010809.91</v>
      </c>
      <c r="Q291" s="10">
        <v>2769865.01</v>
      </c>
      <c r="R291" s="11">
        <f t="shared" si="0"/>
        <v>16492314.369999999</v>
      </c>
    </row>
    <row r="292" spans="1:18" ht="12.75" x14ac:dyDescent="0.2">
      <c r="A292" s="9" t="s">
        <v>332</v>
      </c>
      <c r="B292" s="9" t="s">
        <v>17</v>
      </c>
      <c r="C292" s="9" t="s">
        <v>18</v>
      </c>
      <c r="D292" s="9" t="s">
        <v>31</v>
      </c>
      <c r="E292" s="9" t="s">
        <v>132</v>
      </c>
      <c r="F292" s="9" t="s">
        <v>333</v>
      </c>
      <c r="G292" s="9" t="s">
        <v>22</v>
      </c>
      <c r="H292" s="10">
        <v>194056.49</v>
      </c>
      <c r="I292" s="10">
        <v>69391.73</v>
      </c>
      <c r="J292" s="10">
        <v>59535.58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10">
        <v>86667.26</v>
      </c>
      <c r="R292" s="11">
        <f t="shared" si="0"/>
        <v>409651.06</v>
      </c>
    </row>
    <row r="293" spans="1:18" ht="12.75" x14ac:dyDescent="0.2">
      <c r="A293" s="9" t="s">
        <v>332</v>
      </c>
      <c r="B293" s="9" t="s">
        <v>17</v>
      </c>
      <c r="C293" s="9" t="s">
        <v>18</v>
      </c>
      <c r="D293" s="9" t="s">
        <v>31</v>
      </c>
      <c r="E293" s="9" t="s">
        <v>132</v>
      </c>
      <c r="F293" s="9" t="s">
        <v>333</v>
      </c>
      <c r="G293" s="9" t="s">
        <v>25</v>
      </c>
      <c r="H293" s="10">
        <v>970282.46</v>
      </c>
      <c r="I293" s="10">
        <v>5219589.49</v>
      </c>
      <c r="J293" s="10">
        <v>1837910.08</v>
      </c>
      <c r="K293" s="10">
        <v>2524173.15</v>
      </c>
      <c r="L293" s="10">
        <v>451612.04</v>
      </c>
      <c r="M293" s="10">
        <v>521119.82</v>
      </c>
      <c r="N293" s="10">
        <v>641265.86</v>
      </c>
      <c r="O293" s="10">
        <v>513340.61</v>
      </c>
      <c r="P293" s="10">
        <v>5008867.12</v>
      </c>
      <c r="Q293" s="10">
        <v>367234.58</v>
      </c>
      <c r="R293" s="11">
        <f t="shared" si="0"/>
        <v>18055395.209999997</v>
      </c>
    </row>
    <row r="294" spans="1:18" ht="12.75" x14ac:dyDescent="0.2">
      <c r="A294" s="9" t="s">
        <v>332</v>
      </c>
      <c r="B294" s="9" t="s">
        <v>17</v>
      </c>
      <c r="C294" s="9" t="s">
        <v>18</v>
      </c>
      <c r="D294" s="9" t="s">
        <v>31</v>
      </c>
      <c r="E294" s="9" t="s">
        <v>132</v>
      </c>
      <c r="F294" s="9" t="s">
        <v>333</v>
      </c>
      <c r="G294" s="9" t="s">
        <v>26</v>
      </c>
      <c r="H294" s="10">
        <v>970282.46</v>
      </c>
      <c r="I294" s="10">
        <v>61560.87</v>
      </c>
      <c r="J294" s="10">
        <v>79784.52</v>
      </c>
      <c r="K294" s="9">
        <v>0</v>
      </c>
      <c r="L294" s="10">
        <v>28414.25</v>
      </c>
      <c r="M294" s="9">
        <v>0</v>
      </c>
      <c r="N294" s="10">
        <v>38323.629999999997</v>
      </c>
      <c r="O294" s="10">
        <v>36195.69</v>
      </c>
      <c r="P294" s="10">
        <v>37424.39</v>
      </c>
      <c r="Q294" s="9">
        <v>0</v>
      </c>
      <c r="R294" s="11">
        <f t="shared" si="0"/>
        <v>1251985.8099999996</v>
      </c>
    </row>
    <row r="295" spans="1:18" ht="12.75" x14ac:dyDescent="0.2">
      <c r="A295" s="9" t="s">
        <v>332</v>
      </c>
      <c r="B295" s="9" t="s">
        <v>17</v>
      </c>
      <c r="C295" s="9" t="s">
        <v>18</v>
      </c>
      <c r="D295" s="9" t="s">
        <v>31</v>
      </c>
      <c r="E295" s="9" t="s">
        <v>132</v>
      </c>
      <c r="F295" s="9" t="s">
        <v>333</v>
      </c>
      <c r="G295" s="9" t="s">
        <v>27</v>
      </c>
      <c r="H295" s="10">
        <v>582169.48</v>
      </c>
      <c r="I295" s="10">
        <v>123451.09</v>
      </c>
      <c r="J295" s="10">
        <v>276203.07</v>
      </c>
      <c r="K295" s="10">
        <v>70438.77</v>
      </c>
      <c r="L295" s="10">
        <v>70084.02</v>
      </c>
      <c r="M295" s="10">
        <v>102061.13</v>
      </c>
      <c r="N295" s="10">
        <v>102571.86</v>
      </c>
      <c r="O295" s="10">
        <v>220089.92</v>
      </c>
      <c r="P295" s="10">
        <v>75909.64</v>
      </c>
      <c r="Q295" s="10">
        <v>102405.12</v>
      </c>
      <c r="R295" s="11">
        <f t="shared" si="0"/>
        <v>1725384.1</v>
      </c>
    </row>
    <row r="296" spans="1:18" ht="12.75" x14ac:dyDescent="0.2">
      <c r="A296" s="9" t="s">
        <v>332</v>
      </c>
      <c r="B296" s="9" t="s">
        <v>17</v>
      </c>
      <c r="C296" s="9" t="s">
        <v>18</v>
      </c>
      <c r="D296" s="9" t="s">
        <v>31</v>
      </c>
      <c r="E296" s="9" t="s">
        <v>132</v>
      </c>
      <c r="F296" s="9" t="s">
        <v>333</v>
      </c>
      <c r="G296" s="9" t="s">
        <v>28</v>
      </c>
      <c r="H296" s="10">
        <v>19405.650000000001</v>
      </c>
      <c r="I296" s="10">
        <v>26540.57</v>
      </c>
      <c r="J296" s="10">
        <v>14958.71</v>
      </c>
      <c r="K296" s="10">
        <v>41683.589999999997</v>
      </c>
      <c r="L296" s="10">
        <v>30901.4</v>
      </c>
      <c r="M296" s="10">
        <v>41736.660000000003</v>
      </c>
      <c r="N296" s="10">
        <v>43483.71</v>
      </c>
      <c r="O296" s="10">
        <v>42012.08</v>
      </c>
      <c r="P296" s="10">
        <v>39896.980000000003</v>
      </c>
      <c r="Q296" s="10">
        <v>31910.53</v>
      </c>
      <c r="R296" s="11">
        <f t="shared" si="0"/>
        <v>332529.88</v>
      </c>
    </row>
    <row r="297" spans="1:18" ht="12.75" x14ac:dyDescent="0.2">
      <c r="A297" s="9" t="s">
        <v>332</v>
      </c>
      <c r="B297" s="9" t="s">
        <v>17</v>
      </c>
      <c r="C297" s="9" t="s">
        <v>18</v>
      </c>
      <c r="D297" s="9" t="s">
        <v>31</v>
      </c>
      <c r="E297" s="9" t="s">
        <v>133</v>
      </c>
      <c r="F297" s="9" t="s">
        <v>333</v>
      </c>
      <c r="G297" s="9" t="s">
        <v>24</v>
      </c>
      <c r="H297" s="10">
        <v>3105127.93</v>
      </c>
      <c r="I297" s="10">
        <v>84839.39</v>
      </c>
      <c r="J297" s="10">
        <v>220156.95</v>
      </c>
      <c r="K297" s="10">
        <v>2427184.4</v>
      </c>
      <c r="L297" s="10">
        <v>763414.63</v>
      </c>
      <c r="M297" s="10">
        <v>834901.31</v>
      </c>
      <c r="N297" s="10">
        <v>148351.23000000001</v>
      </c>
      <c r="O297" s="10">
        <v>4213749.07</v>
      </c>
      <c r="P297" s="10">
        <v>3085627.41</v>
      </c>
      <c r="Q297" s="10">
        <v>1004193.05</v>
      </c>
      <c r="R297" s="11">
        <f t="shared" si="0"/>
        <v>15887545.370000001</v>
      </c>
    </row>
    <row r="298" spans="1:18" ht="12.75" x14ac:dyDescent="0.2">
      <c r="A298" s="9" t="s">
        <v>332</v>
      </c>
      <c r="B298" s="9" t="s">
        <v>17</v>
      </c>
      <c r="C298" s="9" t="s">
        <v>18</v>
      </c>
      <c r="D298" s="9" t="s">
        <v>31</v>
      </c>
      <c r="E298" s="9" t="s">
        <v>133</v>
      </c>
      <c r="F298" s="9" t="s">
        <v>333</v>
      </c>
      <c r="G298" s="9" t="s">
        <v>22</v>
      </c>
      <c r="H298" s="10">
        <v>1804725.38</v>
      </c>
      <c r="I298" s="10">
        <v>645343.11</v>
      </c>
      <c r="J298" s="10">
        <v>553680.89</v>
      </c>
      <c r="K298" s="10">
        <v>127796.29</v>
      </c>
      <c r="L298" s="10">
        <v>159787.9</v>
      </c>
      <c r="M298" s="10">
        <v>360201.58</v>
      </c>
      <c r="N298" s="10">
        <v>262406.52</v>
      </c>
      <c r="O298" s="10">
        <v>325778.49</v>
      </c>
      <c r="P298" s="10">
        <v>339590.03</v>
      </c>
      <c r="Q298" s="10">
        <v>312910.53000000003</v>
      </c>
      <c r="R298" s="11">
        <f t="shared" si="0"/>
        <v>4892220.7200000007</v>
      </c>
    </row>
    <row r="299" spans="1:18" ht="12.75" x14ac:dyDescent="0.2">
      <c r="A299" s="9" t="s">
        <v>332</v>
      </c>
      <c r="B299" s="9" t="s">
        <v>17</v>
      </c>
      <c r="C299" s="9" t="s">
        <v>18</v>
      </c>
      <c r="D299" s="9" t="s">
        <v>31</v>
      </c>
      <c r="E299" s="9" t="s">
        <v>133</v>
      </c>
      <c r="F299" s="9" t="s">
        <v>333</v>
      </c>
      <c r="G299" s="9" t="s">
        <v>25</v>
      </c>
      <c r="H299" s="9" t="s">
        <v>29</v>
      </c>
      <c r="I299" s="9">
        <v>0</v>
      </c>
      <c r="J299" s="9">
        <v>0</v>
      </c>
      <c r="K299" s="10">
        <v>1141170.33</v>
      </c>
      <c r="L299" s="10">
        <v>358306.67</v>
      </c>
      <c r="M299" s="10">
        <v>179696.49</v>
      </c>
      <c r="N299" s="10">
        <v>702004.48</v>
      </c>
      <c r="O299" s="10">
        <v>238185.42</v>
      </c>
      <c r="P299" s="10">
        <v>441422.26</v>
      </c>
      <c r="Q299" s="10">
        <v>380335.27</v>
      </c>
      <c r="R299" s="12">
        <f t="shared" si="0"/>
        <v>3441120.9199999995</v>
      </c>
    </row>
    <row r="300" spans="1:18" ht="12.75" x14ac:dyDescent="0.2">
      <c r="A300" s="9" t="s">
        <v>332</v>
      </c>
      <c r="B300" s="9" t="s">
        <v>17</v>
      </c>
      <c r="C300" s="9" t="s">
        <v>18</v>
      </c>
      <c r="D300" s="9" t="s">
        <v>31</v>
      </c>
      <c r="E300" s="9" t="s">
        <v>133</v>
      </c>
      <c r="F300" s="9" t="s">
        <v>333</v>
      </c>
      <c r="G300" s="9" t="s">
        <v>26</v>
      </c>
      <c r="H300" s="10">
        <v>1780713.23</v>
      </c>
      <c r="I300" s="10">
        <v>112979.74</v>
      </c>
      <c r="J300" s="10">
        <v>144569.54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10">
        <v>34949.56</v>
      </c>
      <c r="R300" s="11">
        <f t="shared" si="0"/>
        <v>2073212.07</v>
      </c>
    </row>
    <row r="301" spans="1:18" ht="12.75" x14ac:dyDescent="0.2">
      <c r="A301" s="9" t="s">
        <v>332</v>
      </c>
      <c r="B301" s="9" t="s">
        <v>17</v>
      </c>
      <c r="C301" s="9" t="s">
        <v>18</v>
      </c>
      <c r="D301" s="9" t="s">
        <v>31</v>
      </c>
      <c r="E301" s="9" t="s">
        <v>133</v>
      </c>
      <c r="F301" s="9" t="s">
        <v>333</v>
      </c>
      <c r="G301" s="9" t="s">
        <v>38</v>
      </c>
      <c r="H301" s="10">
        <v>3555114.94</v>
      </c>
      <c r="I301" s="10">
        <v>6766135.75</v>
      </c>
      <c r="J301" s="10">
        <v>11816369.449999999</v>
      </c>
      <c r="K301" s="10">
        <v>1247857.47</v>
      </c>
      <c r="L301" s="10">
        <v>1304885.77</v>
      </c>
      <c r="M301" s="10">
        <v>1995738.76</v>
      </c>
      <c r="N301" s="10">
        <v>1126244.82</v>
      </c>
      <c r="O301" s="10">
        <v>480055.94</v>
      </c>
      <c r="P301" s="10">
        <v>1817821.71</v>
      </c>
      <c r="Q301" s="10">
        <v>1004210.78</v>
      </c>
      <c r="R301" s="11">
        <f t="shared" si="0"/>
        <v>31114435.390000004</v>
      </c>
    </row>
    <row r="302" spans="1:18" ht="12.75" x14ac:dyDescent="0.2">
      <c r="A302" s="9" t="s">
        <v>332</v>
      </c>
      <c r="B302" s="9" t="s">
        <v>17</v>
      </c>
      <c r="C302" s="9" t="s">
        <v>18</v>
      </c>
      <c r="D302" s="9" t="s">
        <v>31</v>
      </c>
      <c r="E302" s="9" t="s">
        <v>133</v>
      </c>
      <c r="F302" s="9" t="s">
        <v>333</v>
      </c>
      <c r="G302" s="9" t="s">
        <v>27</v>
      </c>
      <c r="H302" s="10">
        <v>900872.22</v>
      </c>
      <c r="I302" s="10">
        <v>191033.13</v>
      </c>
      <c r="J302" s="10">
        <v>184135.38</v>
      </c>
      <c r="K302" s="10">
        <v>306255.52</v>
      </c>
      <c r="L302" s="10">
        <v>304713.11</v>
      </c>
      <c r="M302" s="10">
        <v>443744.05</v>
      </c>
      <c r="N302" s="10">
        <v>445964.63</v>
      </c>
      <c r="O302" s="10">
        <v>371919.75</v>
      </c>
      <c r="P302" s="10">
        <v>330041.92</v>
      </c>
      <c r="Q302" s="10">
        <v>369257.54</v>
      </c>
      <c r="R302" s="11">
        <f t="shared" si="0"/>
        <v>3847937.2499999995</v>
      </c>
    </row>
    <row r="303" spans="1:18" ht="12.75" x14ac:dyDescent="0.2">
      <c r="A303" s="9" t="s">
        <v>332</v>
      </c>
      <c r="B303" s="9" t="s">
        <v>17</v>
      </c>
      <c r="C303" s="9" t="s">
        <v>18</v>
      </c>
      <c r="D303" s="9" t="s">
        <v>31</v>
      </c>
      <c r="E303" s="9" t="s">
        <v>133</v>
      </c>
      <c r="F303" s="9" t="s">
        <v>333</v>
      </c>
      <c r="G303" s="9" t="s">
        <v>28</v>
      </c>
      <c r="H303" s="10">
        <v>38811.300000000003</v>
      </c>
      <c r="I303" s="10">
        <v>53081.13</v>
      </c>
      <c r="J303" s="10">
        <v>45058.71</v>
      </c>
      <c r="K303" s="10">
        <v>223709.6</v>
      </c>
      <c r="L303" s="10">
        <v>170687.03</v>
      </c>
      <c r="M303" s="10">
        <v>233640.12</v>
      </c>
      <c r="N303" s="10">
        <v>246554.37</v>
      </c>
      <c r="O303" s="10">
        <v>255953.6</v>
      </c>
      <c r="P303" s="10">
        <v>245321.41</v>
      </c>
      <c r="Q303" s="10">
        <v>198151.99</v>
      </c>
      <c r="R303" s="11">
        <f t="shared" si="0"/>
        <v>1710969.26</v>
      </c>
    </row>
    <row r="304" spans="1:18" ht="12.75" x14ac:dyDescent="0.2">
      <c r="A304" s="9" t="s">
        <v>332</v>
      </c>
      <c r="B304" s="9" t="s">
        <v>17</v>
      </c>
      <c r="C304" s="9" t="s">
        <v>18</v>
      </c>
      <c r="D304" s="9" t="s">
        <v>31</v>
      </c>
      <c r="E304" s="9" t="s">
        <v>133</v>
      </c>
      <c r="F304" s="9" t="s">
        <v>333</v>
      </c>
      <c r="G304" s="9" t="s">
        <v>34</v>
      </c>
      <c r="H304" s="10">
        <v>533655.35</v>
      </c>
      <c r="I304" s="10">
        <v>524024.32000000001</v>
      </c>
      <c r="J304" s="10">
        <v>290876.34999999998</v>
      </c>
      <c r="K304" s="10">
        <v>148780.06</v>
      </c>
      <c r="L304" s="10">
        <v>126195.55</v>
      </c>
      <c r="M304" s="10">
        <v>127696.4</v>
      </c>
      <c r="N304" s="10">
        <v>154135.1</v>
      </c>
      <c r="O304" s="10">
        <v>156316.56</v>
      </c>
      <c r="P304" s="10">
        <v>136990.16</v>
      </c>
      <c r="Q304" s="10">
        <v>151400.03</v>
      </c>
      <c r="R304" s="11">
        <f t="shared" si="0"/>
        <v>2350069.88</v>
      </c>
    </row>
    <row r="305" spans="1:18" ht="12.75" x14ac:dyDescent="0.2">
      <c r="A305" s="9" t="s">
        <v>332</v>
      </c>
      <c r="B305" s="9" t="s">
        <v>17</v>
      </c>
      <c r="C305" s="9" t="s">
        <v>18</v>
      </c>
      <c r="D305" s="9" t="s">
        <v>31</v>
      </c>
      <c r="E305" s="9" t="s">
        <v>133</v>
      </c>
      <c r="F305" s="9" t="s">
        <v>333</v>
      </c>
      <c r="G305" s="9" t="s">
        <v>55</v>
      </c>
      <c r="H305" s="10">
        <v>667554.32999999996</v>
      </c>
      <c r="I305" s="10">
        <v>485559.07</v>
      </c>
      <c r="J305" s="10">
        <v>648426.9</v>
      </c>
      <c r="K305" s="10">
        <v>1625052.37</v>
      </c>
      <c r="L305" s="10">
        <v>1199322.3600000001</v>
      </c>
      <c r="M305" s="10">
        <v>582687.44999999995</v>
      </c>
      <c r="N305" s="10">
        <v>1507291.17</v>
      </c>
      <c r="O305" s="10">
        <v>1793326.79</v>
      </c>
      <c r="P305" s="10">
        <v>1389679.66</v>
      </c>
      <c r="Q305" s="10">
        <v>1667912.65</v>
      </c>
      <c r="R305" s="11">
        <f t="shared" si="0"/>
        <v>11566812.750000002</v>
      </c>
    </row>
    <row r="306" spans="1:18" ht="12.75" x14ac:dyDescent="0.2">
      <c r="A306" s="9" t="s">
        <v>332</v>
      </c>
      <c r="B306" s="9" t="s">
        <v>17</v>
      </c>
      <c r="C306" s="9" t="s">
        <v>18</v>
      </c>
      <c r="D306" s="9" t="s">
        <v>134</v>
      </c>
      <c r="E306" s="9" t="s">
        <v>135</v>
      </c>
      <c r="F306" s="9" t="s">
        <v>333</v>
      </c>
      <c r="G306" s="9" t="s">
        <v>28</v>
      </c>
      <c r="H306" s="9" t="s">
        <v>29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10">
        <v>9039.36</v>
      </c>
      <c r="O306" s="9">
        <v>0</v>
      </c>
      <c r="P306" s="9">
        <v>0</v>
      </c>
      <c r="Q306" s="10">
        <v>3012.28</v>
      </c>
      <c r="R306" s="12">
        <f t="shared" si="0"/>
        <v>12051.640000000001</v>
      </c>
    </row>
    <row r="307" spans="1:18" ht="12.75" x14ac:dyDescent="0.2">
      <c r="A307" s="9" t="s">
        <v>332</v>
      </c>
      <c r="B307" s="9" t="s">
        <v>17</v>
      </c>
      <c r="C307" s="9" t="s">
        <v>18</v>
      </c>
      <c r="D307" s="9" t="s">
        <v>134</v>
      </c>
      <c r="E307" s="9" t="s">
        <v>135</v>
      </c>
      <c r="F307" s="9" t="s">
        <v>333</v>
      </c>
      <c r="G307" s="9" t="s">
        <v>24</v>
      </c>
      <c r="H307" s="9" t="s">
        <v>29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10">
        <v>38290</v>
      </c>
      <c r="O307" s="9">
        <v>0</v>
      </c>
      <c r="P307" s="10">
        <v>16571.5</v>
      </c>
      <c r="Q307" s="9">
        <v>0</v>
      </c>
      <c r="R307" s="12">
        <f t="shared" si="0"/>
        <v>54861.5</v>
      </c>
    </row>
    <row r="308" spans="1:18" ht="12.75" x14ac:dyDescent="0.2">
      <c r="A308" s="9" t="s">
        <v>332</v>
      </c>
      <c r="B308" s="9" t="s">
        <v>17</v>
      </c>
      <c r="C308" s="9" t="s">
        <v>18</v>
      </c>
      <c r="D308" s="9" t="s">
        <v>134</v>
      </c>
      <c r="E308" s="9" t="s">
        <v>135</v>
      </c>
      <c r="F308" s="9" t="s">
        <v>333</v>
      </c>
      <c r="G308" s="9" t="s">
        <v>27</v>
      </c>
      <c r="H308" s="10">
        <v>554933.68999999994</v>
      </c>
      <c r="I308" s="10">
        <v>117675.65</v>
      </c>
      <c r="J308" s="10">
        <v>1359.93</v>
      </c>
      <c r="K308" s="10">
        <v>6412.72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10">
        <v>12073.99</v>
      </c>
      <c r="R308" s="11">
        <f t="shared" si="0"/>
        <v>692455.98</v>
      </c>
    </row>
    <row r="309" spans="1:18" ht="12.75" x14ac:dyDescent="0.2">
      <c r="A309" s="9" t="s">
        <v>332</v>
      </c>
      <c r="B309" s="9" t="s">
        <v>17</v>
      </c>
      <c r="C309" s="9" t="s">
        <v>18</v>
      </c>
      <c r="D309" s="9" t="s">
        <v>134</v>
      </c>
      <c r="E309" s="9" t="s">
        <v>136</v>
      </c>
      <c r="F309" s="9" t="s">
        <v>333</v>
      </c>
      <c r="G309" s="9" t="s">
        <v>21</v>
      </c>
      <c r="H309" s="10">
        <v>2910847.39</v>
      </c>
      <c r="I309" s="10">
        <v>28363.07</v>
      </c>
      <c r="J309" s="10">
        <v>96852.479999999996</v>
      </c>
      <c r="K309" s="10">
        <v>64256.55</v>
      </c>
      <c r="L309" s="10">
        <v>54934.67</v>
      </c>
      <c r="M309" s="10">
        <v>68537.539999999994</v>
      </c>
      <c r="N309" s="10">
        <v>69673.37</v>
      </c>
      <c r="O309" s="10">
        <v>71332.06</v>
      </c>
      <c r="P309" s="10">
        <v>63207.32</v>
      </c>
      <c r="Q309" s="10">
        <v>69723.31</v>
      </c>
      <c r="R309" s="11">
        <f t="shared" si="0"/>
        <v>3497727.76</v>
      </c>
    </row>
    <row r="310" spans="1:18" ht="12.75" x14ac:dyDescent="0.2">
      <c r="A310" s="9" t="s">
        <v>332</v>
      </c>
      <c r="B310" s="9" t="s">
        <v>17</v>
      </c>
      <c r="C310" s="9" t="s">
        <v>18</v>
      </c>
      <c r="D310" s="9" t="s">
        <v>134</v>
      </c>
      <c r="E310" s="9" t="s">
        <v>136</v>
      </c>
      <c r="F310" s="9" t="s">
        <v>333</v>
      </c>
      <c r="G310" s="9" t="s">
        <v>24</v>
      </c>
      <c r="H310" s="10">
        <v>2236777.2599999998</v>
      </c>
      <c r="I310" s="10">
        <v>61114.01</v>
      </c>
      <c r="J310" s="10">
        <v>173274.26</v>
      </c>
      <c r="K310" s="10">
        <v>438155.78</v>
      </c>
      <c r="L310" s="10">
        <v>368609.87</v>
      </c>
      <c r="M310" s="10">
        <v>496140.52</v>
      </c>
      <c r="N310" s="10">
        <v>484795.67</v>
      </c>
      <c r="O310" s="10">
        <v>372024.97</v>
      </c>
      <c r="P310" s="10">
        <v>515958.76</v>
      </c>
      <c r="Q310" s="10">
        <v>475366.63</v>
      </c>
      <c r="R310" s="11">
        <f t="shared" si="0"/>
        <v>5622217.7299999995</v>
      </c>
    </row>
    <row r="311" spans="1:18" ht="12.75" x14ac:dyDescent="0.2">
      <c r="A311" s="9" t="s">
        <v>332</v>
      </c>
      <c r="B311" s="9" t="s">
        <v>17</v>
      </c>
      <c r="C311" s="9" t="s">
        <v>18</v>
      </c>
      <c r="D311" s="9" t="s">
        <v>134</v>
      </c>
      <c r="E311" s="9" t="s">
        <v>136</v>
      </c>
      <c r="F311" s="9" t="s">
        <v>333</v>
      </c>
      <c r="G311" s="9" t="s">
        <v>26</v>
      </c>
      <c r="H311" s="10">
        <v>184188.4</v>
      </c>
      <c r="I311" s="10">
        <v>11686.08</v>
      </c>
      <c r="J311" s="10">
        <v>11886.55</v>
      </c>
      <c r="K311" s="10">
        <v>31476.21</v>
      </c>
      <c r="L311" s="10">
        <v>66595.710000000006</v>
      </c>
      <c r="M311" s="10">
        <v>4701.97</v>
      </c>
      <c r="N311" s="9">
        <v>0</v>
      </c>
      <c r="O311" s="10">
        <v>125222.36</v>
      </c>
      <c r="P311" s="10">
        <v>2899.86</v>
      </c>
      <c r="Q311" s="10">
        <v>3161.2</v>
      </c>
      <c r="R311" s="11">
        <f t="shared" si="0"/>
        <v>441818.33999999991</v>
      </c>
    </row>
    <row r="312" spans="1:18" ht="12.75" x14ac:dyDescent="0.2">
      <c r="A312" s="9" t="s">
        <v>332</v>
      </c>
      <c r="B312" s="9" t="s">
        <v>17</v>
      </c>
      <c r="C312" s="9" t="s">
        <v>18</v>
      </c>
      <c r="D312" s="9" t="s">
        <v>134</v>
      </c>
      <c r="E312" s="9" t="s">
        <v>136</v>
      </c>
      <c r="F312" s="9" t="s">
        <v>333</v>
      </c>
      <c r="G312" s="9" t="s">
        <v>27</v>
      </c>
      <c r="H312" s="10">
        <v>512759.24</v>
      </c>
      <c r="I312" s="10">
        <v>108732.41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11">
        <f t="shared" si="0"/>
        <v>621491.65</v>
      </c>
    </row>
    <row r="313" spans="1:18" ht="12.75" x14ac:dyDescent="0.2">
      <c r="A313" s="9" t="s">
        <v>332</v>
      </c>
      <c r="B313" s="9" t="s">
        <v>17</v>
      </c>
      <c r="C313" s="9" t="s">
        <v>18</v>
      </c>
      <c r="D313" s="9" t="s">
        <v>134</v>
      </c>
      <c r="E313" s="9" t="s">
        <v>136</v>
      </c>
      <c r="F313" s="9" t="s">
        <v>333</v>
      </c>
      <c r="G313" s="9" t="s">
        <v>28</v>
      </c>
      <c r="H313" s="10">
        <v>25509.77</v>
      </c>
      <c r="I313" s="10">
        <v>34889</v>
      </c>
      <c r="J313" s="10">
        <v>80275.460000000006</v>
      </c>
      <c r="K313" s="10">
        <v>4565.01</v>
      </c>
      <c r="L313" s="9">
        <v>0</v>
      </c>
      <c r="M313" s="9">
        <v>0</v>
      </c>
      <c r="N313" s="10">
        <v>3306.38</v>
      </c>
      <c r="O313" s="10">
        <v>3670.83</v>
      </c>
      <c r="P313" s="10">
        <v>2061.0700000000002</v>
      </c>
      <c r="Q313" s="9">
        <v>0</v>
      </c>
      <c r="R313" s="11">
        <f t="shared" si="0"/>
        <v>154277.52000000002</v>
      </c>
    </row>
    <row r="314" spans="1:18" ht="12.75" x14ac:dyDescent="0.2">
      <c r="A314" s="9" t="s">
        <v>332</v>
      </c>
      <c r="B314" s="9" t="s">
        <v>17</v>
      </c>
      <c r="C314" s="9" t="s">
        <v>18</v>
      </c>
      <c r="D314" s="9" t="s">
        <v>134</v>
      </c>
      <c r="E314" s="9" t="s">
        <v>137</v>
      </c>
      <c r="F314" s="9" t="s">
        <v>333</v>
      </c>
      <c r="G314" s="9" t="s">
        <v>21</v>
      </c>
      <c r="H314" s="9" t="s">
        <v>29</v>
      </c>
      <c r="I314" s="9">
        <v>0</v>
      </c>
      <c r="J314" s="9">
        <v>0</v>
      </c>
      <c r="K314" s="10">
        <v>20978.34</v>
      </c>
      <c r="L314" s="9">
        <v>0</v>
      </c>
      <c r="M314" s="9">
        <v>0</v>
      </c>
      <c r="N314" s="9">
        <v>0</v>
      </c>
      <c r="O314" s="9">
        <v>0</v>
      </c>
      <c r="P314" s="10">
        <v>1937.85</v>
      </c>
      <c r="Q314" s="9">
        <v>0</v>
      </c>
      <c r="R314" s="12">
        <f t="shared" si="0"/>
        <v>22916.19</v>
      </c>
    </row>
    <row r="315" spans="1:18" ht="12.75" x14ac:dyDescent="0.2">
      <c r="A315" s="9" t="s">
        <v>332</v>
      </c>
      <c r="B315" s="9" t="s">
        <v>17</v>
      </c>
      <c r="C315" s="9" t="s">
        <v>18</v>
      </c>
      <c r="D315" s="9" t="s">
        <v>134</v>
      </c>
      <c r="E315" s="9" t="s">
        <v>137</v>
      </c>
      <c r="F315" s="9" t="s">
        <v>333</v>
      </c>
      <c r="G315" s="9" t="s">
        <v>24</v>
      </c>
      <c r="H315" s="10">
        <v>856166.92</v>
      </c>
      <c r="I315" s="10">
        <v>23392.49</v>
      </c>
      <c r="J315" s="10">
        <v>16389.48</v>
      </c>
      <c r="K315" s="9">
        <v>0</v>
      </c>
      <c r="L315" s="10">
        <v>10401.18</v>
      </c>
      <c r="M315" s="9">
        <v>0</v>
      </c>
      <c r="N315" s="10">
        <v>9844.99</v>
      </c>
      <c r="O315" s="10">
        <v>4262.3599999999997</v>
      </c>
      <c r="P315" s="10">
        <v>40788.58</v>
      </c>
      <c r="Q315" s="10">
        <v>2439146.71</v>
      </c>
      <c r="R315" s="11">
        <f t="shared" si="0"/>
        <v>3400392.71</v>
      </c>
    </row>
    <row r="316" spans="1:18" ht="12.75" x14ac:dyDescent="0.2">
      <c r="A316" s="9" t="s">
        <v>332</v>
      </c>
      <c r="B316" s="9" t="s">
        <v>17</v>
      </c>
      <c r="C316" s="9" t="s">
        <v>36</v>
      </c>
      <c r="D316" s="9" t="s">
        <v>134</v>
      </c>
      <c r="E316" s="9" t="s">
        <v>137</v>
      </c>
      <c r="F316" s="9" t="s">
        <v>333</v>
      </c>
      <c r="G316" s="9" t="s">
        <v>37</v>
      </c>
      <c r="H316" s="9" t="s">
        <v>29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10">
        <v>63760.89</v>
      </c>
      <c r="P316" s="10">
        <v>270050.36</v>
      </c>
      <c r="Q316" s="10">
        <v>180556.79</v>
      </c>
      <c r="R316" s="12">
        <f t="shared" si="0"/>
        <v>514368.04000000004</v>
      </c>
    </row>
    <row r="317" spans="1:18" ht="12.75" x14ac:dyDescent="0.2">
      <c r="A317" s="9" t="s">
        <v>332</v>
      </c>
      <c r="B317" s="9" t="s">
        <v>17</v>
      </c>
      <c r="C317" s="9" t="s">
        <v>18</v>
      </c>
      <c r="D317" s="9" t="s">
        <v>134</v>
      </c>
      <c r="E317" s="9" t="s">
        <v>137</v>
      </c>
      <c r="F317" s="9" t="s">
        <v>333</v>
      </c>
      <c r="G317" s="9" t="s">
        <v>25</v>
      </c>
      <c r="H317" s="10">
        <v>80758.3</v>
      </c>
      <c r="I317" s="10">
        <v>434435.52</v>
      </c>
      <c r="J317" s="9">
        <v>0</v>
      </c>
      <c r="K317" s="9">
        <v>0</v>
      </c>
      <c r="L317" s="10">
        <v>24932.720000000001</v>
      </c>
      <c r="M317" s="9">
        <v>0</v>
      </c>
      <c r="N317" s="9">
        <v>0</v>
      </c>
      <c r="O317" s="9">
        <v>0</v>
      </c>
      <c r="P317" s="9">
        <v>0</v>
      </c>
      <c r="Q317" s="10">
        <v>7602.2</v>
      </c>
      <c r="R317" s="11">
        <f t="shared" si="0"/>
        <v>547728.74</v>
      </c>
    </row>
    <row r="318" spans="1:18" ht="12.75" x14ac:dyDescent="0.2">
      <c r="A318" s="9" t="s">
        <v>332</v>
      </c>
      <c r="B318" s="9" t="s">
        <v>17</v>
      </c>
      <c r="C318" s="9" t="s">
        <v>18</v>
      </c>
      <c r="D318" s="9" t="s">
        <v>134</v>
      </c>
      <c r="E318" s="9" t="s">
        <v>137</v>
      </c>
      <c r="F318" s="9" t="s">
        <v>333</v>
      </c>
      <c r="G318" s="9" t="s">
        <v>26</v>
      </c>
      <c r="H318" s="10">
        <v>516271.64</v>
      </c>
      <c r="I318" s="10">
        <v>32755.55</v>
      </c>
      <c r="J318" s="10">
        <v>29348.7</v>
      </c>
      <c r="K318" s="10">
        <v>13814.17</v>
      </c>
      <c r="L318" s="10">
        <v>33145.230000000003</v>
      </c>
      <c r="M318" s="10">
        <v>14542.73</v>
      </c>
      <c r="N318" s="10">
        <v>14083.93</v>
      </c>
      <c r="O318" s="10">
        <v>5814.84</v>
      </c>
      <c r="P318" s="10">
        <v>71485.83</v>
      </c>
      <c r="Q318" s="10">
        <v>25880.43</v>
      </c>
      <c r="R318" s="11">
        <f t="shared" si="0"/>
        <v>757143.05</v>
      </c>
    </row>
    <row r="319" spans="1:18" ht="12.75" x14ac:dyDescent="0.2">
      <c r="A319" s="9" t="s">
        <v>332</v>
      </c>
      <c r="B319" s="9" t="s">
        <v>17</v>
      </c>
      <c r="C319" s="9" t="s">
        <v>18</v>
      </c>
      <c r="D319" s="9" t="s">
        <v>134</v>
      </c>
      <c r="E319" s="9" t="s">
        <v>137</v>
      </c>
      <c r="F319" s="9" t="s">
        <v>333</v>
      </c>
      <c r="G319" s="9" t="s">
        <v>27</v>
      </c>
      <c r="H319" s="10">
        <v>1113815.68</v>
      </c>
      <c r="I319" s="10">
        <v>236188.55</v>
      </c>
      <c r="J319" s="10">
        <v>106001.51</v>
      </c>
      <c r="K319" s="10">
        <v>1822068.21</v>
      </c>
      <c r="L319" s="10">
        <v>488061.18</v>
      </c>
      <c r="M319" s="10">
        <v>59854.07</v>
      </c>
      <c r="N319" s="9">
        <v>0</v>
      </c>
      <c r="O319" s="9">
        <v>0</v>
      </c>
      <c r="P319" s="10">
        <v>1412989.04</v>
      </c>
      <c r="Q319" s="10">
        <v>48004.24</v>
      </c>
      <c r="R319" s="11">
        <f t="shared" si="0"/>
        <v>5286982.4800000004</v>
      </c>
    </row>
    <row r="320" spans="1:18" ht="12.75" x14ac:dyDescent="0.2">
      <c r="A320" s="9" t="s">
        <v>332</v>
      </c>
      <c r="B320" s="9" t="s">
        <v>17</v>
      </c>
      <c r="C320" s="9" t="s">
        <v>18</v>
      </c>
      <c r="D320" s="9" t="s">
        <v>134</v>
      </c>
      <c r="E320" s="9" t="s">
        <v>137</v>
      </c>
      <c r="F320" s="9" t="s">
        <v>333</v>
      </c>
      <c r="G320" s="9" t="s">
        <v>28</v>
      </c>
      <c r="H320" s="10">
        <v>1477595.94</v>
      </c>
      <c r="I320" s="10">
        <v>2020866.8</v>
      </c>
      <c r="J320" s="10">
        <v>81612.97</v>
      </c>
      <c r="K320" s="10">
        <v>225266.33</v>
      </c>
      <c r="L320" s="10">
        <v>163359.74</v>
      </c>
      <c r="M320" s="10">
        <v>123221.47</v>
      </c>
      <c r="N320" s="10">
        <v>19023.34</v>
      </c>
      <c r="O320" s="10">
        <v>231862.69</v>
      </c>
      <c r="P320" s="10">
        <v>57255.49</v>
      </c>
      <c r="Q320" s="10">
        <v>61258.81</v>
      </c>
      <c r="R320" s="11">
        <f t="shared" si="0"/>
        <v>4461323.58</v>
      </c>
    </row>
    <row r="321" spans="1:18" ht="12.75" x14ac:dyDescent="0.2">
      <c r="A321" s="9" t="s">
        <v>332</v>
      </c>
      <c r="B321" s="9" t="s">
        <v>17</v>
      </c>
      <c r="C321" s="9" t="s">
        <v>18</v>
      </c>
      <c r="D321" s="9" t="s">
        <v>134</v>
      </c>
      <c r="E321" s="9" t="s">
        <v>138</v>
      </c>
      <c r="F321" s="9" t="s">
        <v>333</v>
      </c>
      <c r="G321" s="9" t="s">
        <v>24</v>
      </c>
      <c r="H321" s="10">
        <v>263434.61</v>
      </c>
      <c r="I321" s="10">
        <v>7197.65</v>
      </c>
      <c r="J321" s="10">
        <v>6013.35</v>
      </c>
      <c r="K321" s="10">
        <v>5722.75</v>
      </c>
      <c r="L321" s="10">
        <v>36295.279999999999</v>
      </c>
      <c r="M321" s="10">
        <v>20217.61</v>
      </c>
      <c r="N321" s="10">
        <v>95144.83</v>
      </c>
      <c r="O321" s="10">
        <v>41697.949999999997</v>
      </c>
      <c r="P321" s="10">
        <v>116842.2</v>
      </c>
      <c r="Q321" s="10">
        <v>317033.12</v>
      </c>
      <c r="R321" s="11">
        <f t="shared" si="0"/>
        <v>909599.35</v>
      </c>
    </row>
    <row r="322" spans="1:18" ht="12.75" x14ac:dyDescent="0.2">
      <c r="A322" s="9" t="s">
        <v>332</v>
      </c>
      <c r="B322" s="9" t="s">
        <v>17</v>
      </c>
      <c r="C322" s="9" t="s">
        <v>36</v>
      </c>
      <c r="D322" s="9" t="s">
        <v>134</v>
      </c>
      <c r="E322" s="9" t="s">
        <v>138</v>
      </c>
      <c r="F322" s="9" t="s">
        <v>333</v>
      </c>
      <c r="G322" s="9" t="s">
        <v>37</v>
      </c>
      <c r="H322" s="10">
        <v>3508105.83</v>
      </c>
      <c r="I322" s="10">
        <v>1254446.77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11">
        <f t="shared" si="0"/>
        <v>4762552.5999999996</v>
      </c>
    </row>
    <row r="323" spans="1:18" ht="12.75" x14ac:dyDescent="0.2">
      <c r="A323" s="9" t="s">
        <v>332</v>
      </c>
      <c r="B323" s="9" t="s">
        <v>17</v>
      </c>
      <c r="C323" s="9" t="s">
        <v>18</v>
      </c>
      <c r="D323" s="9" t="s">
        <v>134</v>
      </c>
      <c r="E323" s="9" t="s">
        <v>138</v>
      </c>
      <c r="F323" s="9" t="s">
        <v>333</v>
      </c>
      <c r="G323" s="9" t="s">
        <v>25</v>
      </c>
      <c r="H323" s="10">
        <v>153827.76999999999</v>
      </c>
      <c r="I323" s="10">
        <v>827509.36</v>
      </c>
      <c r="J323" s="9">
        <v>0</v>
      </c>
      <c r="K323" s="10">
        <v>173475.12</v>
      </c>
      <c r="L323" s="10">
        <v>60773.51</v>
      </c>
      <c r="M323" s="10">
        <v>2568914.2200000002</v>
      </c>
      <c r="N323" s="9">
        <v>0</v>
      </c>
      <c r="O323" s="9">
        <v>0</v>
      </c>
      <c r="P323" s="9">
        <v>0</v>
      </c>
      <c r="Q323" s="9">
        <v>0</v>
      </c>
      <c r="R323" s="11">
        <f t="shared" si="0"/>
        <v>3784499.9800000004</v>
      </c>
    </row>
    <row r="324" spans="1:18" ht="12.75" x14ac:dyDescent="0.2">
      <c r="A324" s="9" t="s">
        <v>332</v>
      </c>
      <c r="B324" s="9" t="s">
        <v>17</v>
      </c>
      <c r="C324" s="9" t="s">
        <v>18</v>
      </c>
      <c r="D324" s="9" t="s">
        <v>134</v>
      </c>
      <c r="E324" s="9" t="s">
        <v>138</v>
      </c>
      <c r="F324" s="9" t="s">
        <v>333</v>
      </c>
      <c r="G324" s="9" t="s">
        <v>26</v>
      </c>
      <c r="H324" s="10">
        <v>9740145.9900000002</v>
      </c>
      <c r="I324" s="10">
        <v>617976.61</v>
      </c>
      <c r="J324" s="10">
        <v>773298.65</v>
      </c>
      <c r="K324" s="10">
        <v>611888.54</v>
      </c>
      <c r="L324" s="10">
        <v>245383.78</v>
      </c>
      <c r="M324" s="10">
        <v>317050.51</v>
      </c>
      <c r="N324" s="10">
        <v>346042.47</v>
      </c>
      <c r="O324" s="10">
        <v>330580.46000000002</v>
      </c>
      <c r="P324" s="10">
        <v>411508.67</v>
      </c>
      <c r="Q324" s="10">
        <v>275372.74</v>
      </c>
      <c r="R324" s="11">
        <f t="shared" si="0"/>
        <v>13669248.42</v>
      </c>
    </row>
    <row r="325" spans="1:18" ht="12.75" x14ac:dyDescent="0.2">
      <c r="A325" s="9" t="s">
        <v>332</v>
      </c>
      <c r="B325" s="9" t="s">
        <v>17</v>
      </c>
      <c r="C325" s="9" t="s">
        <v>18</v>
      </c>
      <c r="D325" s="9" t="s">
        <v>134</v>
      </c>
      <c r="E325" s="9" t="s">
        <v>138</v>
      </c>
      <c r="F325" s="9" t="s">
        <v>333</v>
      </c>
      <c r="G325" s="9" t="s">
        <v>38</v>
      </c>
      <c r="H325" s="10">
        <v>9102001.5</v>
      </c>
      <c r="I325" s="10">
        <v>17323034.190000001</v>
      </c>
      <c r="J325" s="10">
        <v>11988933</v>
      </c>
      <c r="K325" s="10">
        <v>23818215.370000001</v>
      </c>
      <c r="L325" s="10">
        <v>25882611.699999999</v>
      </c>
      <c r="M325" s="10">
        <v>17742765.949999999</v>
      </c>
      <c r="N325" s="10">
        <v>24324599.170000002</v>
      </c>
      <c r="O325" s="10">
        <v>37480907</v>
      </c>
      <c r="P325" s="10">
        <v>16455653.789999999</v>
      </c>
      <c r="Q325" s="10">
        <v>30041365.940000001</v>
      </c>
      <c r="R325" s="11">
        <f t="shared" si="0"/>
        <v>214160087.60999998</v>
      </c>
    </row>
    <row r="326" spans="1:18" ht="12.75" x14ac:dyDescent="0.2">
      <c r="A326" s="9" t="s">
        <v>332</v>
      </c>
      <c r="B326" s="9" t="s">
        <v>17</v>
      </c>
      <c r="C326" s="9" t="s">
        <v>18</v>
      </c>
      <c r="D326" s="9" t="s">
        <v>134</v>
      </c>
      <c r="E326" s="9" t="s">
        <v>138</v>
      </c>
      <c r="F326" s="9" t="s">
        <v>333</v>
      </c>
      <c r="G326" s="9" t="s">
        <v>27</v>
      </c>
      <c r="H326" s="10">
        <v>526680.22</v>
      </c>
      <c r="I326" s="10">
        <v>111684.4</v>
      </c>
      <c r="J326" s="10">
        <v>7522099.96</v>
      </c>
      <c r="K326" s="9">
        <v>0</v>
      </c>
      <c r="L326" s="10">
        <v>3040.98</v>
      </c>
      <c r="M326" s="10">
        <v>71113.75</v>
      </c>
      <c r="N326" s="9">
        <v>0</v>
      </c>
      <c r="O326" s="9">
        <v>0</v>
      </c>
      <c r="P326" s="9">
        <v>0</v>
      </c>
      <c r="Q326" s="10">
        <v>23520.14</v>
      </c>
      <c r="R326" s="11">
        <f t="shared" si="0"/>
        <v>8258139.4500000002</v>
      </c>
    </row>
    <row r="327" spans="1:18" ht="12.75" x14ac:dyDescent="0.2">
      <c r="A327" s="9" t="s">
        <v>332</v>
      </c>
      <c r="B327" s="9" t="s">
        <v>17</v>
      </c>
      <c r="C327" s="9" t="s">
        <v>18</v>
      </c>
      <c r="D327" s="9" t="s">
        <v>134</v>
      </c>
      <c r="E327" s="9" t="s">
        <v>138</v>
      </c>
      <c r="F327" s="9" t="s">
        <v>333</v>
      </c>
      <c r="G327" s="9" t="s">
        <v>28</v>
      </c>
      <c r="H327" s="10">
        <v>3845.69</v>
      </c>
      <c r="I327" s="10">
        <v>5259.65</v>
      </c>
      <c r="J327" s="10">
        <v>121624.56</v>
      </c>
      <c r="K327" s="10">
        <v>39837.97</v>
      </c>
      <c r="L327" s="9">
        <v>17.93</v>
      </c>
      <c r="M327" s="10">
        <v>4528.17</v>
      </c>
      <c r="N327" s="9">
        <v>0</v>
      </c>
      <c r="O327" s="10">
        <v>5469.78</v>
      </c>
      <c r="P327" s="10">
        <v>81744.479999999996</v>
      </c>
      <c r="Q327" s="10">
        <v>1327651.0900000001</v>
      </c>
      <c r="R327" s="11">
        <f t="shared" si="0"/>
        <v>1589979.32</v>
      </c>
    </row>
    <row r="328" spans="1:18" ht="12.75" x14ac:dyDescent="0.2">
      <c r="A328" s="9" t="s">
        <v>332</v>
      </c>
      <c r="B328" s="9" t="s">
        <v>17</v>
      </c>
      <c r="C328" s="9" t="s">
        <v>18</v>
      </c>
      <c r="D328" s="9" t="s">
        <v>134</v>
      </c>
      <c r="E328" s="9" t="s">
        <v>138</v>
      </c>
      <c r="F328" s="9" t="s">
        <v>333</v>
      </c>
      <c r="G328" s="9" t="s">
        <v>139</v>
      </c>
      <c r="H328" s="10">
        <v>179502.26</v>
      </c>
      <c r="I328" s="10">
        <v>95953.17</v>
      </c>
      <c r="J328" s="10">
        <v>99911.23</v>
      </c>
      <c r="K328" s="10">
        <v>101390.04</v>
      </c>
      <c r="L328" s="10">
        <v>97448.16</v>
      </c>
      <c r="M328" s="10">
        <v>142199.07</v>
      </c>
      <c r="N328" s="10">
        <v>141526.54</v>
      </c>
      <c r="O328" s="10">
        <v>135301.19</v>
      </c>
      <c r="P328" s="10">
        <v>150912.31</v>
      </c>
      <c r="Q328" s="10">
        <v>166133.75</v>
      </c>
      <c r="R328" s="11">
        <f t="shared" si="0"/>
        <v>1310277.72</v>
      </c>
    </row>
    <row r="329" spans="1:18" ht="12.75" x14ac:dyDescent="0.2">
      <c r="A329" s="9" t="s">
        <v>332</v>
      </c>
      <c r="B329" s="9" t="s">
        <v>17</v>
      </c>
      <c r="C329" s="9" t="s">
        <v>18</v>
      </c>
      <c r="D329" s="9" t="s">
        <v>134</v>
      </c>
      <c r="E329" s="9" t="s">
        <v>138</v>
      </c>
      <c r="F329" s="9" t="s">
        <v>333</v>
      </c>
      <c r="G329" s="9" t="s">
        <v>49</v>
      </c>
      <c r="H329" s="10">
        <v>116433.9</v>
      </c>
      <c r="I329" s="10">
        <v>187292.96</v>
      </c>
      <c r="J329" s="10">
        <v>217183.63</v>
      </c>
      <c r="K329" s="10">
        <v>123396.07</v>
      </c>
      <c r="L329" s="10">
        <v>174981.54</v>
      </c>
      <c r="M329" s="10">
        <v>120747.63</v>
      </c>
      <c r="N329" s="10">
        <v>184529.08</v>
      </c>
      <c r="O329" s="10">
        <v>121568.15</v>
      </c>
      <c r="P329" s="10">
        <v>193262.76</v>
      </c>
      <c r="Q329" s="10">
        <v>96065.3</v>
      </c>
      <c r="R329" s="11">
        <f t="shared" si="0"/>
        <v>1535461.02</v>
      </c>
    </row>
    <row r="330" spans="1:18" ht="12.75" x14ac:dyDescent="0.2">
      <c r="A330" s="9" t="s">
        <v>332</v>
      </c>
      <c r="B330" s="9" t="s">
        <v>17</v>
      </c>
      <c r="C330" s="9" t="s">
        <v>18</v>
      </c>
      <c r="D330" s="9" t="s">
        <v>130</v>
      </c>
      <c r="E330" s="9" t="s">
        <v>140</v>
      </c>
      <c r="F330" s="9" t="s">
        <v>333</v>
      </c>
      <c r="G330" s="9" t="s">
        <v>24</v>
      </c>
      <c r="H330" s="10">
        <v>12613.88</v>
      </c>
      <c r="I330" s="9">
        <v>344.64</v>
      </c>
      <c r="J330" s="9">
        <v>743.54</v>
      </c>
      <c r="K330" s="10">
        <v>6263.36</v>
      </c>
      <c r="L330" s="10">
        <v>12005.07</v>
      </c>
      <c r="M330" s="9">
        <v>0</v>
      </c>
      <c r="N330" s="9">
        <v>0</v>
      </c>
      <c r="O330" s="10">
        <v>2712.41</v>
      </c>
      <c r="P330" s="10">
        <v>8559.7999999999993</v>
      </c>
      <c r="Q330" s="10">
        <v>9575.9599999999991</v>
      </c>
      <c r="R330" s="11">
        <f t="shared" si="0"/>
        <v>52818.659999999996</v>
      </c>
    </row>
    <row r="331" spans="1:18" ht="12.75" x14ac:dyDescent="0.2">
      <c r="A331" s="9" t="s">
        <v>332</v>
      </c>
      <c r="B331" s="9" t="s">
        <v>17</v>
      </c>
      <c r="C331" s="9" t="s">
        <v>18</v>
      </c>
      <c r="D331" s="9" t="s">
        <v>130</v>
      </c>
      <c r="E331" s="9" t="s">
        <v>140</v>
      </c>
      <c r="F331" s="9" t="s">
        <v>333</v>
      </c>
      <c r="G331" s="9" t="s">
        <v>26</v>
      </c>
      <c r="H331" s="10">
        <v>1222507.76</v>
      </c>
      <c r="I331" s="10">
        <v>77563.64</v>
      </c>
      <c r="J331" s="10">
        <v>121952.08</v>
      </c>
      <c r="K331" s="10">
        <v>1268.77</v>
      </c>
      <c r="L331" s="9">
        <v>808.67</v>
      </c>
      <c r="M331" s="10">
        <v>1443.3</v>
      </c>
      <c r="N331" s="10">
        <v>2904.93</v>
      </c>
      <c r="O331" s="10">
        <v>1371.82</v>
      </c>
      <c r="P331" s="10">
        <v>14329.8</v>
      </c>
      <c r="Q331" s="10">
        <v>30219.71</v>
      </c>
      <c r="R331" s="11">
        <f t="shared" si="0"/>
        <v>1474370.48</v>
      </c>
    </row>
    <row r="332" spans="1:18" ht="12.75" x14ac:dyDescent="0.2">
      <c r="A332" s="9" t="s">
        <v>332</v>
      </c>
      <c r="B332" s="9" t="s">
        <v>17</v>
      </c>
      <c r="C332" s="9" t="s">
        <v>18</v>
      </c>
      <c r="D332" s="9" t="s">
        <v>130</v>
      </c>
      <c r="E332" s="9" t="s">
        <v>140</v>
      </c>
      <c r="F332" s="9" t="s">
        <v>333</v>
      </c>
      <c r="G332" s="9" t="s">
        <v>27</v>
      </c>
      <c r="H332" s="10">
        <v>1025518.48</v>
      </c>
      <c r="I332" s="10">
        <v>217464.81</v>
      </c>
      <c r="J332" s="9">
        <v>0</v>
      </c>
      <c r="K332" s="10">
        <v>52920.34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10">
        <v>120739.86</v>
      </c>
      <c r="R332" s="11">
        <f t="shared" si="0"/>
        <v>1416643.4900000002</v>
      </c>
    </row>
    <row r="333" spans="1:18" ht="12.75" x14ac:dyDescent="0.2">
      <c r="A333" s="9" t="s">
        <v>332</v>
      </c>
      <c r="B333" s="9" t="s">
        <v>17</v>
      </c>
      <c r="C333" s="9" t="s">
        <v>18</v>
      </c>
      <c r="D333" s="9" t="s">
        <v>130</v>
      </c>
      <c r="E333" s="9" t="s">
        <v>140</v>
      </c>
      <c r="F333" s="9" t="s">
        <v>333</v>
      </c>
      <c r="G333" s="9" t="s">
        <v>28</v>
      </c>
      <c r="H333" s="10">
        <v>13716.31</v>
      </c>
      <c r="I333" s="10">
        <v>18759.41</v>
      </c>
      <c r="J333" s="9">
        <v>0</v>
      </c>
      <c r="K333" s="9">
        <v>0</v>
      </c>
      <c r="L333" s="10">
        <v>11318.79</v>
      </c>
      <c r="M333" s="10">
        <v>13667.15</v>
      </c>
      <c r="N333" s="9">
        <v>0</v>
      </c>
      <c r="O333" s="9">
        <v>0</v>
      </c>
      <c r="P333" s="10">
        <v>8335.9</v>
      </c>
      <c r="Q333" s="10">
        <v>4209.9399999999996</v>
      </c>
      <c r="R333" s="11">
        <f t="shared" si="0"/>
        <v>70007.5</v>
      </c>
    </row>
    <row r="334" spans="1:18" ht="12.75" x14ac:dyDescent="0.2">
      <c r="A334" s="9" t="s">
        <v>332</v>
      </c>
      <c r="B334" s="9" t="s">
        <v>17</v>
      </c>
      <c r="C334" s="9" t="s">
        <v>18</v>
      </c>
      <c r="D334" s="9" t="s">
        <v>141</v>
      </c>
      <c r="E334" s="9" t="s">
        <v>142</v>
      </c>
      <c r="F334" s="9" t="s">
        <v>333</v>
      </c>
      <c r="G334" s="9" t="s">
        <v>22</v>
      </c>
      <c r="H334" s="10">
        <v>20861072.949999999</v>
      </c>
      <c r="I334" s="10">
        <v>7459611.21</v>
      </c>
      <c r="J334" s="10">
        <v>6400074.7599999998</v>
      </c>
      <c r="K334" s="10">
        <v>3232494.31</v>
      </c>
      <c r="L334" s="10">
        <v>4041693.98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11">
        <f t="shared" si="0"/>
        <v>41994947.210000001</v>
      </c>
    </row>
    <row r="335" spans="1:18" ht="12.75" x14ac:dyDescent="0.2">
      <c r="A335" s="9" t="s">
        <v>332</v>
      </c>
      <c r="B335" s="9" t="s">
        <v>17</v>
      </c>
      <c r="C335" s="9" t="s">
        <v>18</v>
      </c>
      <c r="D335" s="9" t="s">
        <v>130</v>
      </c>
      <c r="E335" s="9" t="s">
        <v>143</v>
      </c>
      <c r="F335" s="9" t="s">
        <v>333</v>
      </c>
      <c r="G335" s="9" t="s">
        <v>24</v>
      </c>
      <c r="H335" s="10">
        <v>40123.410000000003</v>
      </c>
      <c r="I335" s="10">
        <v>1096.27</v>
      </c>
      <c r="J335" s="9">
        <v>0</v>
      </c>
      <c r="K335" s="9">
        <v>0</v>
      </c>
      <c r="L335" s="9">
        <v>0</v>
      </c>
      <c r="M335" s="9">
        <v>0</v>
      </c>
      <c r="N335" s="10">
        <v>13178.23</v>
      </c>
      <c r="O335" s="9">
        <v>0</v>
      </c>
      <c r="P335" s="10">
        <v>30797.56</v>
      </c>
      <c r="Q335" s="9">
        <v>0</v>
      </c>
      <c r="R335" s="11">
        <f t="shared" si="0"/>
        <v>85195.47</v>
      </c>
    </row>
    <row r="336" spans="1:18" ht="12.75" x14ac:dyDescent="0.2">
      <c r="A336" s="9" t="s">
        <v>332</v>
      </c>
      <c r="B336" s="9" t="s">
        <v>17</v>
      </c>
      <c r="C336" s="9" t="s">
        <v>18</v>
      </c>
      <c r="D336" s="9" t="s">
        <v>130</v>
      </c>
      <c r="E336" s="9" t="s">
        <v>143</v>
      </c>
      <c r="F336" s="9" t="s">
        <v>333</v>
      </c>
      <c r="G336" s="9" t="s">
        <v>27</v>
      </c>
      <c r="H336" s="10">
        <v>26919.86</v>
      </c>
      <c r="I336" s="10">
        <v>5708.45</v>
      </c>
      <c r="J336" s="9">
        <v>0</v>
      </c>
      <c r="K336" s="9">
        <v>0</v>
      </c>
      <c r="L336" s="9">
        <v>0</v>
      </c>
      <c r="M336" s="10">
        <v>104866.17</v>
      </c>
      <c r="N336" s="10">
        <v>192050.12</v>
      </c>
      <c r="O336" s="10">
        <v>183228.75</v>
      </c>
      <c r="P336" s="10">
        <v>105008.62</v>
      </c>
      <c r="Q336" s="10">
        <v>70995.039999999994</v>
      </c>
      <c r="R336" s="11">
        <f t="shared" si="0"/>
        <v>688777.01</v>
      </c>
    </row>
    <row r="337" spans="1:18" ht="12.75" x14ac:dyDescent="0.2">
      <c r="A337" s="9" t="s">
        <v>332</v>
      </c>
      <c r="B337" s="9" t="s">
        <v>17</v>
      </c>
      <c r="C337" s="9" t="s">
        <v>18</v>
      </c>
      <c r="D337" s="9" t="s">
        <v>130</v>
      </c>
      <c r="E337" s="9" t="s">
        <v>143</v>
      </c>
      <c r="F337" s="9" t="s">
        <v>333</v>
      </c>
      <c r="G337" s="9" t="s">
        <v>24</v>
      </c>
      <c r="H337" s="10">
        <v>30752.74</v>
      </c>
      <c r="I337" s="9">
        <v>840.24</v>
      </c>
      <c r="J337" s="10">
        <v>1696.19</v>
      </c>
      <c r="K337" s="9">
        <v>0</v>
      </c>
      <c r="L337" s="10">
        <v>6278.72</v>
      </c>
      <c r="M337" s="9">
        <v>0</v>
      </c>
      <c r="N337" s="10">
        <v>13389.19</v>
      </c>
      <c r="O337" s="9">
        <v>0</v>
      </c>
      <c r="P337" s="9">
        <v>0</v>
      </c>
      <c r="Q337" s="10">
        <v>10650.71</v>
      </c>
      <c r="R337" s="11">
        <f t="shared" si="0"/>
        <v>63607.790000000008</v>
      </c>
    </row>
    <row r="338" spans="1:18" ht="12.75" x14ac:dyDescent="0.2">
      <c r="A338" s="9" t="s">
        <v>332</v>
      </c>
      <c r="B338" s="9" t="s">
        <v>17</v>
      </c>
      <c r="C338" s="9" t="s">
        <v>18</v>
      </c>
      <c r="D338" s="9" t="s">
        <v>130</v>
      </c>
      <c r="E338" s="9" t="s">
        <v>143</v>
      </c>
      <c r="F338" s="9" t="s">
        <v>333</v>
      </c>
      <c r="G338" s="9" t="s">
        <v>27</v>
      </c>
      <c r="H338" s="10">
        <v>3705662.75</v>
      </c>
      <c r="I338" s="10">
        <v>785798.87</v>
      </c>
      <c r="J338" s="10">
        <v>744567.2</v>
      </c>
      <c r="K338" s="10">
        <v>2199482.83</v>
      </c>
      <c r="L338" s="10">
        <v>1185635.42</v>
      </c>
      <c r="M338" s="10">
        <v>1403567.91</v>
      </c>
      <c r="N338" s="10">
        <v>923789.8</v>
      </c>
      <c r="O338" s="10">
        <v>1387090.65</v>
      </c>
      <c r="P338" s="10">
        <v>1284955.19</v>
      </c>
      <c r="Q338" s="10">
        <v>1246557.5</v>
      </c>
      <c r="R338" s="11">
        <f t="shared" si="0"/>
        <v>14867108.120000001</v>
      </c>
    </row>
    <row r="339" spans="1:18" ht="12.75" x14ac:dyDescent="0.2">
      <c r="A339" s="9" t="s">
        <v>332</v>
      </c>
      <c r="B339" s="9" t="s">
        <v>17</v>
      </c>
      <c r="C339" s="9" t="s">
        <v>18</v>
      </c>
      <c r="D339" s="9" t="s">
        <v>141</v>
      </c>
      <c r="E339" s="9" t="s">
        <v>144</v>
      </c>
      <c r="F339" s="9" t="s">
        <v>333</v>
      </c>
      <c r="G339" s="9" t="s">
        <v>24</v>
      </c>
      <c r="H339" s="10">
        <v>2819763.27</v>
      </c>
      <c r="I339" s="10">
        <v>77042.559999999998</v>
      </c>
      <c r="J339" s="10">
        <v>-49143.199999999997</v>
      </c>
      <c r="K339" s="10">
        <v>1034.72</v>
      </c>
      <c r="L339" s="10">
        <v>297973.3</v>
      </c>
      <c r="M339" s="10">
        <v>767051.44</v>
      </c>
      <c r="N339" s="10">
        <v>1988520.23</v>
      </c>
      <c r="O339" s="10">
        <v>1518520.17</v>
      </c>
      <c r="P339" s="10">
        <v>249116.56</v>
      </c>
      <c r="Q339" s="10">
        <v>278702.46999999997</v>
      </c>
      <c r="R339" s="11">
        <f t="shared" si="0"/>
        <v>7948581.5199999996</v>
      </c>
    </row>
    <row r="340" spans="1:18" ht="12.75" x14ac:dyDescent="0.2">
      <c r="A340" s="9" t="s">
        <v>332</v>
      </c>
      <c r="B340" s="9" t="s">
        <v>17</v>
      </c>
      <c r="C340" s="9" t="s">
        <v>18</v>
      </c>
      <c r="D340" s="9" t="s">
        <v>141</v>
      </c>
      <c r="E340" s="9" t="s">
        <v>144</v>
      </c>
      <c r="F340" s="9" t="s">
        <v>333</v>
      </c>
      <c r="G340" s="9" t="s">
        <v>22</v>
      </c>
      <c r="H340" s="10">
        <v>4015202.89</v>
      </c>
      <c r="I340" s="10">
        <v>1435777.18</v>
      </c>
      <c r="J340" s="10">
        <v>817810.84</v>
      </c>
      <c r="K340" s="10">
        <v>308711.56</v>
      </c>
      <c r="L340" s="10">
        <v>357778.85</v>
      </c>
      <c r="M340" s="10">
        <v>871454.82</v>
      </c>
      <c r="N340" s="10">
        <v>1071504.23</v>
      </c>
      <c r="O340" s="10">
        <v>1444928.79</v>
      </c>
      <c r="P340" s="10">
        <v>1463071.67</v>
      </c>
      <c r="Q340" s="10">
        <v>873131.22</v>
      </c>
      <c r="R340" s="11">
        <f t="shared" si="0"/>
        <v>12659372.050000001</v>
      </c>
    </row>
    <row r="341" spans="1:18" ht="12.75" x14ac:dyDescent="0.2">
      <c r="A341" s="9" t="s">
        <v>332</v>
      </c>
      <c r="B341" s="9" t="s">
        <v>17</v>
      </c>
      <c r="C341" s="9" t="s">
        <v>18</v>
      </c>
      <c r="D341" s="9" t="s">
        <v>141</v>
      </c>
      <c r="E341" s="9" t="s">
        <v>144</v>
      </c>
      <c r="F341" s="9" t="s">
        <v>333</v>
      </c>
      <c r="G341" s="9" t="s">
        <v>25</v>
      </c>
      <c r="H341" s="10">
        <v>162399.10999999999</v>
      </c>
      <c r="I341" s="10">
        <v>873618.46</v>
      </c>
      <c r="J341" s="10">
        <v>214027.73</v>
      </c>
      <c r="K341" s="10">
        <v>174470.57</v>
      </c>
      <c r="L341" s="10">
        <v>11011.95</v>
      </c>
      <c r="M341" s="9">
        <v>0</v>
      </c>
      <c r="N341" s="10">
        <v>2218774.81</v>
      </c>
      <c r="O341" s="10">
        <v>69196.37</v>
      </c>
      <c r="P341" s="10">
        <v>40161.550000000003</v>
      </c>
      <c r="Q341" s="10">
        <v>11538433.609999999</v>
      </c>
      <c r="R341" s="11">
        <f t="shared" si="0"/>
        <v>15302094.16</v>
      </c>
    </row>
    <row r="342" spans="1:18" ht="12.75" x14ac:dyDescent="0.2">
      <c r="A342" s="9" t="s">
        <v>332</v>
      </c>
      <c r="B342" s="9" t="s">
        <v>17</v>
      </c>
      <c r="C342" s="9" t="s">
        <v>18</v>
      </c>
      <c r="D342" s="9" t="s">
        <v>141</v>
      </c>
      <c r="E342" s="9" t="s">
        <v>144</v>
      </c>
      <c r="F342" s="9" t="s">
        <v>333</v>
      </c>
      <c r="G342" s="9" t="s">
        <v>26</v>
      </c>
      <c r="H342" s="10">
        <v>209974.91</v>
      </c>
      <c r="I342" s="10">
        <v>13322.14</v>
      </c>
      <c r="J342" s="10">
        <v>241423.96</v>
      </c>
      <c r="K342" s="10">
        <v>161290.51</v>
      </c>
      <c r="L342" s="10">
        <v>67295.63</v>
      </c>
      <c r="M342" s="10">
        <v>142907.66</v>
      </c>
      <c r="N342" s="10">
        <v>101221.05</v>
      </c>
      <c r="O342" s="10">
        <v>90150.92</v>
      </c>
      <c r="P342" s="10">
        <v>147603.85999999999</v>
      </c>
      <c r="Q342" s="10">
        <v>99528.33</v>
      </c>
      <c r="R342" s="11">
        <f t="shared" si="0"/>
        <v>1274718.9700000002</v>
      </c>
    </row>
    <row r="343" spans="1:18" ht="12.75" x14ac:dyDescent="0.2">
      <c r="A343" s="9" t="s">
        <v>332</v>
      </c>
      <c r="B343" s="9" t="s">
        <v>17</v>
      </c>
      <c r="C343" s="9" t="s">
        <v>18</v>
      </c>
      <c r="D343" s="9" t="s">
        <v>141</v>
      </c>
      <c r="E343" s="9" t="s">
        <v>144</v>
      </c>
      <c r="F343" s="9" t="s">
        <v>333</v>
      </c>
      <c r="G343" s="9" t="s">
        <v>27</v>
      </c>
      <c r="H343" s="10">
        <v>6166397.7300000004</v>
      </c>
      <c r="I343" s="10">
        <v>1307606.3999999999</v>
      </c>
      <c r="J343" s="10">
        <v>1149260.31</v>
      </c>
      <c r="K343" s="10">
        <v>2663227.4900000002</v>
      </c>
      <c r="L343" s="9">
        <v>0</v>
      </c>
      <c r="M343" s="9">
        <v>0</v>
      </c>
      <c r="N343" s="9">
        <v>0</v>
      </c>
      <c r="O343" s="9">
        <v>0</v>
      </c>
      <c r="P343" s="10">
        <v>1706281.14</v>
      </c>
      <c r="Q343" s="9">
        <v>0</v>
      </c>
      <c r="R343" s="11">
        <f t="shared" si="0"/>
        <v>12992773.070000002</v>
      </c>
    </row>
    <row r="344" spans="1:18" ht="12.75" x14ac:dyDescent="0.2">
      <c r="A344" s="9" t="s">
        <v>332</v>
      </c>
      <c r="B344" s="9" t="s">
        <v>17</v>
      </c>
      <c r="C344" s="9" t="s">
        <v>18</v>
      </c>
      <c r="D344" s="9" t="s">
        <v>141</v>
      </c>
      <c r="E344" s="9" t="s">
        <v>144</v>
      </c>
      <c r="F344" s="9" t="s">
        <v>333</v>
      </c>
      <c r="G344" s="9" t="s">
        <v>28</v>
      </c>
      <c r="H344" s="9" t="s">
        <v>29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10">
        <v>29795.49</v>
      </c>
      <c r="O344" s="9">
        <v>0</v>
      </c>
      <c r="P344" s="9">
        <v>0</v>
      </c>
      <c r="Q344" s="9">
        <v>0</v>
      </c>
      <c r="R344" s="12">
        <f t="shared" si="0"/>
        <v>29795.49</v>
      </c>
    </row>
    <row r="345" spans="1:18" ht="12.75" x14ac:dyDescent="0.2">
      <c r="A345" s="9" t="s">
        <v>332</v>
      </c>
      <c r="B345" s="9" t="s">
        <v>17</v>
      </c>
      <c r="C345" s="9" t="s">
        <v>18</v>
      </c>
      <c r="D345" s="9" t="s">
        <v>141</v>
      </c>
      <c r="E345" s="9" t="s">
        <v>144</v>
      </c>
      <c r="F345" s="9" t="s">
        <v>333</v>
      </c>
      <c r="G345" s="9" t="s">
        <v>30</v>
      </c>
      <c r="H345" s="10">
        <v>8734.9</v>
      </c>
      <c r="I345" s="10">
        <v>9060.65</v>
      </c>
      <c r="J345" s="10">
        <v>7119.19</v>
      </c>
      <c r="K345" s="10">
        <v>33112.300000000003</v>
      </c>
      <c r="L345" s="10">
        <v>18436.490000000002</v>
      </c>
      <c r="M345" s="10">
        <v>27767.64</v>
      </c>
      <c r="N345" s="10">
        <v>52581741.780000001</v>
      </c>
      <c r="O345" s="10">
        <v>17848.79</v>
      </c>
      <c r="P345" s="10">
        <v>24085.439999999999</v>
      </c>
      <c r="Q345" s="10">
        <v>22415.07</v>
      </c>
      <c r="R345" s="11">
        <f t="shared" si="0"/>
        <v>52750322.25</v>
      </c>
    </row>
    <row r="346" spans="1:18" ht="12.75" x14ac:dyDescent="0.2">
      <c r="A346" s="9" t="s">
        <v>332</v>
      </c>
      <c r="B346" s="9" t="s">
        <v>17</v>
      </c>
      <c r="C346" s="9" t="s">
        <v>18</v>
      </c>
      <c r="D346" s="9" t="s">
        <v>141</v>
      </c>
      <c r="E346" s="9" t="s">
        <v>144</v>
      </c>
      <c r="F346" s="9" t="s">
        <v>333</v>
      </c>
      <c r="G346" s="9" t="s">
        <v>47</v>
      </c>
      <c r="H346" s="10">
        <v>18672922.48</v>
      </c>
      <c r="I346" s="10">
        <v>13233105.18</v>
      </c>
      <c r="J346" s="10">
        <v>21062141.649999999</v>
      </c>
      <c r="K346" s="10">
        <v>20901453.780000001</v>
      </c>
      <c r="L346" s="10">
        <v>19292495.109999999</v>
      </c>
      <c r="M346" s="10">
        <v>22721546.670000002</v>
      </c>
      <c r="N346" s="10">
        <v>21724955.93</v>
      </c>
      <c r="O346" s="10">
        <v>23137746.73</v>
      </c>
      <c r="P346" s="10">
        <v>18215390.190000001</v>
      </c>
      <c r="Q346" s="10">
        <v>17410874.18</v>
      </c>
      <c r="R346" s="11">
        <f t="shared" si="0"/>
        <v>196372631.90000001</v>
      </c>
    </row>
    <row r="347" spans="1:18" ht="12.75" x14ac:dyDescent="0.2">
      <c r="A347" s="9" t="s">
        <v>332</v>
      </c>
      <c r="B347" s="9" t="s">
        <v>17</v>
      </c>
      <c r="C347" s="9" t="s">
        <v>18</v>
      </c>
      <c r="D347" s="9" t="s">
        <v>141</v>
      </c>
      <c r="E347" s="9" t="s">
        <v>144</v>
      </c>
      <c r="F347" s="9" t="s">
        <v>333</v>
      </c>
      <c r="G347" s="9" t="s">
        <v>43</v>
      </c>
      <c r="H347" s="10">
        <v>21222848.640000001</v>
      </c>
      <c r="I347" s="10">
        <v>35523053.579999998</v>
      </c>
      <c r="J347" s="10">
        <v>21651118.41</v>
      </c>
      <c r="K347" s="9">
        <v>0</v>
      </c>
      <c r="L347" s="10">
        <v>21510953.890000001</v>
      </c>
      <c r="M347" s="10">
        <v>22865734.280000001</v>
      </c>
      <c r="N347" s="10">
        <v>22659762.25</v>
      </c>
      <c r="O347" s="10">
        <v>23467807.079999998</v>
      </c>
      <c r="P347" s="9">
        <v>0</v>
      </c>
      <c r="Q347" s="10">
        <v>26979081.260000002</v>
      </c>
      <c r="R347" s="11">
        <f t="shared" si="0"/>
        <v>195880359.38999999</v>
      </c>
    </row>
    <row r="348" spans="1:18" ht="12.75" x14ac:dyDescent="0.2">
      <c r="A348" s="9" t="s">
        <v>332</v>
      </c>
      <c r="B348" s="9" t="s">
        <v>17</v>
      </c>
      <c r="C348" s="9" t="s">
        <v>18</v>
      </c>
      <c r="D348" s="9" t="s">
        <v>141</v>
      </c>
      <c r="E348" s="9" t="s">
        <v>144</v>
      </c>
      <c r="F348" s="9" t="s">
        <v>333</v>
      </c>
      <c r="G348" s="9" t="s">
        <v>145</v>
      </c>
      <c r="H348" s="10">
        <v>3108623.39</v>
      </c>
      <c r="I348" s="10">
        <v>1556870.3</v>
      </c>
      <c r="J348" s="10">
        <v>1804996.02</v>
      </c>
      <c r="K348" s="10">
        <v>1051282.58</v>
      </c>
      <c r="L348" s="10">
        <v>1962382.3</v>
      </c>
      <c r="M348" s="10">
        <v>3614741.9</v>
      </c>
      <c r="N348" s="10">
        <v>2079999.26</v>
      </c>
      <c r="O348" s="10">
        <v>2490787.15</v>
      </c>
      <c r="P348" s="9">
        <v>0</v>
      </c>
      <c r="Q348" s="9">
        <v>0</v>
      </c>
      <c r="R348" s="11">
        <f t="shared" si="0"/>
        <v>17669682.900000002</v>
      </c>
    </row>
    <row r="349" spans="1:18" ht="12.75" x14ac:dyDescent="0.2">
      <c r="A349" s="9" t="s">
        <v>332</v>
      </c>
      <c r="B349" s="9" t="s">
        <v>17</v>
      </c>
      <c r="C349" s="9" t="s">
        <v>18</v>
      </c>
      <c r="D349" s="9" t="s">
        <v>141</v>
      </c>
      <c r="E349" s="9" t="s">
        <v>144</v>
      </c>
      <c r="F349" s="9" t="s">
        <v>333</v>
      </c>
      <c r="G349" s="9" t="s">
        <v>139</v>
      </c>
      <c r="H349" s="10">
        <v>5240544.79</v>
      </c>
      <c r="I349" s="10">
        <v>2801340.12</v>
      </c>
      <c r="J349" s="10">
        <v>2213860.16</v>
      </c>
      <c r="K349" s="10">
        <v>2573949.21</v>
      </c>
      <c r="L349" s="10">
        <v>2560749.98</v>
      </c>
      <c r="M349" s="10">
        <v>2423838.7000000002</v>
      </c>
      <c r="N349" s="10">
        <v>2468946.11</v>
      </c>
      <c r="O349" s="10">
        <v>2542212.25</v>
      </c>
      <c r="P349" s="10">
        <v>2376770.5499999998</v>
      </c>
      <c r="Q349" s="10">
        <v>2384699.09</v>
      </c>
      <c r="R349" s="11">
        <f t="shared" si="0"/>
        <v>27586910.960000001</v>
      </c>
    </row>
    <row r="350" spans="1:18" ht="12.75" x14ac:dyDescent="0.2">
      <c r="A350" s="9" t="s">
        <v>332</v>
      </c>
      <c r="B350" s="9" t="s">
        <v>17</v>
      </c>
      <c r="C350" s="9" t="s">
        <v>18</v>
      </c>
      <c r="D350" s="9" t="s">
        <v>141</v>
      </c>
      <c r="E350" s="9" t="s">
        <v>144</v>
      </c>
      <c r="F350" s="9" t="s">
        <v>333</v>
      </c>
      <c r="G350" s="9" t="s">
        <v>48</v>
      </c>
      <c r="H350" s="10">
        <v>3539444.83</v>
      </c>
      <c r="I350" s="10">
        <v>5153052.5</v>
      </c>
      <c r="J350" s="10">
        <v>6648649.5300000003</v>
      </c>
      <c r="K350" s="10">
        <v>6883164.9900000002</v>
      </c>
      <c r="L350" s="10">
        <v>7400631.0700000003</v>
      </c>
      <c r="M350" s="10">
        <v>7576770.79</v>
      </c>
      <c r="N350" s="10">
        <v>7789264.2000000002</v>
      </c>
      <c r="O350" s="10">
        <v>7922909.7000000002</v>
      </c>
      <c r="P350" s="10">
        <v>12860145.68</v>
      </c>
      <c r="Q350" s="10">
        <v>7651459.0599999996</v>
      </c>
      <c r="R350" s="11">
        <f t="shared" si="0"/>
        <v>73425492.350000009</v>
      </c>
    </row>
    <row r="351" spans="1:18" ht="12.75" x14ac:dyDescent="0.2">
      <c r="A351" s="9" t="s">
        <v>332</v>
      </c>
      <c r="B351" s="9" t="s">
        <v>17</v>
      </c>
      <c r="C351" s="9" t="s">
        <v>18</v>
      </c>
      <c r="D351" s="9" t="s">
        <v>141</v>
      </c>
      <c r="E351" s="9" t="s">
        <v>144</v>
      </c>
      <c r="F351" s="9" t="s">
        <v>333</v>
      </c>
      <c r="G351" s="9" t="s">
        <v>146</v>
      </c>
      <c r="H351" s="10">
        <v>21518405.48</v>
      </c>
      <c r="I351" s="10">
        <v>48317188.359999999</v>
      </c>
      <c r="J351" s="10">
        <v>39884895.119999997</v>
      </c>
      <c r="K351" s="10">
        <v>38152042.82</v>
      </c>
      <c r="L351" s="10">
        <v>38552434.719999999</v>
      </c>
      <c r="M351" s="10">
        <v>38196603.799999997</v>
      </c>
      <c r="N351" s="10">
        <v>38710405.509999998</v>
      </c>
      <c r="O351" s="10">
        <v>40096846.789999999</v>
      </c>
      <c r="P351" s="10">
        <v>44614726.170000002</v>
      </c>
      <c r="Q351" s="10">
        <v>43163722.039999999</v>
      </c>
      <c r="R351" s="11">
        <f t="shared" si="0"/>
        <v>391207270.81000006</v>
      </c>
    </row>
    <row r="352" spans="1:18" ht="12.75" x14ac:dyDescent="0.2">
      <c r="A352" s="9" t="s">
        <v>332</v>
      </c>
      <c r="B352" s="9" t="s">
        <v>17</v>
      </c>
      <c r="C352" s="9" t="s">
        <v>18</v>
      </c>
      <c r="D352" s="9" t="s">
        <v>50</v>
      </c>
      <c r="E352" s="9" t="s">
        <v>147</v>
      </c>
      <c r="F352" s="9" t="s">
        <v>333</v>
      </c>
      <c r="G352" s="9" t="s">
        <v>21</v>
      </c>
      <c r="H352" s="10">
        <v>407518.63</v>
      </c>
      <c r="I352" s="10">
        <v>3970.83</v>
      </c>
      <c r="J352" s="10">
        <v>13559.35</v>
      </c>
      <c r="K352" s="10">
        <v>8995.92</v>
      </c>
      <c r="L352" s="10">
        <v>7690.85</v>
      </c>
      <c r="M352" s="10">
        <v>13988.78</v>
      </c>
      <c r="N352" s="10">
        <v>9754.27</v>
      </c>
      <c r="O352" s="10">
        <v>5429.58</v>
      </c>
      <c r="P352" s="10">
        <v>8807.08</v>
      </c>
      <c r="Q352" s="10">
        <v>9761.26</v>
      </c>
      <c r="R352" s="11">
        <f t="shared" si="0"/>
        <v>489476.55000000005</v>
      </c>
    </row>
    <row r="353" spans="1:18" ht="12.75" x14ac:dyDescent="0.2">
      <c r="A353" s="9" t="s">
        <v>332</v>
      </c>
      <c r="B353" s="9" t="s">
        <v>17</v>
      </c>
      <c r="C353" s="9" t="s">
        <v>18</v>
      </c>
      <c r="D353" s="9" t="s">
        <v>50</v>
      </c>
      <c r="E353" s="9" t="s">
        <v>147</v>
      </c>
      <c r="F353" s="9" t="s">
        <v>333</v>
      </c>
      <c r="G353" s="9" t="s">
        <v>24</v>
      </c>
      <c r="H353" s="10">
        <v>439774.9</v>
      </c>
      <c r="I353" s="10">
        <v>12015.68</v>
      </c>
      <c r="J353" s="10">
        <v>30769.07</v>
      </c>
      <c r="K353" s="10">
        <v>100534.3</v>
      </c>
      <c r="L353" s="10">
        <v>95278.57</v>
      </c>
      <c r="M353" s="10">
        <v>95739.03</v>
      </c>
      <c r="N353" s="10">
        <v>83258.39</v>
      </c>
      <c r="O353" s="10">
        <v>63891.25</v>
      </c>
      <c r="P353" s="10">
        <v>87896.17</v>
      </c>
      <c r="Q353" s="10">
        <v>98493.66</v>
      </c>
      <c r="R353" s="11">
        <f t="shared" si="0"/>
        <v>1107651.02</v>
      </c>
    </row>
    <row r="354" spans="1:18" ht="12.75" x14ac:dyDescent="0.2">
      <c r="A354" s="9" t="s">
        <v>332</v>
      </c>
      <c r="B354" s="9" t="s">
        <v>17</v>
      </c>
      <c r="C354" s="9" t="s">
        <v>18</v>
      </c>
      <c r="D354" s="9" t="s">
        <v>50</v>
      </c>
      <c r="E354" s="9" t="s">
        <v>147</v>
      </c>
      <c r="F354" s="9" t="s">
        <v>333</v>
      </c>
      <c r="G354" s="9" t="s">
        <v>24</v>
      </c>
      <c r="H354" s="9" t="s">
        <v>29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10">
        <v>10704.77</v>
      </c>
      <c r="R354" s="12">
        <f t="shared" si="0"/>
        <v>10704.77</v>
      </c>
    </row>
    <row r="355" spans="1:18" ht="12.75" x14ac:dyDescent="0.2">
      <c r="A355" s="9" t="s">
        <v>332</v>
      </c>
      <c r="B355" s="9" t="s">
        <v>17</v>
      </c>
      <c r="C355" s="9" t="s">
        <v>18</v>
      </c>
      <c r="D355" s="9" t="s">
        <v>50</v>
      </c>
      <c r="E355" s="9" t="s">
        <v>147</v>
      </c>
      <c r="F355" s="9" t="s">
        <v>333</v>
      </c>
      <c r="G355" s="9" t="s">
        <v>25</v>
      </c>
      <c r="H355" s="10">
        <v>3204.75</v>
      </c>
      <c r="I355" s="10">
        <v>17239.78</v>
      </c>
      <c r="J355" s="10">
        <v>55992.1</v>
      </c>
      <c r="K355" s="10">
        <v>5491.05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11">
        <f t="shared" si="0"/>
        <v>81927.680000000008</v>
      </c>
    </row>
    <row r="356" spans="1:18" ht="12.75" x14ac:dyDescent="0.2">
      <c r="A356" s="9" t="s">
        <v>332</v>
      </c>
      <c r="B356" s="9" t="s">
        <v>17</v>
      </c>
      <c r="C356" s="9" t="s">
        <v>18</v>
      </c>
      <c r="D356" s="9" t="s">
        <v>50</v>
      </c>
      <c r="E356" s="9" t="s">
        <v>147</v>
      </c>
      <c r="F356" s="9" t="s">
        <v>333</v>
      </c>
      <c r="G356" s="9" t="s">
        <v>26</v>
      </c>
      <c r="H356" s="10">
        <v>7691.39</v>
      </c>
      <c r="I356" s="9">
        <v>487.99</v>
      </c>
      <c r="J356" s="9">
        <v>0</v>
      </c>
      <c r="K356" s="9">
        <v>0</v>
      </c>
      <c r="L356" s="10">
        <v>3159.66</v>
      </c>
      <c r="M356" s="10">
        <v>3187.45</v>
      </c>
      <c r="N356" s="9">
        <v>0</v>
      </c>
      <c r="O356" s="10">
        <v>2175.36</v>
      </c>
      <c r="P356" s="9">
        <v>0</v>
      </c>
      <c r="Q356" s="9">
        <v>0</v>
      </c>
      <c r="R356" s="11">
        <f t="shared" si="0"/>
        <v>16701.850000000002</v>
      </c>
    </row>
    <row r="357" spans="1:18" ht="12.75" x14ac:dyDescent="0.2">
      <c r="A357" s="9" t="s">
        <v>332</v>
      </c>
      <c r="B357" s="9" t="s">
        <v>17</v>
      </c>
      <c r="C357" s="9" t="s">
        <v>18</v>
      </c>
      <c r="D357" s="9" t="s">
        <v>50</v>
      </c>
      <c r="E357" s="9" t="s">
        <v>147</v>
      </c>
      <c r="F357" s="9" t="s">
        <v>333</v>
      </c>
      <c r="G357" s="9" t="s">
        <v>26</v>
      </c>
      <c r="H357" s="9" t="s">
        <v>29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10">
        <v>1498.5</v>
      </c>
      <c r="P357" s="9">
        <v>0</v>
      </c>
      <c r="Q357" s="9">
        <v>0</v>
      </c>
      <c r="R357" s="12">
        <f t="shared" si="0"/>
        <v>1498.5</v>
      </c>
    </row>
    <row r="358" spans="1:18" ht="12.75" x14ac:dyDescent="0.2">
      <c r="A358" s="9" t="s">
        <v>332</v>
      </c>
      <c r="B358" s="9" t="s">
        <v>17</v>
      </c>
      <c r="C358" s="9" t="s">
        <v>18</v>
      </c>
      <c r="D358" s="9" t="s">
        <v>50</v>
      </c>
      <c r="E358" s="9" t="s">
        <v>147</v>
      </c>
      <c r="F358" s="9" t="s">
        <v>333</v>
      </c>
      <c r="G358" s="9" t="s">
        <v>38</v>
      </c>
      <c r="H358" s="10">
        <v>106731.07</v>
      </c>
      <c r="I358" s="10">
        <v>203131.8</v>
      </c>
      <c r="J358" s="10">
        <v>354749.08</v>
      </c>
      <c r="K358" s="10">
        <v>742110.18</v>
      </c>
      <c r="L358" s="10">
        <v>318972.08</v>
      </c>
      <c r="M358" s="10">
        <v>487847.25</v>
      </c>
      <c r="N358" s="10">
        <v>275304.28999999998</v>
      </c>
      <c r="O358" s="10">
        <v>117347.01</v>
      </c>
      <c r="P358" s="10">
        <v>444356.42</v>
      </c>
      <c r="Q358" s="10">
        <v>245473.75</v>
      </c>
      <c r="R358" s="11">
        <f t="shared" si="0"/>
        <v>3296022.9299999997</v>
      </c>
    </row>
    <row r="359" spans="1:18" ht="12.75" x14ac:dyDescent="0.2">
      <c r="A359" s="9" t="s">
        <v>332</v>
      </c>
      <c r="B359" s="9" t="s">
        <v>17</v>
      </c>
      <c r="C359" s="9" t="s">
        <v>18</v>
      </c>
      <c r="D359" s="9" t="s">
        <v>50</v>
      </c>
      <c r="E359" s="9" t="s">
        <v>147</v>
      </c>
      <c r="F359" s="9" t="s">
        <v>333</v>
      </c>
      <c r="G359" s="9" t="s">
        <v>27</v>
      </c>
      <c r="H359" s="10">
        <v>52942.39</v>
      </c>
      <c r="I359" s="10">
        <v>11226.62</v>
      </c>
      <c r="J359" s="9">
        <v>0</v>
      </c>
      <c r="K359" s="9">
        <v>0</v>
      </c>
      <c r="L359" s="9">
        <v>0</v>
      </c>
      <c r="M359" s="9">
        <v>0</v>
      </c>
      <c r="N359" s="10">
        <v>295486.12</v>
      </c>
      <c r="O359" s="9">
        <v>0</v>
      </c>
      <c r="P359" s="9">
        <v>0</v>
      </c>
      <c r="Q359" s="9">
        <v>0</v>
      </c>
      <c r="R359" s="11">
        <f t="shared" si="0"/>
        <v>359655.13</v>
      </c>
    </row>
    <row r="360" spans="1:18" ht="12.75" x14ac:dyDescent="0.2">
      <c r="A360" s="9" t="s">
        <v>332</v>
      </c>
      <c r="B360" s="9" t="s">
        <v>17</v>
      </c>
      <c r="C360" s="9" t="s">
        <v>18</v>
      </c>
      <c r="D360" s="9" t="s">
        <v>50</v>
      </c>
      <c r="E360" s="9" t="s">
        <v>147</v>
      </c>
      <c r="F360" s="9" t="s">
        <v>333</v>
      </c>
      <c r="G360" s="9" t="s">
        <v>27</v>
      </c>
      <c r="H360" s="10">
        <v>706815.73</v>
      </c>
      <c r="I360" s="10">
        <v>149882.76999999999</v>
      </c>
      <c r="J360" s="10">
        <v>108459.68</v>
      </c>
      <c r="K360" s="10">
        <v>118690.03</v>
      </c>
      <c r="L360" s="10">
        <v>162173.14000000001</v>
      </c>
      <c r="M360" s="10">
        <v>641954.5</v>
      </c>
      <c r="N360" s="10">
        <v>89192.93</v>
      </c>
      <c r="O360" s="10">
        <v>73426.27</v>
      </c>
      <c r="P360" s="10">
        <v>235460.05</v>
      </c>
      <c r="Q360" s="10">
        <v>73851.509999999995</v>
      </c>
      <c r="R360" s="11">
        <f t="shared" si="0"/>
        <v>2359906.61</v>
      </c>
    </row>
    <row r="361" spans="1:18" ht="12.75" x14ac:dyDescent="0.2">
      <c r="A361" s="9" t="s">
        <v>332</v>
      </c>
      <c r="B361" s="9" t="s">
        <v>17</v>
      </c>
      <c r="C361" s="9" t="s">
        <v>18</v>
      </c>
      <c r="D361" s="9" t="s">
        <v>50</v>
      </c>
      <c r="E361" s="9" t="s">
        <v>147</v>
      </c>
      <c r="F361" s="9" t="s">
        <v>333</v>
      </c>
      <c r="G361" s="9" t="s">
        <v>28</v>
      </c>
      <c r="H361" s="10">
        <v>1011998.12</v>
      </c>
      <c r="I361" s="10">
        <v>1384081.63</v>
      </c>
      <c r="J361" s="10">
        <v>207834.85</v>
      </c>
      <c r="K361" s="10">
        <v>23634.44</v>
      </c>
      <c r="L361" s="10">
        <v>10748.31</v>
      </c>
      <c r="M361" s="10">
        <v>14517.1</v>
      </c>
      <c r="N361" s="10">
        <v>17516.560000000001</v>
      </c>
      <c r="O361" s="10">
        <v>165622.54</v>
      </c>
      <c r="P361" s="10">
        <v>13877.21</v>
      </c>
      <c r="Q361" s="10">
        <v>11099.31</v>
      </c>
      <c r="R361" s="11">
        <f t="shared" si="0"/>
        <v>2860930.0700000003</v>
      </c>
    </row>
    <row r="362" spans="1:18" ht="12.75" x14ac:dyDescent="0.2">
      <c r="A362" s="9" t="s">
        <v>332</v>
      </c>
      <c r="B362" s="9" t="s">
        <v>17</v>
      </c>
      <c r="C362" s="9" t="s">
        <v>18</v>
      </c>
      <c r="D362" s="9" t="s">
        <v>50</v>
      </c>
      <c r="E362" s="9" t="s">
        <v>147</v>
      </c>
      <c r="F362" s="9" t="s">
        <v>333</v>
      </c>
      <c r="G362" s="9" t="s">
        <v>34</v>
      </c>
      <c r="H362" s="10">
        <v>33959.89</v>
      </c>
      <c r="I362" s="10">
        <v>33347</v>
      </c>
      <c r="J362" s="10">
        <v>18510.310000000001</v>
      </c>
      <c r="K362" s="10">
        <v>5207.3</v>
      </c>
      <c r="L362" s="10">
        <v>4416.84</v>
      </c>
      <c r="M362" s="10">
        <v>4469.37</v>
      </c>
      <c r="N362" s="10">
        <v>5394.73</v>
      </c>
      <c r="O362" s="10">
        <v>5471.08</v>
      </c>
      <c r="P362" s="10">
        <v>4794.66</v>
      </c>
      <c r="Q362" s="10">
        <v>5299</v>
      </c>
      <c r="R362" s="11">
        <f t="shared" si="0"/>
        <v>120870.18</v>
      </c>
    </row>
    <row r="363" spans="1:18" ht="12.75" x14ac:dyDescent="0.2">
      <c r="A363" s="9" t="s">
        <v>332</v>
      </c>
      <c r="B363" s="9" t="s">
        <v>17</v>
      </c>
      <c r="C363" s="9" t="s">
        <v>18</v>
      </c>
      <c r="D363" s="9" t="s">
        <v>50</v>
      </c>
      <c r="E363" s="9" t="s">
        <v>148</v>
      </c>
      <c r="F363" s="9" t="s">
        <v>333</v>
      </c>
      <c r="G363" s="9" t="s">
        <v>21</v>
      </c>
      <c r="H363" s="10">
        <v>116433.9</v>
      </c>
      <c r="I363" s="10">
        <v>1134.52</v>
      </c>
      <c r="J363" s="10">
        <v>3874.1</v>
      </c>
      <c r="K363" s="10">
        <v>2570.2600000000002</v>
      </c>
      <c r="L363" s="10">
        <v>2197.39</v>
      </c>
      <c r="M363" s="10">
        <v>2741.5</v>
      </c>
      <c r="N363" s="10">
        <v>2786.93</v>
      </c>
      <c r="O363" s="10">
        <v>2853.28</v>
      </c>
      <c r="P363" s="10">
        <v>2516.31</v>
      </c>
      <c r="Q363" s="10">
        <v>2788.93</v>
      </c>
      <c r="R363" s="11">
        <f t="shared" si="0"/>
        <v>139897.12</v>
      </c>
    </row>
    <row r="364" spans="1:18" ht="12.75" x14ac:dyDescent="0.2">
      <c r="A364" s="9" t="s">
        <v>332</v>
      </c>
      <c r="B364" s="9" t="s">
        <v>17</v>
      </c>
      <c r="C364" s="9" t="s">
        <v>18</v>
      </c>
      <c r="D364" s="9" t="s">
        <v>50</v>
      </c>
      <c r="E364" s="9" t="s">
        <v>148</v>
      </c>
      <c r="F364" s="9" t="s">
        <v>333</v>
      </c>
      <c r="G364" s="9" t="s">
        <v>24</v>
      </c>
      <c r="H364" s="10">
        <v>582169.48</v>
      </c>
      <c r="I364" s="10">
        <v>15906.24</v>
      </c>
      <c r="J364" s="10">
        <v>49198.55</v>
      </c>
      <c r="K364" s="10">
        <v>114301.51</v>
      </c>
      <c r="L364" s="10">
        <v>95714.91</v>
      </c>
      <c r="M364" s="10">
        <v>129427.96</v>
      </c>
      <c r="N364" s="10">
        <v>126468.44</v>
      </c>
      <c r="O364" s="10">
        <v>97049.99</v>
      </c>
      <c r="P364" s="10">
        <v>110211.02</v>
      </c>
      <c r="Q364" s="10">
        <v>124008.69</v>
      </c>
      <c r="R364" s="11">
        <f t="shared" si="0"/>
        <v>1444456.79</v>
      </c>
    </row>
    <row r="365" spans="1:18" ht="12.75" x14ac:dyDescent="0.2">
      <c r="A365" s="9" t="s">
        <v>332</v>
      </c>
      <c r="B365" s="9" t="s">
        <v>17</v>
      </c>
      <c r="C365" s="9" t="s">
        <v>36</v>
      </c>
      <c r="D365" s="9" t="s">
        <v>50</v>
      </c>
      <c r="E365" s="9" t="s">
        <v>148</v>
      </c>
      <c r="F365" s="9" t="s">
        <v>333</v>
      </c>
      <c r="G365" s="9" t="s">
        <v>37</v>
      </c>
      <c r="H365" s="10">
        <v>174650.84</v>
      </c>
      <c r="I365" s="10">
        <v>62452.56</v>
      </c>
      <c r="J365" s="10">
        <v>53582.02</v>
      </c>
      <c r="K365" s="10">
        <v>27062.74</v>
      </c>
      <c r="L365" s="10">
        <v>33837.440000000002</v>
      </c>
      <c r="M365" s="10">
        <v>76277.98</v>
      </c>
      <c r="N365" s="10">
        <v>55568.44</v>
      </c>
      <c r="O365" s="10">
        <v>68988.39</v>
      </c>
      <c r="P365" s="10">
        <v>71913.179999999993</v>
      </c>
      <c r="Q365" s="10">
        <v>66263.41</v>
      </c>
      <c r="R365" s="11">
        <f t="shared" si="0"/>
        <v>690596.99999999988</v>
      </c>
    </row>
    <row r="366" spans="1:18" ht="12.75" x14ac:dyDescent="0.2">
      <c r="A366" s="9" t="s">
        <v>332</v>
      </c>
      <c r="B366" s="9" t="s">
        <v>17</v>
      </c>
      <c r="C366" s="9" t="s">
        <v>36</v>
      </c>
      <c r="D366" s="9" t="s">
        <v>50</v>
      </c>
      <c r="E366" s="9" t="s">
        <v>148</v>
      </c>
      <c r="F366" s="9" t="s">
        <v>333</v>
      </c>
      <c r="G366" s="9" t="s">
        <v>37</v>
      </c>
      <c r="H366" s="10">
        <v>727711.85</v>
      </c>
      <c r="I366" s="10">
        <v>260219</v>
      </c>
      <c r="J366" s="10">
        <v>223258.42</v>
      </c>
      <c r="K366" s="10">
        <v>112761.43</v>
      </c>
      <c r="L366" s="10">
        <v>140989.32</v>
      </c>
      <c r="M366" s="10">
        <v>317824.93</v>
      </c>
      <c r="N366" s="10">
        <v>231535.16</v>
      </c>
      <c r="O366" s="10">
        <v>287451.61</v>
      </c>
      <c r="P366" s="10">
        <v>299638.26</v>
      </c>
      <c r="Q366" s="10">
        <v>276097.53000000003</v>
      </c>
      <c r="R366" s="11">
        <f t="shared" si="0"/>
        <v>2877487.51</v>
      </c>
    </row>
    <row r="367" spans="1:18" ht="12.75" x14ac:dyDescent="0.2">
      <c r="A367" s="9" t="s">
        <v>332</v>
      </c>
      <c r="B367" s="9" t="s">
        <v>17</v>
      </c>
      <c r="C367" s="9" t="s">
        <v>18</v>
      </c>
      <c r="D367" s="9" t="s">
        <v>50</v>
      </c>
      <c r="E367" s="9" t="s">
        <v>148</v>
      </c>
      <c r="F367" s="9" t="s">
        <v>333</v>
      </c>
      <c r="G367" s="9" t="s">
        <v>26</v>
      </c>
      <c r="H367" s="9" t="s">
        <v>29</v>
      </c>
      <c r="I367" s="9">
        <v>0</v>
      </c>
      <c r="J367" s="10">
        <v>1920.31</v>
      </c>
      <c r="K367" s="9">
        <v>0</v>
      </c>
      <c r="L367" s="9">
        <v>0</v>
      </c>
      <c r="M367" s="9">
        <v>0</v>
      </c>
      <c r="N367" s="10">
        <v>4023.98</v>
      </c>
      <c r="O367" s="10">
        <v>1845.98</v>
      </c>
      <c r="P367" s="9">
        <v>0</v>
      </c>
      <c r="Q367" s="9">
        <v>0</v>
      </c>
      <c r="R367" s="12">
        <f t="shared" si="0"/>
        <v>7790.27</v>
      </c>
    </row>
    <row r="368" spans="1:18" ht="12.75" x14ac:dyDescent="0.2">
      <c r="A368" s="9" t="s">
        <v>332</v>
      </c>
      <c r="B368" s="9" t="s">
        <v>17</v>
      </c>
      <c r="C368" s="9" t="s">
        <v>18</v>
      </c>
      <c r="D368" s="9" t="s">
        <v>50</v>
      </c>
      <c r="E368" s="9" t="s">
        <v>148</v>
      </c>
      <c r="F368" s="9" t="s">
        <v>333</v>
      </c>
      <c r="G368" s="9" t="s">
        <v>27</v>
      </c>
      <c r="H368" s="10">
        <v>848710.41</v>
      </c>
      <c r="I368" s="10">
        <v>179972.04</v>
      </c>
      <c r="J368" s="10">
        <v>567510.84</v>
      </c>
      <c r="K368" s="10">
        <v>91876.66</v>
      </c>
      <c r="L368" s="10">
        <v>91413.93</v>
      </c>
      <c r="M368" s="10">
        <v>133123.22</v>
      </c>
      <c r="N368" s="10">
        <v>231597.18</v>
      </c>
      <c r="O368" s="10">
        <v>110139.41</v>
      </c>
      <c r="P368" s="10">
        <v>99012.58</v>
      </c>
      <c r="Q368" s="10">
        <v>110777.26</v>
      </c>
      <c r="R368" s="11">
        <f t="shared" si="0"/>
        <v>2464133.5299999998</v>
      </c>
    </row>
    <row r="369" spans="1:18" ht="12.75" x14ac:dyDescent="0.2">
      <c r="A369" s="9" t="s">
        <v>332</v>
      </c>
      <c r="B369" s="9" t="s">
        <v>17</v>
      </c>
      <c r="C369" s="9" t="s">
        <v>18</v>
      </c>
      <c r="D369" s="9" t="s">
        <v>50</v>
      </c>
      <c r="E369" s="9" t="s">
        <v>148</v>
      </c>
      <c r="F369" s="9" t="s">
        <v>333</v>
      </c>
      <c r="G369" s="9" t="s">
        <v>28</v>
      </c>
      <c r="H369" s="9" t="s">
        <v>29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10">
        <v>15712.42</v>
      </c>
      <c r="O369" s="9">
        <v>0</v>
      </c>
      <c r="P369" s="9">
        <v>0</v>
      </c>
      <c r="Q369" s="9">
        <v>0</v>
      </c>
      <c r="R369" s="12">
        <f t="shared" si="0"/>
        <v>15712.42</v>
      </c>
    </row>
    <row r="370" spans="1:18" ht="12.75" x14ac:dyDescent="0.2">
      <c r="A370" s="9" t="s">
        <v>332</v>
      </c>
      <c r="B370" s="9" t="s">
        <v>17</v>
      </c>
      <c r="C370" s="9" t="s">
        <v>18</v>
      </c>
      <c r="D370" s="9" t="s">
        <v>130</v>
      </c>
      <c r="E370" s="9" t="s">
        <v>149</v>
      </c>
      <c r="F370" s="9" t="s">
        <v>333</v>
      </c>
      <c r="G370" s="9" t="s">
        <v>21</v>
      </c>
      <c r="H370" s="10">
        <v>71145.34</v>
      </c>
      <c r="I370" s="9">
        <v>693.23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11">
        <f t="shared" si="0"/>
        <v>71838.569999999992</v>
      </c>
    </row>
    <row r="371" spans="1:18" ht="12.75" x14ac:dyDescent="0.2">
      <c r="A371" s="9" t="s">
        <v>332</v>
      </c>
      <c r="B371" s="9" t="s">
        <v>17</v>
      </c>
      <c r="C371" s="9" t="s">
        <v>18</v>
      </c>
      <c r="D371" s="9" t="s">
        <v>130</v>
      </c>
      <c r="E371" s="9" t="s">
        <v>149</v>
      </c>
      <c r="F371" s="9" t="s">
        <v>333</v>
      </c>
      <c r="G371" s="9" t="s">
        <v>25</v>
      </c>
      <c r="H371" s="9" t="s">
        <v>29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10">
        <v>163967.48000000001</v>
      </c>
      <c r="P371" s="9">
        <v>0</v>
      </c>
      <c r="Q371" s="9">
        <v>0</v>
      </c>
      <c r="R371" s="12">
        <f t="shared" si="0"/>
        <v>163967.48000000001</v>
      </c>
    </row>
    <row r="372" spans="1:18" ht="12.75" x14ac:dyDescent="0.2">
      <c r="A372" s="9" t="s">
        <v>332</v>
      </c>
      <c r="B372" s="9" t="s">
        <v>17</v>
      </c>
      <c r="C372" s="9" t="s">
        <v>18</v>
      </c>
      <c r="D372" s="9" t="s">
        <v>130</v>
      </c>
      <c r="E372" s="9" t="s">
        <v>149</v>
      </c>
      <c r="F372" s="9" t="s">
        <v>333</v>
      </c>
      <c r="G372" s="9" t="s">
        <v>27</v>
      </c>
      <c r="H372" s="10">
        <v>512759.24</v>
      </c>
      <c r="I372" s="10">
        <v>108732.41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11">
        <f t="shared" si="0"/>
        <v>621491.65</v>
      </c>
    </row>
    <row r="373" spans="1:18" ht="12.75" x14ac:dyDescent="0.2">
      <c r="A373" s="9" t="s">
        <v>332</v>
      </c>
      <c r="B373" s="9" t="s">
        <v>17</v>
      </c>
      <c r="C373" s="9" t="s">
        <v>18</v>
      </c>
      <c r="D373" s="9" t="s">
        <v>130</v>
      </c>
      <c r="E373" s="9" t="s">
        <v>149</v>
      </c>
      <c r="F373" s="9" t="s">
        <v>333</v>
      </c>
      <c r="G373" s="9" t="s">
        <v>28</v>
      </c>
      <c r="H373" s="9" t="s">
        <v>29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10">
        <v>2548.13</v>
      </c>
      <c r="O373" s="9">
        <v>0</v>
      </c>
      <c r="P373" s="10">
        <v>8015.29</v>
      </c>
      <c r="Q373" s="9">
        <v>0</v>
      </c>
      <c r="R373" s="12">
        <f t="shared" si="0"/>
        <v>10563.42</v>
      </c>
    </row>
    <row r="374" spans="1:18" ht="12.75" x14ac:dyDescent="0.2">
      <c r="A374" s="9" t="s">
        <v>332</v>
      </c>
      <c r="B374" s="9" t="s">
        <v>17</v>
      </c>
      <c r="C374" s="9" t="s">
        <v>18</v>
      </c>
      <c r="D374" s="9" t="s">
        <v>130</v>
      </c>
      <c r="E374" s="9" t="s">
        <v>149</v>
      </c>
      <c r="F374" s="9" t="s">
        <v>333</v>
      </c>
      <c r="G374" s="9" t="s">
        <v>34</v>
      </c>
      <c r="H374" s="9" t="s">
        <v>29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10">
        <v>11221.9</v>
      </c>
      <c r="R374" s="12">
        <f t="shared" si="0"/>
        <v>11221.9</v>
      </c>
    </row>
    <row r="375" spans="1:18" ht="12.75" x14ac:dyDescent="0.2">
      <c r="A375" s="9" t="s">
        <v>332</v>
      </c>
      <c r="B375" s="9" t="s">
        <v>17</v>
      </c>
      <c r="C375" s="9" t="s">
        <v>18</v>
      </c>
      <c r="D375" s="9" t="s">
        <v>19</v>
      </c>
      <c r="E375" s="9" t="s">
        <v>150</v>
      </c>
      <c r="F375" s="9" t="s">
        <v>333</v>
      </c>
      <c r="G375" s="9" t="s">
        <v>27</v>
      </c>
      <c r="H375" s="10">
        <v>256379.62</v>
      </c>
      <c r="I375" s="10">
        <v>54366.2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11">
        <f t="shared" si="0"/>
        <v>310745.82</v>
      </c>
    </row>
    <row r="376" spans="1:18" ht="12.75" x14ac:dyDescent="0.2">
      <c r="A376" s="9" t="s">
        <v>332</v>
      </c>
      <c r="B376" s="9" t="s">
        <v>17</v>
      </c>
      <c r="C376" s="9" t="s">
        <v>18</v>
      </c>
      <c r="D376" s="9" t="s">
        <v>19</v>
      </c>
      <c r="E376" s="9" t="s">
        <v>150</v>
      </c>
      <c r="F376" s="9" t="s">
        <v>333</v>
      </c>
      <c r="G376" s="9" t="s">
        <v>28</v>
      </c>
      <c r="H376" s="9" t="s">
        <v>29</v>
      </c>
      <c r="I376" s="9">
        <v>0</v>
      </c>
      <c r="J376" s="9">
        <v>0</v>
      </c>
      <c r="K376" s="10">
        <v>27184.95</v>
      </c>
      <c r="L376" s="10">
        <v>20153.09</v>
      </c>
      <c r="M376" s="10">
        <v>27219.56</v>
      </c>
      <c r="N376" s="10">
        <v>28358.94</v>
      </c>
      <c r="O376" s="10">
        <v>27399.18</v>
      </c>
      <c r="P376" s="10">
        <v>26019.77</v>
      </c>
      <c r="Q376" s="10">
        <v>20811.21</v>
      </c>
      <c r="R376" s="12">
        <f t="shared" si="0"/>
        <v>177146.69999999998</v>
      </c>
    </row>
    <row r="377" spans="1:18" ht="12.75" x14ac:dyDescent="0.2">
      <c r="A377" s="9" t="s">
        <v>332</v>
      </c>
      <c r="B377" s="9" t="s">
        <v>17</v>
      </c>
      <c r="C377" s="9" t="s">
        <v>18</v>
      </c>
      <c r="D377" s="9" t="s">
        <v>19</v>
      </c>
      <c r="E377" s="9" t="s">
        <v>19</v>
      </c>
      <c r="F377" s="9" t="s">
        <v>333</v>
      </c>
      <c r="G377" s="9" t="s">
        <v>25</v>
      </c>
      <c r="H377" s="9" t="s">
        <v>29</v>
      </c>
      <c r="I377" s="9">
        <v>0</v>
      </c>
      <c r="J377" s="9">
        <v>0</v>
      </c>
      <c r="K377" s="10">
        <v>272805.14</v>
      </c>
      <c r="L377" s="10">
        <v>272524.51</v>
      </c>
      <c r="M377" s="10">
        <v>314468.84999999998</v>
      </c>
      <c r="N377" s="10">
        <v>304893.55</v>
      </c>
      <c r="O377" s="10">
        <v>309774.51</v>
      </c>
      <c r="P377" s="10">
        <v>233897.05</v>
      </c>
      <c r="Q377" s="10">
        <v>221607.07</v>
      </c>
      <c r="R377" s="12">
        <f t="shared" si="0"/>
        <v>1929970.6800000002</v>
      </c>
    </row>
    <row r="378" spans="1:18" ht="12.75" x14ac:dyDescent="0.2">
      <c r="A378" s="9" t="s">
        <v>332</v>
      </c>
      <c r="B378" s="9" t="s">
        <v>17</v>
      </c>
      <c r="C378" s="9" t="s">
        <v>18</v>
      </c>
      <c r="D378" s="9" t="s">
        <v>19</v>
      </c>
      <c r="E378" s="9" t="s">
        <v>19</v>
      </c>
      <c r="F378" s="9" t="s">
        <v>333</v>
      </c>
      <c r="G378" s="9" t="s">
        <v>26</v>
      </c>
      <c r="H378" s="9" t="s">
        <v>29</v>
      </c>
      <c r="I378" s="9">
        <v>0</v>
      </c>
      <c r="J378" s="9">
        <v>0</v>
      </c>
      <c r="K378" s="10">
        <v>27594.04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12">
        <f t="shared" si="0"/>
        <v>27594.04</v>
      </c>
    </row>
    <row r="379" spans="1:18" ht="12.75" x14ac:dyDescent="0.2">
      <c r="A379" s="9" t="s">
        <v>332</v>
      </c>
      <c r="B379" s="9" t="s">
        <v>17</v>
      </c>
      <c r="C379" s="9" t="s">
        <v>18</v>
      </c>
      <c r="D379" s="9" t="s">
        <v>19</v>
      </c>
      <c r="E379" s="9" t="s">
        <v>19</v>
      </c>
      <c r="F379" s="9" t="s">
        <v>333</v>
      </c>
      <c r="G379" s="9" t="s">
        <v>27</v>
      </c>
      <c r="H379" s="10">
        <v>256379.62</v>
      </c>
      <c r="I379" s="10">
        <v>54366.2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11">
        <f t="shared" si="0"/>
        <v>310745.82</v>
      </c>
    </row>
    <row r="380" spans="1:18" ht="12.75" x14ac:dyDescent="0.2">
      <c r="A380" s="9" t="s">
        <v>332</v>
      </c>
      <c r="B380" s="9" t="s">
        <v>17</v>
      </c>
      <c r="C380" s="9" t="s">
        <v>18</v>
      </c>
      <c r="D380" s="9" t="s">
        <v>19</v>
      </c>
      <c r="E380" s="9" t="s">
        <v>19</v>
      </c>
      <c r="F380" s="9" t="s">
        <v>333</v>
      </c>
      <c r="G380" s="9" t="s">
        <v>28</v>
      </c>
      <c r="H380" s="9" t="s">
        <v>29</v>
      </c>
      <c r="I380" s="9">
        <v>0</v>
      </c>
      <c r="J380" s="9">
        <v>0</v>
      </c>
      <c r="K380" s="9">
        <v>0</v>
      </c>
      <c r="L380" s="9">
        <v>0</v>
      </c>
      <c r="M380" s="10">
        <v>168379.36</v>
      </c>
      <c r="N380" s="9">
        <v>0</v>
      </c>
      <c r="O380" s="9">
        <v>0</v>
      </c>
      <c r="P380" s="9">
        <v>0</v>
      </c>
      <c r="Q380" s="9">
        <v>0</v>
      </c>
      <c r="R380" s="12">
        <f t="shared" si="0"/>
        <v>168379.36</v>
      </c>
    </row>
    <row r="381" spans="1:18" ht="12.75" x14ac:dyDescent="0.2">
      <c r="A381" s="9" t="s">
        <v>332</v>
      </c>
      <c r="B381" s="9" t="s">
        <v>17</v>
      </c>
      <c r="C381" s="9" t="s">
        <v>18</v>
      </c>
      <c r="D381" s="9" t="s">
        <v>31</v>
      </c>
      <c r="E381" s="9" t="s">
        <v>151</v>
      </c>
      <c r="F381" s="9" t="s">
        <v>333</v>
      </c>
      <c r="G381" s="9" t="s">
        <v>21</v>
      </c>
      <c r="H381" s="10">
        <v>446329.93</v>
      </c>
      <c r="I381" s="10">
        <v>4349</v>
      </c>
      <c r="J381" s="10">
        <v>14850.71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11">
        <f t="shared" si="0"/>
        <v>465529.64</v>
      </c>
    </row>
    <row r="382" spans="1:18" ht="12.75" x14ac:dyDescent="0.2">
      <c r="A382" s="9" t="s">
        <v>332</v>
      </c>
      <c r="B382" s="9" t="s">
        <v>17</v>
      </c>
      <c r="C382" s="9" t="s">
        <v>18</v>
      </c>
      <c r="D382" s="9" t="s">
        <v>31</v>
      </c>
      <c r="E382" s="9" t="s">
        <v>151</v>
      </c>
      <c r="F382" s="9" t="s">
        <v>333</v>
      </c>
      <c r="G382" s="9" t="s">
        <v>24</v>
      </c>
      <c r="H382" s="9" t="s">
        <v>29</v>
      </c>
      <c r="I382" s="9">
        <v>0</v>
      </c>
      <c r="J382" s="10">
        <v>5119.24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10">
        <v>636348.44999999995</v>
      </c>
      <c r="R382" s="12">
        <f t="shared" si="0"/>
        <v>641467.68999999994</v>
      </c>
    </row>
    <row r="383" spans="1:18" ht="12.75" x14ac:dyDescent="0.2">
      <c r="A383" s="9" t="s">
        <v>332</v>
      </c>
      <c r="B383" s="9" t="s">
        <v>17</v>
      </c>
      <c r="C383" s="9" t="s">
        <v>18</v>
      </c>
      <c r="D383" s="9" t="s">
        <v>31</v>
      </c>
      <c r="E383" s="9" t="s">
        <v>151</v>
      </c>
      <c r="F383" s="9" t="s">
        <v>333</v>
      </c>
      <c r="G383" s="9" t="s">
        <v>24</v>
      </c>
      <c r="H383" s="10">
        <v>11512401.42</v>
      </c>
      <c r="I383" s="10">
        <v>314545.86</v>
      </c>
      <c r="J383" s="10">
        <v>836159.5</v>
      </c>
      <c r="K383" s="9">
        <v>0</v>
      </c>
      <c r="L383" s="10">
        <v>145742.73000000001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11">
        <f t="shared" si="0"/>
        <v>12808849.51</v>
      </c>
    </row>
    <row r="384" spans="1:18" ht="12.75" x14ac:dyDescent="0.2">
      <c r="A384" s="9" t="s">
        <v>332</v>
      </c>
      <c r="B384" s="9" t="s">
        <v>17</v>
      </c>
      <c r="C384" s="9" t="s">
        <v>36</v>
      </c>
      <c r="D384" s="9" t="s">
        <v>31</v>
      </c>
      <c r="E384" s="9" t="s">
        <v>151</v>
      </c>
      <c r="F384" s="9" t="s">
        <v>333</v>
      </c>
      <c r="G384" s="9" t="s">
        <v>37</v>
      </c>
      <c r="H384" s="10">
        <v>6549406.6200000001</v>
      </c>
      <c r="I384" s="10">
        <v>2341970.96</v>
      </c>
      <c r="J384" s="10">
        <v>2009325.8</v>
      </c>
      <c r="K384" s="10">
        <v>37587.14</v>
      </c>
      <c r="L384" s="10">
        <v>46996.44</v>
      </c>
      <c r="M384" s="10">
        <v>105941.64</v>
      </c>
      <c r="N384" s="10">
        <v>77178.39</v>
      </c>
      <c r="O384" s="10">
        <v>95817.2</v>
      </c>
      <c r="P384" s="10">
        <v>99879.42</v>
      </c>
      <c r="Q384" s="10">
        <v>92032.51</v>
      </c>
      <c r="R384" s="11">
        <f t="shared" si="0"/>
        <v>11456136.120000001</v>
      </c>
    </row>
    <row r="385" spans="1:18" ht="12.75" x14ac:dyDescent="0.2">
      <c r="A385" s="9" t="s">
        <v>332</v>
      </c>
      <c r="B385" s="9" t="s">
        <v>17</v>
      </c>
      <c r="C385" s="9" t="s">
        <v>18</v>
      </c>
      <c r="D385" s="9" t="s">
        <v>31</v>
      </c>
      <c r="E385" s="9" t="s">
        <v>151</v>
      </c>
      <c r="F385" s="9" t="s">
        <v>333</v>
      </c>
      <c r="G385" s="9" t="s">
        <v>26</v>
      </c>
      <c r="H385" s="9" t="s">
        <v>29</v>
      </c>
      <c r="I385" s="9">
        <v>0</v>
      </c>
      <c r="J385" s="9">
        <v>0</v>
      </c>
      <c r="K385" s="9">
        <v>0</v>
      </c>
      <c r="L385" s="10">
        <v>1758.67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12">
        <f t="shared" si="0"/>
        <v>1758.67</v>
      </c>
    </row>
    <row r="386" spans="1:18" ht="12.75" x14ac:dyDescent="0.2">
      <c r="A386" s="9" t="s">
        <v>332</v>
      </c>
      <c r="B386" s="9" t="s">
        <v>17</v>
      </c>
      <c r="C386" s="9" t="s">
        <v>18</v>
      </c>
      <c r="D386" s="9" t="s">
        <v>31</v>
      </c>
      <c r="E386" s="9" t="s">
        <v>151</v>
      </c>
      <c r="F386" s="9" t="s">
        <v>333</v>
      </c>
      <c r="G386" s="9" t="s">
        <v>26</v>
      </c>
      <c r="H386" s="9" t="s">
        <v>29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10">
        <v>25646.9</v>
      </c>
      <c r="Q386" s="9">
        <v>0</v>
      </c>
      <c r="R386" s="12">
        <f t="shared" si="0"/>
        <v>25646.9</v>
      </c>
    </row>
    <row r="387" spans="1:18" ht="12.75" x14ac:dyDescent="0.2">
      <c r="A387" s="9" t="s">
        <v>332</v>
      </c>
      <c r="B387" s="9" t="s">
        <v>17</v>
      </c>
      <c r="C387" s="9" t="s">
        <v>18</v>
      </c>
      <c r="D387" s="9" t="s">
        <v>31</v>
      </c>
      <c r="E387" s="9" t="s">
        <v>151</v>
      </c>
      <c r="F387" s="9" t="s">
        <v>333</v>
      </c>
      <c r="G387" s="9" t="s">
        <v>27</v>
      </c>
      <c r="H387" s="10">
        <v>512759.24</v>
      </c>
      <c r="I387" s="10">
        <v>108732.41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11">
        <f t="shared" si="0"/>
        <v>621491.65</v>
      </c>
    </row>
    <row r="388" spans="1:18" ht="12.75" x14ac:dyDescent="0.2">
      <c r="A388" s="9" t="s">
        <v>332</v>
      </c>
      <c r="B388" s="9" t="s">
        <v>17</v>
      </c>
      <c r="C388" s="9" t="s">
        <v>18</v>
      </c>
      <c r="D388" s="9" t="s">
        <v>31</v>
      </c>
      <c r="E388" s="9" t="s">
        <v>151</v>
      </c>
      <c r="F388" s="9" t="s">
        <v>333</v>
      </c>
      <c r="G388" s="9" t="s">
        <v>27</v>
      </c>
      <c r="H388" s="10">
        <v>189932.79</v>
      </c>
      <c r="I388" s="10">
        <v>40275.919999999998</v>
      </c>
      <c r="J388" s="10">
        <v>90111.25</v>
      </c>
      <c r="K388" s="10">
        <v>9493.92</v>
      </c>
      <c r="L388" s="10">
        <v>9446.11</v>
      </c>
      <c r="M388" s="10">
        <v>13756.07</v>
      </c>
      <c r="N388" s="10">
        <v>13824.9</v>
      </c>
      <c r="O388" s="10">
        <v>447416.14</v>
      </c>
      <c r="P388" s="10">
        <v>25611.84</v>
      </c>
      <c r="Q388" s="10">
        <v>11446.98</v>
      </c>
      <c r="R388" s="11">
        <f t="shared" si="0"/>
        <v>851315.92</v>
      </c>
    </row>
    <row r="389" spans="1:18" ht="12.75" x14ac:dyDescent="0.2">
      <c r="A389" s="9" t="s">
        <v>332</v>
      </c>
      <c r="B389" s="9" t="s">
        <v>17</v>
      </c>
      <c r="C389" s="9" t="s">
        <v>18</v>
      </c>
      <c r="D389" s="9" t="s">
        <v>31</v>
      </c>
      <c r="E389" s="9" t="s">
        <v>151</v>
      </c>
      <c r="F389" s="9" t="s">
        <v>333</v>
      </c>
      <c r="G389" s="9" t="s">
        <v>28</v>
      </c>
      <c r="H389" s="9" t="s">
        <v>29</v>
      </c>
      <c r="I389" s="9">
        <v>0</v>
      </c>
      <c r="J389" s="10">
        <v>27275.040000000001</v>
      </c>
      <c r="K389" s="10">
        <v>1993.56</v>
      </c>
      <c r="L389" s="10">
        <v>1477.89</v>
      </c>
      <c r="M389" s="10">
        <v>1996.1</v>
      </c>
      <c r="N389" s="10">
        <v>2079.66</v>
      </c>
      <c r="O389" s="10">
        <v>2009.27</v>
      </c>
      <c r="P389" s="10">
        <v>1908.12</v>
      </c>
      <c r="Q389" s="10">
        <v>1526.16</v>
      </c>
      <c r="R389" s="12">
        <f t="shared" si="0"/>
        <v>40265.800000000003</v>
      </c>
    </row>
    <row r="390" spans="1:18" ht="12.75" x14ac:dyDescent="0.2">
      <c r="A390" s="9" t="s">
        <v>332</v>
      </c>
      <c r="B390" s="9" t="s">
        <v>17</v>
      </c>
      <c r="C390" s="9" t="s">
        <v>18</v>
      </c>
      <c r="D390" s="9" t="s">
        <v>31</v>
      </c>
      <c r="E390" s="9" t="s">
        <v>151</v>
      </c>
      <c r="F390" s="9" t="s">
        <v>333</v>
      </c>
      <c r="G390" s="9" t="s">
        <v>34</v>
      </c>
      <c r="H390" s="9" t="s">
        <v>29</v>
      </c>
      <c r="I390" s="9">
        <v>0</v>
      </c>
      <c r="J390" s="9">
        <v>0</v>
      </c>
      <c r="K390" s="10">
        <v>466510.08000000002</v>
      </c>
      <c r="L390" s="10">
        <v>448732.09</v>
      </c>
      <c r="M390" s="10">
        <v>352442.06</v>
      </c>
      <c r="N390" s="10">
        <v>488104.65</v>
      </c>
      <c r="O390" s="10">
        <v>461669.54</v>
      </c>
      <c r="P390" s="10">
        <v>515693.1</v>
      </c>
      <c r="Q390" s="10">
        <v>475694.77</v>
      </c>
      <c r="R390" s="12">
        <f t="shared" si="0"/>
        <v>3208846.29</v>
      </c>
    </row>
    <row r="391" spans="1:18" ht="12.75" x14ac:dyDescent="0.2">
      <c r="A391" s="9" t="s">
        <v>335</v>
      </c>
      <c r="B391" s="9" t="s">
        <v>17</v>
      </c>
      <c r="C391" s="9" t="s">
        <v>18</v>
      </c>
      <c r="D391" s="9" t="s">
        <v>19</v>
      </c>
      <c r="E391" s="9" t="s">
        <v>19</v>
      </c>
      <c r="F391" s="9" t="s">
        <v>333</v>
      </c>
      <c r="G391" s="9" t="s">
        <v>24</v>
      </c>
      <c r="H391" s="9" t="s">
        <v>29</v>
      </c>
      <c r="I391" s="9">
        <v>0</v>
      </c>
      <c r="J391" s="9">
        <v>0</v>
      </c>
      <c r="K391" s="10">
        <v>26689.27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12">
        <f t="shared" si="0"/>
        <v>26689.27</v>
      </c>
    </row>
    <row r="392" spans="1:18" ht="12.75" x14ac:dyDescent="0.2">
      <c r="A392" s="9" t="s">
        <v>335</v>
      </c>
      <c r="B392" s="9" t="s">
        <v>17</v>
      </c>
      <c r="C392" s="9" t="s">
        <v>18</v>
      </c>
      <c r="D392" s="9" t="s">
        <v>19</v>
      </c>
      <c r="E392" s="9" t="s">
        <v>19</v>
      </c>
      <c r="F392" s="9" t="s">
        <v>333</v>
      </c>
      <c r="G392" s="9" t="s">
        <v>28</v>
      </c>
      <c r="H392" s="9" t="s">
        <v>29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10">
        <v>7536.14</v>
      </c>
      <c r="P392" s="9">
        <v>0</v>
      </c>
      <c r="Q392" s="9">
        <v>0</v>
      </c>
      <c r="R392" s="12">
        <f t="shared" si="0"/>
        <v>7536.14</v>
      </c>
    </row>
    <row r="393" spans="1:18" ht="12.75" x14ac:dyDescent="0.2">
      <c r="A393" s="9" t="s">
        <v>335</v>
      </c>
      <c r="B393" s="9" t="s">
        <v>17</v>
      </c>
      <c r="C393" s="9" t="s">
        <v>18</v>
      </c>
      <c r="D393" s="9" t="s">
        <v>19</v>
      </c>
      <c r="E393" s="9" t="s">
        <v>19</v>
      </c>
      <c r="F393" s="9" t="s">
        <v>333</v>
      </c>
      <c r="G393" s="9" t="s">
        <v>34</v>
      </c>
      <c r="H393" s="10">
        <v>196375.35</v>
      </c>
      <c r="I393" s="10">
        <v>192831.31</v>
      </c>
      <c r="J393" s="10">
        <v>70323.789999999994</v>
      </c>
      <c r="K393" s="10">
        <v>25754.85</v>
      </c>
      <c r="L393" s="10">
        <v>12619.55</v>
      </c>
      <c r="M393" s="10">
        <v>12769.64</v>
      </c>
      <c r="N393" s="10">
        <v>25698.13</v>
      </c>
      <c r="O393" s="10">
        <v>22642.59</v>
      </c>
      <c r="P393" s="10">
        <v>24007.7</v>
      </c>
      <c r="Q393" s="10">
        <v>20090.48</v>
      </c>
      <c r="R393" s="11">
        <f t="shared" si="0"/>
        <v>603113.3899999999</v>
      </c>
    </row>
    <row r="394" spans="1:18" ht="12.75" x14ac:dyDescent="0.2">
      <c r="A394" s="9" t="s">
        <v>335</v>
      </c>
      <c r="B394" s="9" t="s">
        <v>17</v>
      </c>
      <c r="C394" s="9" t="s">
        <v>18</v>
      </c>
      <c r="D394" s="9" t="s">
        <v>19</v>
      </c>
      <c r="E394" s="9" t="s">
        <v>153</v>
      </c>
      <c r="F394" s="9" t="s">
        <v>333</v>
      </c>
      <c r="G394" s="9" t="s">
        <v>24</v>
      </c>
      <c r="H394" s="10">
        <v>505380.55</v>
      </c>
      <c r="I394" s="10">
        <v>13808.18</v>
      </c>
      <c r="J394" s="10">
        <v>38941.21</v>
      </c>
      <c r="K394" s="10">
        <v>275217.38</v>
      </c>
      <c r="L394" s="10">
        <v>36649.43</v>
      </c>
      <c r="M394" s="10">
        <v>38828.39</v>
      </c>
      <c r="N394" s="10">
        <v>140961.37</v>
      </c>
      <c r="O394" s="10">
        <v>308744.34999999998</v>
      </c>
      <c r="P394" s="10">
        <v>53229.51</v>
      </c>
      <c r="Q394" s="10">
        <v>88780.13</v>
      </c>
      <c r="R394" s="11">
        <f t="shared" si="0"/>
        <v>1500540.5</v>
      </c>
    </row>
    <row r="395" spans="1:18" ht="12.75" x14ac:dyDescent="0.2">
      <c r="A395" s="9" t="s">
        <v>335</v>
      </c>
      <c r="B395" s="9" t="s">
        <v>17</v>
      </c>
      <c r="C395" s="9" t="s">
        <v>18</v>
      </c>
      <c r="D395" s="9" t="s">
        <v>19</v>
      </c>
      <c r="E395" s="9" t="s">
        <v>153</v>
      </c>
      <c r="F395" s="9" t="s">
        <v>333</v>
      </c>
      <c r="G395" s="9" t="s">
        <v>25</v>
      </c>
      <c r="H395" s="9" t="s">
        <v>29</v>
      </c>
      <c r="I395" s="9">
        <v>0</v>
      </c>
      <c r="J395" s="9">
        <v>0</v>
      </c>
      <c r="K395" s="9">
        <v>0</v>
      </c>
      <c r="L395" s="10">
        <v>31165.9</v>
      </c>
      <c r="M395" s="10">
        <v>59995.6</v>
      </c>
      <c r="N395" s="9">
        <v>0</v>
      </c>
      <c r="O395" s="9">
        <v>0</v>
      </c>
      <c r="P395" s="10">
        <v>6175.8</v>
      </c>
      <c r="Q395" s="9">
        <v>0</v>
      </c>
      <c r="R395" s="12">
        <f t="shared" si="0"/>
        <v>97337.3</v>
      </c>
    </row>
    <row r="396" spans="1:18" ht="12.75" x14ac:dyDescent="0.2">
      <c r="A396" s="9" t="s">
        <v>335</v>
      </c>
      <c r="B396" s="9" t="s">
        <v>17</v>
      </c>
      <c r="C396" s="9" t="s">
        <v>18</v>
      </c>
      <c r="D396" s="9" t="s">
        <v>19</v>
      </c>
      <c r="E396" s="9" t="s">
        <v>153</v>
      </c>
      <c r="F396" s="9" t="s">
        <v>333</v>
      </c>
      <c r="G396" s="9" t="s">
        <v>26</v>
      </c>
      <c r="H396" s="10">
        <v>286233.33</v>
      </c>
      <c r="I396" s="10">
        <v>18160.46</v>
      </c>
      <c r="J396" s="10">
        <v>23536.43</v>
      </c>
      <c r="K396" s="10">
        <v>7610.42</v>
      </c>
      <c r="L396" s="10">
        <v>6282.57</v>
      </c>
      <c r="M396" s="10">
        <v>8980.68</v>
      </c>
      <c r="N396" s="10">
        <v>8471.73</v>
      </c>
      <c r="O396" s="10">
        <v>8023.02</v>
      </c>
      <c r="P396" s="10">
        <v>8362.5400000000009</v>
      </c>
      <c r="Q396" s="10">
        <v>7962.46</v>
      </c>
      <c r="R396" s="11">
        <f t="shared" si="0"/>
        <v>383623.64</v>
      </c>
    </row>
    <row r="397" spans="1:18" ht="12.75" x14ac:dyDescent="0.2">
      <c r="A397" s="9" t="s">
        <v>335</v>
      </c>
      <c r="B397" s="9" t="s">
        <v>17</v>
      </c>
      <c r="C397" s="9" t="s">
        <v>18</v>
      </c>
      <c r="D397" s="9" t="s">
        <v>19</v>
      </c>
      <c r="E397" s="9" t="s">
        <v>153</v>
      </c>
      <c r="F397" s="9" t="s">
        <v>333</v>
      </c>
      <c r="G397" s="9" t="s">
        <v>38</v>
      </c>
      <c r="H397" s="10">
        <v>3692434.89</v>
      </c>
      <c r="I397" s="10">
        <v>7027484.6600000001</v>
      </c>
      <c r="J397" s="10">
        <v>4611738.08</v>
      </c>
      <c r="K397" s="10">
        <v>3965413.73</v>
      </c>
      <c r="L397" s="10">
        <v>4146637</v>
      </c>
      <c r="M397" s="10">
        <v>6342014.2800000003</v>
      </c>
      <c r="N397" s="10">
        <v>7252874.3099999996</v>
      </c>
      <c r="O397" s="10">
        <v>1525511.09</v>
      </c>
      <c r="P397" s="10">
        <v>9099138.2300000004</v>
      </c>
      <c r="Q397" s="10">
        <v>4962534.91</v>
      </c>
      <c r="R397" s="11">
        <f t="shared" si="0"/>
        <v>52625781.180000007</v>
      </c>
    </row>
    <row r="398" spans="1:18" ht="12.75" x14ac:dyDescent="0.2">
      <c r="A398" s="9" t="s">
        <v>335</v>
      </c>
      <c r="B398" s="9" t="s">
        <v>17</v>
      </c>
      <c r="C398" s="9" t="s">
        <v>18</v>
      </c>
      <c r="D398" s="9" t="s">
        <v>19</v>
      </c>
      <c r="E398" s="9" t="s">
        <v>153</v>
      </c>
      <c r="F398" s="9" t="s">
        <v>333</v>
      </c>
      <c r="G398" s="9" t="s">
        <v>28</v>
      </c>
      <c r="H398" s="10">
        <v>771374.56</v>
      </c>
      <c r="I398" s="10">
        <v>1054987.49</v>
      </c>
      <c r="J398" s="10">
        <v>742569.28</v>
      </c>
      <c r="K398" s="10">
        <v>144080.23000000001</v>
      </c>
      <c r="L398" s="10">
        <v>115774.11</v>
      </c>
      <c r="M398" s="10">
        <v>219607.98</v>
      </c>
      <c r="N398" s="10">
        <v>150302.39000000001</v>
      </c>
      <c r="O398" s="10">
        <v>225451.25</v>
      </c>
      <c r="P398" s="10">
        <v>141339.92000000001</v>
      </c>
      <c r="Q398" s="10">
        <v>201030.79</v>
      </c>
      <c r="R398" s="11">
        <f t="shared" si="0"/>
        <v>3766518</v>
      </c>
    </row>
    <row r="399" spans="1:18" ht="12.75" x14ac:dyDescent="0.2">
      <c r="A399" s="9" t="s">
        <v>335</v>
      </c>
      <c r="B399" s="9" t="s">
        <v>17</v>
      </c>
      <c r="C399" s="9" t="s">
        <v>18</v>
      </c>
      <c r="D399" s="9" t="s">
        <v>19</v>
      </c>
      <c r="E399" s="9" t="s">
        <v>153</v>
      </c>
      <c r="F399" s="9" t="s">
        <v>333</v>
      </c>
      <c r="G399" s="9" t="s">
        <v>34</v>
      </c>
      <c r="H399" s="10">
        <v>180528.8</v>
      </c>
      <c r="I399" s="10">
        <v>177270.75</v>
      </c>
      <c r="J399" s="10">
        <v>80901.11</v>
      </c>
      <c r="K399" s="10">
        <v>17853.61</v>
      </c>
      <c r="L399" s="10">
        <v>19352.72</v>
      </c>
      <c r="M399" s="10">
        <v>15323.57</v>
      </c>
      <c r="N399" s="10">
        <v>23638.52</v>
      </c>
      <c r="O399" s="10">
        <v>23958.98</v>
      </c>
      <c r="P399" s="10">
        <v>16438.82</v>
      </c>
      <c r="Q399" s="10">
        <v>44774.75</v>
      </c>
      <c r="R399" s="11">
        <f t="shared" si="0"/>
        <v>600041.63</v>
      </c>
    </row>
    <row r="400" spans="1:18" ht="12.75" x14ac:dyDescent="0.2">
      <c r="A400" s="9" t="s">
        <v>335</v>
      </c>
      <c r="B400" s="9" t="s">
        <v>17</v>
      </c>
      <c r="C400" s="9" t="s">
        <v>18</v>
      </c>
      <c r="D400" s="9" t="s">
        <v>19</v>
      </c>
      <c r="E400" s="9" t="s">
        <v>153</v>
      </c>
      <c r="F400" s="9" t="s">
        <v>333</v>
      </c>
      <c r="G400" s="9" t="s">
        <v>49</v>
      </c>
      <c r="H400" s="10">
        <v>77622.600000000006</v>
      </c>
      <c r="I400" s="10">
        <v>124861.98</v>
      </c>
      <c r="J400" s="10">
        <v>144789.09</v>
      </c>
      <c r="K400" s="10">
        <v>82264.039999999994</v>
      </c>
      <c r="L400" s="10">
        <v>116654.36</v>
      </c>
      <c r="M400" s="10">
        <v>80498.42</v>
      </c>
      <c r="N400" s="10">
        <v>123019.38</v>
      </c>
      <c r="O400" s="10">
        <v>81045.429999999993</v>
      </c>
      <c r="P400" s="10">
        <v>128841.84</v>
      </c>
      <c r="Q400" s="10">
        <v>64043.53</v>
      </c>
      <c r="R400" s="11">
        <f t="shared" si="0"/>
        <v>1023640.67</v>
      </c>
    </row>
    <row r="401" spans="1:18" ht="12.75" x14ac:dyDescent="0.2">
      <c r="A401" s="9" t="s">
        <v>335</v>
      </c>
      <c r="B401" s="9" t="s">
        <v>17</v>
      </c>
      <c r="C401" s="9" t="s">
        <v>18</v>
      </c>
      <c r="D401" s="9" t="s">
        <v>19</v>
      </c>
      <c r="E401" s="9" t="s">
        <v>41</v>
      </c>
      <c r="F401" s="9" t="s">
        <v>333</v>
      </c>
      <c r="G401" s="9" t="s">
        <v>24</v>
      </c>
      <c r="H401" s="9" t="s">
        <v>29</v>
      </c>
      <c r="I401" s="9">
        <v>0</v>
      </c>
      <c r="J401" s="9">
        <v>0</v>
      </c>
      <c r="K401" s="9">
        <v>0</v>
      </c>
      <c r="L401" s="10">
        <v>32244.97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12">
        <f t="shared" si="0"/>
        <v>32244.97</v>
      </c>
    </row>
    <row r="402" spans="1:18" ht="12.75" x14ac:dyDescent="0.2">
      <c r="A402" s="9" t="s">
        <v>335</v>
      </c>
      <c r="B402" s="9" t="s">
        <v>17</v>
      </c>
      <c r="C402" s="9" t="s">
        <v>18</v>
      </c>
      <c r="D402" s="9" t="s">
        <v>19</v>
      </c>
      <c r="E402" s="9" t="s">
        <v>41</v>
      </c>
      <c r="F402" s="9" t="s">
        <v>333</v>
      </c>
      <c r="G402" s="9" t="s">
        <v>25</v>
      </c>
      <c r="H402" s="10">
        <v>274326.19</v>
      </c>
      <c r="I402" s="10">
        <v>1475725.02</v>
      </c>
      <c r="J402" s="10">
        <v>718686.51</v>
      </c>
      <c r="K402" s="10">
        <v>995642.16</v>
      </c>
      <c r="L402" s="10">
        <v>601567.81999999995</v>
      </c>
      <c r="M402" s="9">
        <v>0</v>
      </c>
      <c r="N402" s="10">
        <v>137176.19</v>
      </c>
      <c r="O402" s="10">
        <v>362801.6</v>
      </c>
      <c r="P402" s="10">
        <v>590230.46</v>
      </c>
      <c r="Q402" s="10">
        <v>364375.82</v>
      </c>
      <c r="R402" s="11">
        <f t="shared" si="0"/>
        <v>5520531.7699999996</v>
      </c>
    </row>
    <row r="403" spans="1:18" ht="12.75" x14ac:dyDescent="0.2">
      <c r="A403" s="9" t="s">
        <v>335</v>
      </c>
      <c r="B403" s="9" t="s">
        <v>17</v>
      </c>
      <c r="C403" s="9" t="s">
        <v>18</v>
      </c>
      <c r="D403" s="9" t="s">
        <v>19</v>
      </c>
      <c r="E403" s="9" t="s">
        <v>154</v>
      </c>
      <c r="F403" s="9" t="s">
        <v>333</v>
      </c>
      <c r="G403" s="9" t="s">
        <v>24</v>
      </c>
      <c r="H403" s="9" t="s">
        <v>29</v>
      </c>
      <c r="I403" s="9">
        <v>0</v>
      </c>
      <c r="J403" s="9">
        <v>0</v>
      </c>
      <c r="K403" s="9">
        <v>0</v>
      </c>
      <c r="L403" s="9">
        <v>851.35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12">
        <f t="shared" si="0"/>
        <v>851.35</v>
      </c>
    </row>
    <row r="404" spans="1:18" ht="12.75" x14ac:dyDescent="0.2">
      <c r="A404" s="9" t="s">
        <v>335</v>
      </c>
      <c r="B404" s="9" t="s">
        <v>17</v>
      </c>
      <c r="C404" s="9" t="s">
        <v>18</v>
      </c>
      <c r="D404" s="9" t="s">
        <v>19</v>
      </c>
      <c r="E404" s="9" t="s">
        <v>154</v>
      </c>
      <c r="F404" s="9" t="s">
        <v>333</v>
      </c>
      <c r="G404" s="9" t="s">
        <v>25</v>
      </c>
      <c r="H404" s="9" t="s">
        <v>29</v>
      </c>
      <c r="I404" s="9">
        <v>0</v>
      </c>
      <c r="J404" s="10">
        <v>254509.56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12">
        <f t="shared" si="0"/>
        <v>254509.56</v>
      </c>
    </row>
    <row r="405" spans="1:18" ht="12.75" x14ac:dyDescent="0.2">
      <c r="A405" s="9" t="s">
        <v>335</v>
      </c>
      <c r="B405" s="9" t="s">
        <v>17</v>
      </c>
      <c r="C405" s="9" t="s">
        <v>18</v>
      </c>
      <c r="D405" s="9" t="s">
        <v>19</v>
      </c>
      <c r="E405" s="9" t="s">
        <v>154</v>
      </c>
      <c r="F405" s="9" t="s">
        <v>333</v>
      </c>
      <c r="G405" s="9" t="s">
        <v>28</v>
      </c>
      <c r="H405" s="9" t="s">
        <v>29</v>
      </c>
      <c r="I405" s="9">
        <v>0</v>
      </c>
      <c r="J405" s="9">
        <v>0</v>
      </c>
      <c r="K405" s="10">
        <v>1132.22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12">
        <f t="shared" si="0"/>
        <v>1132.22</v>
      </c>
    </row>
    <row r="406" spans="1:18" ht="12.75" x14ac:dyDescent="0.2">
      <c r="A406" s="9" t="s">
        <v>335</v>
      </c>
      <c r="B406" s="9" t="s">
        <v>17</v>
      </c>
      <c r="C406" s="9" t="s">
        <v>18</v>
      </c>
      <c r="D406" s="9" t="s">
        <v>19</v>
      </c>
      <c r="E406" s="9" t="s">
        <v>154</v>
      </c>
      <c r="F406" s="9" t="s">
        <v>333</v>
      </c>
      <c r="G406" s="9" t="s">
        <v>34</v>
      </c>
      <c r="H406" s="10">
        <v>5871.09</v>
      </c>
      <c r="I406" s="10">
        <v>5765.14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11">
        <f t="shared" si="0"/>
        <v>11636.23</v>
      </c>
    </row>
    <row r="407" spans="1:18" ht="12.75" x14ac:dyDescent="0.2">
      <c r="A407" s="9" t="s">
        <v>335</v>
      </c>
      <c r="B407" s="9" t="s">
        <v>17</v>
      </c>
      <c r="C407" s="9" t="s">
        <v>18</v>
      </c>
      <c r="D407" s="9" t="s">
        <v>19</v>
      </c>
      <c r="E407" s="9" t="s">
        <v>155</v>
      </c>
      <c r="F407" s="9" t="s">
        <v>333</v>
      </c>
      <c r="G407" s="9" t="s">
        <v>24</v>
      </c>
      <c r="H407" s="9" t="s">
        <v>29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10">
        <v>10612.85</v>
      </c>
      <c r="P407" s="10">
        <v>12973.77</v>
      </c>
      <c r="Q407" s="9">
        <v>0</v>
      </c>
      <c r="R407" s="12">
        <f t="shared" si="0"/>
        <v>23586.620000000003</v>
      </c>
    </row>
    <row r="408" spans="1:18" ht="12.75" x14ac:dyDescent="0.2">
      <c r="A408" s="9" t="s">
        <v>335</v>
      </c>
      <c r="B408" s="9" t="s">
        <v>17</v>
      </c>
      <c r="C408" s="9" t="s">
        <v>36</v>
      </c>
      <c r="D408" s="9" t="s">
        <v>19</v>
      </c>
      <c r="E408" s="9" t="s">
        <v>155</v>
      </c>
      <c r="F408" s="9" t="s">
        <v>333</v>
      </c>
      <c r="G408" s="9" t="s">
        <v>37</v>
      </c>
      <c r="H408" s="9" t="s">
        <v>29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10">
        <v>90285.41</v>
      </c>
      <c r="P408" s="9">
        <v>0</v>
      </c>
      <c r="Q408" s="9">
        <v>0</v>
      </c>
      <c r="R408" s="12">
        <f t="shared" si="0"/>
        <v>90285.41</v>
      </c>
    </row>
    <row r="409" spans="1:18" ht="12.75" x14ac:dyDescent="0.2">
      <c r="A409" s="9" t="s">
        <v>335</v>
      </c>
      <c r="B409" s="9" t="s">
        <v>17</v>
      </c>
      <c r="C409" s="9" t="s">
        <v>18</v>
      </c>
      <c r="D409" s="9" t="s">
        <v>19</v>
      </c>
      <c r="E409" s="9" t="s">
        <v>42</v>
      </c>
      <c r="F409" s="9" t="s">
        <v>333</v>
      </c>
      <c r="G409" s="9" t="s">
        <v>24</v>
      </c>
      <c r="H409" s="9" t="s">
        <v>29</v>
      </c>
      <c r="I409" s="9">
        <v>0</v>
      </c>
      <c r="J409" s="9">
        <v>0</v>
      </c>
      <c r="K409" s="10">
        <v>32513.3</v>
      </c>
      <c r="L409" s="10">
        <v>10727.04</v>
      </c>
      <c r="M409" s="9">
        <v>0</v>
      </c>
      <c r="N409" s="10">
        <v>33838.65</v>
      </c>
      <c r="O409" s="9">
        <v>0</v>
      </c>
      <c r="P409" s="10">
        <v>47308.639999999999</v>
      </c>
      <c r="Q409" s="9">
        <v>0</v>
      </c>
      <c r="R409" s="12">
        <f t="shared" si="0"/>
        <v>124387.62999999999</v>
      </c>
    </row>
    <row r="410" spans="1:18" ht="12.75" x14ac:dyDescent="0.2">
      <c r="A410" s="9" t="s">
        <v>335</v>
      </c>
      <c r="B410" s="9" t="s">
        <v>17</v>
      </c>
      <c r="C410" s="9" t="s">
        <v>18</v>
      </c>
      <c r="D410" s="9" t="s">
        <v>19</v>
      </c>
      <c r="E410" s="9" t="s">
        <v>42</v>
      </c>
      <c r="F410" s="9" t="s">
        <v>333</v>
      </c>
      <c r="G410" s="9" t="s">
        <v>25</v>
      </c>
      <c r="H410" s="10">
        <v>75183.320000000007</v>
      </c>
      <c r="I410" s="10">
        <v>404445.2</v>
      </c>
      <c r="J410" s="9">
        <v>0</v>
      </c>
      <c r="K410" s="9">
        <v>207.21</v>
      </c>
      <c r="L410" s="10">
        <v>70642.720000000001</v>
      </c>
      <c r="M410" s="9">
        <v>0</v>
      </c>
      <c r="N410" s="9">
        <v>0</v>
      </c>
      <c r="O410" s="9">
        <v>0</v>
      </c>
      <c r="P410" s="10">
        <v>6175.8</v>
      </c>
      <c r="Q410" s="10">
        <v>4968.76</v>
      </c>
      <c r="R410" s="11">
        <f t="shared" si="0"/>
        <v>561623.01000000013</v>
      </c>
    </row>
    <row r="411" spans="1:18" ht="12.75" x14ac:dyDescent="0.2">
      <c r="A411" s="9" t="s">
        <v>335</v>
      </c>
      <c r="B411" s="9" t="s">
        <v>17</v>
      </c>
      <c r="C411" s="9" t="s">
        <v>18</v>
      </c>
      <c r="D411" s="9" t="s">
        <v>19</v>
      </c>
      <c r="E411" s="9" t="s">
        <v>42</v>
      </c>
      <c r="F411" s="9" t="s">
        <v>333</v>
      </c>
      <c r="G411" s="9" t="s">
        <v>28</v>
      </c>
      <c r="H411" s="10">
        <v>133317.4</v>
      </c>
      <c r="I411" s="10">
        <v>182334.5</v>
      </c>
      <c r="J411" s="10">
        <v>158810.99</v>
      </c>
      <c r="K411" s="10">
        <v>54157.5</v>
      </c>
      <c r="L411" s="10">
        <v>65338.45</v>
      </c>
      <c r="M411" s="10">
        <v>23749.57</v>
      </c>
      <c r="N411" s="10">
        <v>9587.36</v>
      </c>
      <c r="O411" s="10">
        <v>6673.13</v>
      </c>
      <c r="P411" s="10">
        <v>17862.64</v>
      </c>
      <c r="Q411" s="10">
        <v>217662.72</v>
      </c>
      <c r="R411" s="11">
        <f t="shared" si="0"/>
        <v>869494.25999999989</v>
      </c>
    </row>
    <row r="412" spans="1:18" ht="12.75" x14ac:dyDescent="0.2">
      <c r="A412" s="9" t="s">
        <v>335</v>
      </c>
      <c r="B412" s="9" t="s">
        <v>17</v>
      </c>
      <c r="C412" s="9" t="s">
        <v>18</v>
      </c>
      <c r="D412" s="9" t="s">
        <v>19</v>
      </c>
      <c r="E412" s="9" t="s">
        <v>42</v>
      </c>
      <c r="F412" s="9" t="s">
        <v>333</v>
      </c>
      <c r="G412" s="9" t="s">
        <v>43</v>
      </c>
      <c r="H412" s="10">
        <v>204490.95</v>
      </c>
      <c r="I412" s="10">
        <v>342279.35</v>
      </c>
      <c r="J412" s="10">
        <v>453033.2</v>
      </c>
      <c r="K412" s="10">
        <v>975459.23</v>
      </c>
      <c r="L412" s="10">
        <v>671961.84</v>
      </c>
      <c r="M412" s="10">
        <v>46572.15</v>
      </c>
      <c r="N412" s="10">
        <v>1186937.1599999999</v>
      </c>
      <c r="O412" s="10">
        <v>632105.81999999995</v>
      </c>
      <c r="P412" s="10">
        <v>2813546.49</v>
      </c>
      <c r="Q412" s="10">
        <v>423856.64000000001</v>
      </c>
      <c r="R412" s="11">
        <f t="shared" si="0"/>
        <v>7750242.8300000001</v>
      </c>
    </row>
    <row r="413" spans="1:18" ht="12.75" x14ac:dyDescent="0.2">
      <c r="A413" s="9" t="s">
        <v>335</v>
      </c>
      <c r="B413" s="9" t="s">
        <v>17</v>
      </c>
      <c r="C413" s="9" t="s">
        <v>18</v>
      </c>
      <c r="D413" s="9" t="s">
        <v>156</v>
      </c>
      <c r="E413" s="9" t="s">
        <v>157</v>
      </c>
      <c r="F413" s="9" t="s">
        <v>333</v>
      </c>
      <c r="G413" s="9" t="s">
        <v>21</v>
      </c>
      <c r="H413" s="10">
        <v>268768.24</v>
      </c>
      <c r="I413" s="10">
        <v>2618.86</v>
      </c>
      <c r="J413" s="10">
        <v>8942.7099999999991</v>
      </c>
      <c r="K413" s="10">
        <v>5933.02</v>
      </c>
      <c r="L413" s="10">
        <v>5072.3</v>
      </c>
      <c r="M413" s="10">
        <v>6328.3</v>
      </c>
      <c r="N413" s="10">
        <v>6433.17</v>
      </c>
      <c r="O413" s="10">
        <v>6586.33</v>
      </c>
      <c r="P413" s="10">
        <v>5808.48</v>
      </c>
      <c r="Q413" s="10">
        <v>6437.79</v>
      </c>
      <c r="R413" s="11">
        <f t="shared" si="0"/>
        <v>322929.19999999995</v>
      </c>
    </row>
    <row r="414" spans="1:18" ht="12.75" x14ac:dyDescent="0.2">
      <c r="A414" s="9" t="s">
        <v>335</v>
      </c>
      <c r="B414" s="9" t="s">
        <v>17</v>
      </c>
      <c r="C414" s="9" t="s">
        <v>18</v>
      </c>
      <c r="D414" s="9" t="s">
        <v>156</v>
      </c>
      <c r="E414" s="9" t="s">
        <v>157</v>
      </c>
      <c r="F414" s="9" t="s">
        <v>333</v>
      </c>
      <c r="G414" s="9" t="s">
        <v>24</v>
      </c>
      <c r="H414" s="10">
        <v>46778.87</v>
      </c>
      <c r="I414" s="10">
        <v>1278.1099999999999</v>
      </c>
      <c r="J414" s="10">
        <v>2959.37</v>
      </c>
      <c r="K414" s="10">
        <v>6667.59</v>
      </c>
      <c r="L414" s="10">
        <v>11968.51</v>
      </c>
      <c r="M414" s="10">
        <v>7549.96</v>
      </c>
      <c r="N414" s="10">
        <v>7377.33</v>
      </c>
      <c r="O414" s="10">
        <v>5661.25</v>
      </c>
      <c r="P414" s="10">
        <v>6428.98</v>
      </c>
      <c r="Q414" s="10">
        <v>7233.84</v>
      </c>
      <c r="R414" s="11">
        <f t="shared" si="0"/>
        <v>103903.81</v>
      </c>
    </row>
    <row r="415" spans="1:18" ht="12.75" x14ac:dyDescent="0.2">
      <c r="A415" s="9" t="s">
        <v>335</v>
      </c>
      <c r="B415" s="9" t="s">
        <v>17</v>
      </c>
      <c r="C415" s="9" t="s">
        <v>18</v>
      </c>
      <c r="D415" s="9" t="s">
        <v>156</v>
      </c>
      <c r="E415" s="9" t="s">
        <v>157</v>
      </c>
      <c r="F415" s="9" t="s">
        <v>333</v>
      </c>
      <c r="G415" s="9" t="s">
        <v>25</v>
      </c>
      <c r="H415" s="10">
        <v>89732.87</v>
      </c>
      <c r="I415" s="10">
        <v>482713.79</v>
      </c>
      <c r="J415" s="10">
        <v>43630.21</v>
      </c>
      <c r="K415" s="10">
        <v>9118.39</v>
      </c>
      <c r="L415" s="9">
        <v>0</v>
      </c>
      <c r="M415" s="9">
        <v>0</v>
      </c>
      <c r="N415" s="9">
        <v>0</v>
      </c>
      <c r="O415" s="9">
        <v>0</v>
      </c>
      <c r="P415" s="10">
        <v>179098.33</v>
      </c>
      <c r="Q415" s="9">
        <v>0</v>
      </c>
      <c r="R415" s="11">
        <f t="shared" si="0"/>
        <v>804293.58999999985</v>
      </c>
    </row>
    <row r="416" spans="1:18" ht="12.75" x14ac:dyDescent="0.2">
      <c r="A416" s="9" t="s">
        <v>335</v>
      </c>
      <c r="B416" s="9" t="s">
        <v>17</v>
      </c>
      <c r="C416" s="9" t="s">
        <v>18</v>
      </c>
      <c r="D416" s="9" t="s">
        <v>156</v>
      </c>
      <c r="E416" s="9" t="s">
        <v>157</v>
      </c>
      <c r="F416" s="9" t="s">
        <v>333</v>
      </c>
      <c r="G416" s="9" t="s">
        <v>28</v>
      </c>
      <c r="H416" s="9" t="s">
        <v>29</v>
      </c>
      <c r="I416" s="9">
        <v>0</v>
      </c>
      <c r="J416" s="10">
        <v>1093982.6499999999</v>
      </c>
      <c r="K416" s="9">
        <v>0</v>
      </c>
      <c r="L416" s="10">
        <v>204058.16</v>
      </c>
      <c r="M416" s="9">
        <v>0</v>
      </c>
      <c r="N416" s="10">
        <v>59037.94</v>
      </c>
      <c r="O416" s="9">
        <v>0</v>
      </c>
      <c r="P416" s="9">
        <v>595.41999999999996</v>
      </c>
      <c r="Q416" s="10">
        <v>51099.9</v>
      </c>
      <c r="R416" s="12">
        <f t="shared" si="0"/>
        <v>1408774.0699999996</v>
      </c>
    </row>
    <row r="417" spans="1:18" ht="12.75" x14ac:dyDescent="0.2">
      <c r="A417" s="9" t="s">
        <v>335</v>
      </c>
      <c r="B417" s="9" t="s">
        <v>17</v>
      </c>
      <c r="C417" s="9" t="s">
        <v>18</v>
      </c>
      <c r="D417" s="9" t="s">
        <v>156</v>
      </c>
      <c r="E417" s="9" t="s">
        <v>157</v>
      </c>
      <c r="F417" s="9" t="s">
        <v>333</v>
      </c>
      <c r="G417" s="9" t="s">
        <v>34</v>
      </c>
      <c r="H417" s="10">
        <v>230955.36</v>
      </c>
      <c r="I417" s="10">
        <v>226787.24</v>
      </c>
      <c r="J417" s="10">
        <v>108417.55</v>
      </c>
      <c r="K417" s="10">
        <v>46399.88</v>
      </c>
      <c r="L417" s="10">
        <v>25870.09</v>
      </c>
      <c r="M417" s="10">
        <v>34704.61</v>
      </c>
      <c r="N417" s="10">
        <v>42293.7</v>
      </c>
      <c r="O417" s="10">
        <v>38369.300000000003</v>
      </c>
      <c r="P417" s="10">
        <v>37849.1</v>
      </c>
      <c r="Q417" s="10">
        <v>31037.01</v>
      </c>
      <c r="R417" s="11">
        <f t="shared" si="0"/>
        <v>822683.84</v>
      </c>
    </row>
    <row r="418" spans="1:18" ht="12.75" x14ac:dyDescent="0.2">
      <c r="A418" s="9" t="s">
        <v>335</v>
      </c>
      <c r="B418" s="9" t="s">
        <v>17</v>
      </c>
      <c r="C418" s="9" t="s">
        <v>18</v>
      </c>
      <c r="D418" s="9" t="s">
        <v>19</v>
      </c>
      <c r="E418" s="9" t="s">
        <v>19</v>
      </c>
      <c r="F418" s="9" t="s">
        <v>333</v>
      </c>
      <c r="G418" s="9" t="s">
        <v>24</v>
      </c>
      <c r="H418" s="10">
        <v>1824131.03</v>
      </c>
      <c r="I418" s="10">
        <v>49839.55</v>
      </c>
      <c r="J418" s="10">
        <v>132488.82</v>
      </c>
      <c r="K418" s="10">
        <v>358144.72</v>
      </c>
      <c r="L418" s="10">
        <v>299906.73</v>
      </c>
      <c r="M418" s="10">
        <v>405540.94</v>
      </c>
      <c r="N418" s="10">
        <v>569762.82999999996</v>
      </c>
      <c r="O418" s="10">
        <v>511545.58</v>
      </c>
      <c r="P418" s="10">
        <v>680391.29</v>
      </c>
      <c r="Q418" s="10">
        <v>388560.55</v>
      </c>
      <c r="R418" s="11">
        <f t="shared" si="0"/>
        <v>5220312.04</v>
      </c>
    </row>
    <row r="419" spans="1:18" ht="12.75" x14ac:dyDescent="0.2">
      <c r="A419" s="9" t="s">
        <v>335</v>
      </c>
      <c r="B419" s="9" t="s">
        <v>17</v>
      </c>
      <c r="C419" s="9" t="s">
        <v>18</v>
      </c>
      <c r="D419" s="9" t="s">
        <v>19</v>
      </c>
      <c r="E419" s="9" t="s">
        <v>19</v>
      </c>
      <c r="F419" s="9" t="s">
        <v>333</v>
      </c>
      <c r="G419" s="9" t="s">
        <v>25</v>
      </c>
      <c r="H419" s="10">
        <v>57685.41</v>
      </c>
      <c r="I419" s="10">
        <v>310316.01</v>
      </c>
      <c r="J419" s="9">
        <v>0</v>
      </c>
      <c r="K419" s="9">
        <v>0</v>
      </c>
      <c r="L419" s="9">
        <v>0</v>
      </c>
      <c r="M419" s="10">
        <v>58795.68</v>
      </c>
      <c r="N419" s="9">
        <v>0</v>
      </c>
      <c r="O419" s="9">
        <v>0</v>
      </c>
      <c r="P419" s="9">
        <v>0</v>
      </c>
      <c r="Q419" s="9">
        <v>0</v>
      </c>
      <c r="R419" s="11">
        <f t="shared" si="0"/>
        <v>426797.10000000003</v>
      </c>
    </row>
    <row r="420" spans="1:18" ht="12.75" x14ac:dyDescent="0.2">
      <c r="A420" s="9" t="s">
        <v>335</v>
      </c>
      <c r="B420" s="9" t="s">
        <v>17</v>
      </c>
      <c r="C420" s="9" t="s">
        <v>18</v>
      </c>
      <c r="D420" s="9" t="s">
        <v>19</v>
      </c>
      <c r="E420" s="9" t="s">
        <v>19</v>
      </c>
      <c r="F420" s="9" t="s">
        <v>333</v>
      </c>
      <c r="G420" s="9" t="s">
        <v>38</v>
      </c>
      <c r="H420" s="10">
        <v>1740497.14</v>
      </c>
      <c r="I420" s="10">
        <v>3312534.22</v>
      </c>
      <c r="J420" s="10">
        <v>10693264.689999999</v>
      </c>
      <c r="K420" s="10">
        <v>7758693.6699999999</v>
      </c>
      <c r="L420" s="10">
        <v>5445394.4500000002</v>
      </c>
      <c r="M420" s="10">
        <v>9307615.3200000003</v>
      </c>
      <c r="N420" s="10">
        <v>6219209.3099999996</v>
      </c>
      <c r="O420" s="10">
        <v>2312028.98</v>
      </c>
      <c r="P420" s="10">
        <v>10925307.75</v>
      </c>
      <c r="Q420" s="10">
        <v>5687433.9199999999</v>
      </c>
      <c r="R420" s="11">
        <f t="shared" si="0"/>
        <v>63401979.449999996</v>
      </c>
    </row>
    <row r="421" spans="1:18" ht="12.75" x14ac:dyDescent="0.2">
      <c r="A421" s="9" t="s">
        <v>335</v>
      </c>
      <c r="B421" s="9" t="s">
        <v>17</v>
      </c>
      <c r="C421" s="9" t="s">
        <v>18</v>
      </c>
      <c r="D421" s="9" t="s">
        <v>19</v>
      </c>
      <c r="E421" s="9" t="s">
        <v>19</v>
      </c>
      <c r="F421" s="9" t="s">
        <v>333</v>
      </c>
      <c r="G421" s="9" t="s">
        <v>28</v>
      </c>
      <c r="H421" s="9" t="s">
        <v>29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10">
        <v>5373.97</v>
      </c>
      <c r="O421" s="9">
        <v>729.3</v>
      </c>
      <c r="P421" s="9">
        <v>0</v>
      </c>
      <c r="Q421" s="9">
        <v>362.93</v>
      </c>
      <c r="R421" s="12">
        <f t="shared" si="0"/>
        <v>6466.2000000000007</v>
      </c>
    </row>
    <row r="422" spans="1:18" ht="12.75" x14ac:dyDescent="0.2">
      <c r="A422" s="9" t="s">
        <v>335</v>
      </c>
      <c r="B422" s="9" t="s">
        <v>17</v>
      </c>
      <c r="C422" s="9" t="s">
        <v>18</v>
      </c>
      <c r="D422" s="9" t="s">
        <v>19</v>
      </c>
      <c r="E422" s="9" t="s">
        <v>19</v>
      </c>
      <c r="F422" s="9" t="s">
        <v>333</v>
      </c>
      <c r="G422" s="9" t="s">
        <v>34</v>
      </c>
      <c r="H422" s="10">
        <v>38811.300000000003</v>
      </c>
      <c r="I422" s="10">
        <v>38110.86</v>
      </c>
      <c r="J422" s="10">
        <v>21154.639999999999</v>
      </c>
      <c r="K422" s="10">
        <v>7286.09</v>
      </c>
      <c r="L422" s="10">
        <v>5047.82</v>
      </c>
      <c r="M422" s="10">
        <v>5107.8599999999997</v>
      </c>
      <c r="N422" s="10">
        <v>8049.55</v>
      </c>
      <c r="O422" s="10">
        <v>7500.9</v>
      </c>
      <c r="P422" s="10">
        <v>6347.71</v>
      </c>
      <c r="Q422" s="10">
        <v>7778.77</v>
      </c>
      <c r="R422" s="11">
        <f t="shared" si="0"/>
        <v>145195.49999999997</v>
      </c>
    </row>
    <row r="423" spans="1:18" ht="12.75" x14ac:dyDescent="0.2">
      <c r="A423" s="9" t="s">
        <v>335</v>
      </c>
      <c r="B423" s="9" t="s">
        <v>17</v>
      </c>
      <c r="C423" s="9" t="s">
        <v>18</v>
      </c>
      <c r="D423" s="9" t="s">
        <v>156</v>
      </c>
      <c r="E423" s="9" t="s">
        <v>158</v>
      </c>
      <c r="F423" s="9" t="s">
        <v>333</v>
      </c>
      <c r="G423" s="9" t="s">
        <v>24</v>
      </c>
      <c r="H423" s="9" t="s">
        <v>29</v>
      </c>
      <c r="I423" s="9">
        <v>0</v>
      </c>
      <c r="J423" s="10">
        <v>20893.36</v>
      </c>
      <c r="K423" s="10">
        <v>77277.09</v>
      </c>
      <c r="L423" s="10">
        <v>16096.94</v>
      </c>
      <c r="M423" s="10">
        <v>8642.4699999999993</v>
      </c>
      <c r="N423" s="10">
        <v>20491.650000000001</v>
      </c>
      <c r="O423" s="10">
        <v>30264.92</v>
      </c>
      <c r="P423" s="9">
        <v>0</v>
      </c>
      <c r="Q423" s="9">
        <v>0</v>
      </c>
      <c r="R423" s="12">
        <f t="shared" si="0"/>
        <v>173666.43</v>
      </c>
    </row>
    <row r="424" spans="1:18" ht="12.75" x14ac:dyDescent="0.2">
      <c r="A424" s="9" t="s">
        <v>335</v>
      </c>
      <c r="B424" s="9" t="s">
        <v>17</v>
      </c>
      <c r="C424" s="9" t="s">
        <v>36</v>
      </c>
      <c r="D424" s="9" t="s">
        <v>156</v>
      </c>
      <c r="E424" s="9" t="s">
        <v>158</v>
      </c>
      <c r="F424" s="9" t="s">
        <v>333</v>
      </c>
      <c r="G424" s="9" t="s">
        <v>37</v>
      </c>
      <c r="H424" s="9" t="s">
        <v>29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10">
        <v>122778.62</v>
      </c>
      <c r="R424" s="12">
        <f t="shared" si="0"/>
        <v>122778.62</v>
      </c>
    </row>
    <row r="425" spans="1:18" ht="12.75" x14ac:dyDescent="0.2">
      <c r="A425" s="9" t="s">
        <v>335</v>
      </c>
      <c r="B425" s="9" t="s">
        <v>17</v>
      </c>
      <c r="C425" s="9" t="s">
        <v>18</v>
      </c>
      <c r="D425" s="9" t="s">
        <v>156</v>
      </c>
      <c r="E425" s="9" t="s">
        <v>158</v>
      </c>
      <c r="F425" s="9" t="s">
        <v>333</v>
      </c>
      <c r="G425" s="9" t="s">
        <v>28</v>
      </c>
      <c r="H425" s="9" t="s">
        <v>29</v>
      </c>
      <c r="I425" s="9">
        <v>0</v>
      </c>
      <c r="J425" s="9">
        <v>0</v>
      </c>
      <c r="K425" s="9">
        <v>0</v>
      </c>
      <c r="L425" s="9">
        <v>786.93</v>
      </c>
      <c r="M425" s="9">
        <v>0</v>
      </c>
      <c r="N425" s="9">
        <v>0</v>
      </c>
      <c r="O425" s="9">
        <v>923.78</v>
      </c>
      <c r="P425" s="9">
        <v>0</v>
      </c>
      <c r="Q425" s="9">
        <v>0</v>
      </c>
      <c r="R425" s="12">
        <f t="shared" si="0"/>
        <v>1710.71</v>
      </c>
    </row>
    <row r="426" spans="1:18" ht="12.75" x14ac:dyDescent="0.2">
      <c r="A426" s="9" t="s">
        <v>335</v>
      </c>
      <c r="B426" s="9" t="s">
        <v>17</v>
      </c>
      <c r="C426" s="9" t="s">
        <v>18</v>
      </c>
      <c r="D426" s="9" t="s">
        <v>156</v>
      </c>
      <c r="E426" s="9" t="s">
        <v>158</v>
      </c>
      <c r="F426" s="9" t="s">
        <v>333</v>
      </c>
      <c r="G426" s="9" t="s">
        <v>34</v>
      </c>
      <c r="H426" s="9" t="s">
        <v>29</v>
      </c>
      <c r="I426" s="9">
        <v>0</v>
      </c>
      <c r="J426" s="9">
        <v>0</v>
      </c>
      <c r="K426" s="9">
        <v>0</v>
      </c>
      <c r="L426" s="9">
        <v>0</v>
      </c>
      <c r="M426" s="10">
        <v>1112.75</v>
      </c>
      <c r="N426" s="9">
        <v>0</v>
      </c>
      <c r="O426" s="10">
        <v>5419.43</v>
      </c>
      <c r="P426" s="10">
        <v>1808.54</v>
      </c>
      <c r="Q426" s="10">
        <v>1188.1199999999999</v>
      </c>
      <c r="R426" s="12">
        <f t="shared" si="0"/>
        <v>9528.84</v>
      </c>
    </row>
    <row r="427" spans="1:18" ht="12.75" x14ac:dyDescent="0.2">
      <c r="A427" s="9" t="s">
        <v>335</v>
      </c>
      <c r="B427" s="9" t="s">
        <v>17</v>
      </c>
      <c r="C427" s="9" t="s">
        <v>18</v>
      </c>
      <c r="D427" s="9" t="s">
        <v>336</v>
      </c>
      <c r="E427" s="9" t="s">
        <v>337</v>
      </c>
      <c r="F427" s="9" t="s">
        <v>333</v>
      </c>
      <c r="G427" s="9" t="s">
        <v>24</v>
      </c>
      <c r="H427" s="10">
        <v>1814040.52</v>
      </c>
      <c r="I427" s="10">
        <v>49563.85</v>
      </c>
      <c r="J427" s="10">
        <v>9970.74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11">
        <f t="shared" si="0"/>
        <v>1873575.11</v>
      </c>
    </row>
    <row r="428" spans="1:18" ht="12.75" x14ac:dyDescent="0.2">
      <c r="A428" s="9" t="s">
        <v>335</v>
      </c>
      <c r="B428" s="9" t="s">
        <v>17</v>
      </c>
      <c r="C428" s="9" t="s">
        <v>18</v>
      </c>
      <c r="D428" s="9" t="s">
        <v>336</v>
      </c>
      <c r="E428" s="9" t="s">
        <v>337</v>
      </c>
      <c r="F428" s="9" t="s">
        <v>333</v>
      </c>
      <c r="G428" s="9" t="s">
        <v>25</v>
      </c>
      <c r="H428" s="10">
        <v>1058847.83</v>
      </c>
      <c r="I428" s="10">
        <v>5696022.7599999998</v>
      </c>
      <c r="J428" s="10">
        <v>2203325.59</v>
      </c>
      <c r="K428" s="10">
        <v>707641.55</v>
      </c>
      <c r="L428" s="10">
        <v>883347.36</v>
      </c>
      <c r="M428" s="10">
        <v>821939.66</v>
      </c>
      <c r="N428" s="10">
        <v>1202991.3600000001</v>
      </c>
      <c r="O428" s="10">
        <v>586607.79</v>
      </c>
      <c r="P428" s="10">
        <v>904314.23</v>
      </c>
      <c r="Q428" s="10">
        <v>949052.43</v>
      </c>
      <c r="R428" s="11">
        <f t="shared" si="0"/>
        <v>15014090.559999999</v>
      </c>
    </row>
    <row r="429" spans="1:18" ht="12.75" x14ac:dyDescent="0.2">
      <c r="A429" s="9" t="s">
        <v>335</v>
      </c>
      <c r="B429" s="9" t="s">
        <v>17</v>
      </c>
      <c r="C429" s="9" t="s">
        <v>18</v>
      </c>
      <c r="D429" s="9" t="s">
        <v>336</v>
      </c>
      <c r="E429" s="9" t="s">
        <v>337</v>
      </c>
      <c r="F429" s="9" t="s">
        <v>333</v>
      </c>
      <c r="G429" s="9" t="s">
        <v>47</v>
      </c>
      <c r="H429" s="9" t="s">
        <v>29</v>
      </c>
      <c r="I429" s="9">
        <v>0</v>
      </c>
      <c r="J429" s="10">
        <v>779027.48</v>
      </c>
      <c r="K429" s="9">
        <v>0</v>
      </c>
      <c r="L429" s="10">
        <v>1025614.68</v>
      </c>
      <c r="M429" s="10">
        <v>295114.75</v>
      </c>
      <c r="N429" s="10">
        <v>1586286.95</v>
      </c>
      <c r="O429" s="9">
        <v>0</v>
      </c>
      <c r="P429" s="10">
        <v>1040569.39</v>
      </c>
      <c r="Q429" s="9">
        <v>0</v>
      </c>
      <c r="R429" s="12">
        <f t="shared" si="0"/>
        <v>4726613.25</v>
      </c>
    </row>
    <row r="430" spans="1:18" ht="12.75" x14ac:dyDescent="0.2">
      <c r="A430" s="9" t="s">
        <v>335</v>
      </c>
      <c r="B430" s="9" t="s">
        <v>17</v>
      </c>
      <c r="C430" s="9" t="s">
        <v>18</v>
      </c>
      <c r="D430" s="9" t="s">
        <v>336</v>
      </c>
      <c r="E430" s="9" t="s">
        <v>152</v>
      </c>
      <c r="F430" s="9" t="s">
        <v>333</v>
      </c>
      <c r="G430" s="9" t="s">
        <v>24</v>
      </c>
      <c r="H430" s="10">
        <v>24890957.460000001</v>
      </c>
      <c r="I430" s="10">
        <v>680079.45</v>
      </c>
      <c r="J430" s="10">
        <v>669012.69999999995</v>
      </c>
      <c r="K430" s="10">
        <v>1458186.26</v>
      </c>
      <c r="L430" s="10">
        <v>1173908.3799999999</v>
      </c>
      <c r="M430" s="10">
        <v>1639974.81</v>
      </c>
      <c r="N430" s="10">
        <v>1893524.41</v>
      </c>
      <c r="O430" s="10">
        <v>1485272.67</v>
      </c>
      <c r="P430" s="10">
        <v>2202299.79</v>
      </c>
      <c r="Q430" s="10">
        <v>254427.51</v>
      </c>
      <c r="R430" s="11">
        <f t="shared" si="0"/>
        <v>36347643.439999998</v>
      </c>
    </row>
    <row r="431" spans="1:18" ht="12.75" x14ac:dyDescent="0.2">
      <c r="A431" s="9" t="s">
        <v>335</v>
      </c>
      <c r="B431" s="9" t="s">
        <v>17</v>
      </c>
      <c r="C431" s="9" t="s">
        <v>36</v>
      </c>
      <c r="D431" s="9" t="s">
        <v>336</v>
      </c>
      <c r="E431" s="9" t="s">
        <v>152</v>
      </c>
      <c r="F431" s="9" t="s">
        <v>333</v>
      </c>
      <c r="G431" s="9" t="s">
        <v>37</v>
      </c>
      <c r="H431" s="10">
        <v>264710.93</v>
      </c>
      <c r="I431" s="10">
        <v>94656.71</v>
      </c>
      <c r="J431" s="10">
        <v>74311.399999999994</v>
      </c>
      <c r="K431" s="10">
        <v>9772.66</v>
      </c>
      <c r="L431" s="10">
        <v>12219.07</v>
      </c>
      <c r="M431" s="10">
        <v>27544.83</v>
      </c>
      <c r="N431" s="10">
        <v>20066.38</v>
      </c>
      <c r="O431" s="10">
        <v>24912.47</v>
      </c>
      <c r="P431" s="10">
        <v>131457.07</v>
      </c>
      <c r="Q431" s="10">
        <v>23928.45</v>
      </c>
      <c r="R431" s="11">
        <f t="shared" si="0"/>
        <v>683579.97</v>
      </c>
    </row>
    <row r="432" spans="1:18" ht="12.75" x14ac:dyDescent="0.2">
      <c r="A432" s="9" t="s">
        <v>335</v>
      </c>
      <c r="B432" s="9" t="s">
        <v>17</v>
      </c>
      <c r="C432" s="9" t="s">
        <v>18</v>
      </c>
      <c r="D432" s="9" t="s">
        <v>336</v>
      </c>
      <c r="E432" s="9" t="s">
        <v>152</v>
      </c>
      <c r="F432" s="9" t="s">
        <v>333</v>
      </c>
      <c r="G432" s="9" t="s">
        <v>25</v>
      </c>
      <c r="H432" s="10">
        <v>2475799.04</v>
      </c>
      <c r="I432" s="10">
        <v>13318446.07</v>
      </c>
      <c r="J432" s="10">
        <v>1865339.83</v>
      </c>
      <c r="K432" s="10">
        <v>617101.62</v>
      </c>
      <c r="L432" s="10">
        <v>1654924.59</v>
      </c>
      <c r="M432" s="10">
        <v>1092348.29</v>
      </c>
      <c r="N432" s="10">
        <v>704726.65</v>
      </c>
      <c r="O432" s="10">
        <v>500137.6</v>
      </c>
      <c r="P432" s="10">
        <v>3860130.69</v>
      </c>
      <c r="Q432" s="10">
        <v>4424834.8600000003</v>
      </c>
      <c r="R432" s="11">
        <f t="shared" si="0"/>
        <v>30513789.239999998</v>
      </c>
    </row>
    <row r="433" spans="1:18" ht="12.75" x14ac:dyDescent="0.2">
      <c r="A433" s="9" t="s">
        <v>335</v>
      </c>
      <c r="B433" s="9" t="s">
        <v>17</v>
      </c>
      <c r="C433" s="9" t="s">
        <v>18</v>
      </c>
      <c r="D433" s="9" t="s">
        <v>336</v>
      </c>
      <c r="E433" s="9" t="s">
        <v>152</v>
      </c>
      <c r="F433" s="9" t="s">
        <v>333</v>
      </c>
      <c r="G433" s="9" t="s">
        <v>26</v>
      </c>
      <c r="H433" s="10">
        <v>2353525.2400000002</v>
      </c>
      <c r="I433" s="10">
        <v>149322.56</v>
      </c>
      <c r="J433" s="10">
        <v>150080.26999999999</v>
      </c>
      <c r="K433" s="10">
        <v>42238.7</v>
      </c>
      <c r="L433" s="10">
        <v>52087.71</v>
      </c>
      <c r="M433" s="10">
        <v>66314.22</v>
      </c>
      <c r="N433" s="10">
        <v>76846.539999999994</v>
      </c>
      <c r="O433" s="10">
        <v>77210.03</v>
      </c>
      <c r="P433" s="10">
        <v>67613.69</v>
      </c>
      <c r="Q433" s="10">
        <v>79656.56</v>
      </c>
      <c r="R433" s="11">
        <f t="shared" si="0"/>
        <v>3114895.5200000005</v>
      </c>
    </row>
    <row r="434" spans="1:18" ht="12.75" x14ac:dyDescent="0.2">
      <c r="A434" s="9" t="s">
        <v>335</v>
      </c>
      <c r="B434" s="9" t="s">
        <v>17</v>
      </c>
      <c r="C434" s="9" t="s">
        <v>18</v>
      </c>
      <c r="D434" s="9" t="s">
        <v>336</v>
      </c>
      <c r="E434" s="9" t="s">
        <v>152</v>
      </c>
      <c r="F434" s="9" t="s">
        <v>333</v>
      </c>
      <c r="G434" s="9" t="s">
        <v>27</v>
      </c>
      <c r="H434" s="10">
        <v>243560.64</v>
      </c>
      <c r="I434" s="10">
        <v>51647.89</v>
      </c>
      <c r="J434" s="9">
        <v>0</v>
      </c>
      <c r="K434" s="9">
        <v>0</v>
      </c>
      <c r="L434" s="10">
        <v>18701.650000000001</v>
      </c>
      <c r="M434" s="9">
        <v>0</v>
      </c>
      <c r="N434" s="9">
        <v>0</v>
      </c>
      <c r="O434" s="9">
        <v>0</v>
      </c>
      <c r="P434" s="10">
        <v>108354.95</v>
      </c>
      <c r="Q434" s="9">
        <v>0</v>
      </c>
      <c r="R434" s="11">
        <f t="shared" si="0"/>
        <v>422265.13000000006</v>
      </c>
    </row>
    <row r="435" spans="1:18" ht="12.75" x14ac:dyDescent="0.2">
      <c r="A435" s="9" t="s">
        <v>335</v>
      </c>
      <c r="B435" s="9" t="s">
        <v>17</v>
      </c>
      <c r="C435" s="9" t="s">
        <v>18</v>
      </c>
      <c r="D435" s="9" t="s">
        <v>336</v>
      </c>
      <c r="E435" s="9" t="s">
        <v>152</v>
      </c>
      <c r="F435" s="9" t="s">
        <v>333</v>
      </c>
      <c r="G435" s="9" t="s">
        <v>28</v>
      </c>
      <c r="H435" s="9" t="s">
        <v>29</v>
      </c>
      <c r="I435" s="9">
        <v>0</v>
      </c>
      <c r="J435" s="10">
        <v>4340.18</v>
      </c>
      <c r="K435" s="10">
        <v>1445.39</v>
      </c>
      <c r="L435" s="9">
        <v>0</v>
      </c>
      <c r="M435" s="9">
        <v>0</v>
      </c>
      <c r="N435" s="9">
        <v>0</v>
      </c>
      <c r="O435" s="9">
        <v>777.92</v>
      </c>
      <c r="P435" s="10">
        <v>42796.61</v>
      </c>
      <c r="Q435" s="9">
        <v>0</v>
      </c>
      <c r="R435" s="12">
        <f t="shared" si="0"/>
        <v>49360.1</v>
      </c>
    </row>
    <row r="436" spans="1:18" ht="12.75" x14ac:dyDescent="0.2">
      <c r="A436" s="9" t="s">
        <v>335</v>
      </c>
      <c r="B436" s="9" t="s">
        <v>17</v>
      </c>
      <c r="C436" s="9" t="s">
        <v>18</v>
      </c>
      <c r="D436" s="9" t="s">
        <v>336</v>
      </c>
      <c r="E436" s="9" t="s">
        <v>152</v>
      </c>
      <c r="F436" s="9" t="s">
        <v>333</v>
      </c>
      <c r="G436" s="9" t="s">
        <v>30</v>
      </c>
      <c r="H436" s="10">
        <v>2240165.4300000002</v>
      </c>
      <c r="I436" s="10">
        <v>2323707.54</v>
      </c>
      <c r="J436" s="10">
        <v>3228395.27</v>
      </c>
      <c r="K436" s="10">
        <v>21168825.420000002</v>
      </c>
      <c r="L436" s="10">
        <v>13044678.609999999</v>
      </c>
      <c r="M436" s="10">
        <v>14269100.35</v>
      </c>
      <c r="N436" s="10">
        <v>5791521.5099999998</v>
      </c>
      <c r="O436" s="10">
        <v>28537359.600000001</v>
      </c>
      <c r="P436" s="10">
        <v>20453801.370000001</v>
      </c>
      <c r="Q436" s="10">
        <v>24199925.609999999</v>
      </c>
      <c r="R436" s="11">
        <f t="shared" si="0"/>
        <v>135257480.71000001</v>
      </c>
    </row>
    <row r="437" spans="1:18" ht="12.75" x14ac:dyDescent="0.2">
      <c r="A437" s="9" t="s">
        <v>335</v>
      </c>
      <c r="B437" s="9" t="s">
        <v>17</v>
      </c>
      <c r="C437" s="9" t="s">
        <v>18</v>
      </c>
      <c r="D437" s="9" t="s">
        <v>336</v>
      </c>
      <c r="E437" s="9" t="s">
        <v>152</v>
      </c>
      <c r="F437" s="9" t="s">
        <v>333</v>
      </c>
      <c r="G437" s="9" t="s">
        <v>47</v>
      </c>
      <c r="H437" s="10">
        <v>7167881.5800000001</v>
      </c>
      <c r="I437" s="10">
        <v>5079726.0599999996</v>
      </c>
      <c r="J437" s="10">
        <v>9936711.9900000002</v>
      </c>
      <c r="K437" s="10">
        <v>7284431.2000000002</v>
      </c>
      <c r="L437" s="10">
        <v>6367383.9900000002</v>
      </c>
      <c r="M437" s="10">
        <v>5889520.4299999997</v>
      </c>
      <c r="N437" s="10">
        <v>6096184.3300000001</v>
      </c>
      <c r="O437" s="10">
        <v>6980006.7000000002</v>
      </c>
      <c r="P437" s="10">
        <v>7330551.4199999999</v>
      </c>
      <c r="Q437" s="10">
        <v>9560720.1099999994</v>
      </c>
      <c r="R437" s="11">
        <f t="shared" si="0"/>
        <v>71693117.810000002</v>
      </c>
    </row>
    <row r="438" spans="1:18" ht="12.75" x14ac:dyDescent="0.2">
      <c r="A438" s="9" t="s">
        <v>335</v>
      </c>
      <c r="B438" s="9" t="s">
        <v>17</v>
      </c>
      <c r="C438" s="9" t="s">
        <v>18</v>
      </c>
      <c r="D438" s="9" t="s">
        <v>336</v>
      </c>
      <c r="E438" s="9" t="s">
        <v>152</v>
      </c>
      <c r="F438" s="9" t="s">
        <v>333</v>
      </c>
      <c r="G438" s="9" t="s">
        <v>43</v>
      </c>
      <c r="H438" s="10">
        <v>5305712.16</v>
      </c>
      <c r="I438" s="10">
        <v>8880763.3900000006</v>
      </c>
      <c r="J438" s="10">
        <v>5112094.2</v>
      </c>
      <c r="K438" s="10">
        <v>11743842.41</v>
      </c>
      <c r="L438" s="10">
        <v>7170317.96</v>
      </c>
      <c r="M438" s="10">
        <v>7621911.4199999999</v>
      </c>
      <c r="N438" s="10">
        <v>6745668.8399999999</v>
      </c>
      <c r="O438" s="10">
        <v>7822602.29</v>
      </c>
      <c r="P438" s="10">
        <v>28301038.879999999</v>
      </c>
      <c r="Q438" s="10">
        <v>4510897.75</v>
      </c>
      <c r="R438" s="11">
        <f t="shared" si="0"/>
        <v>93214849.299999997</v>
      </c>
    </row>
    <row r="439" spans="1:18" ht="12.75" x14ac:dyDescent="0.2">
      <c r="A439" s="9" t="s">
        <v>335</v>
      </c>
      <c r="B439" s="9" t="s">
        <v>17</v>
      </c>
      <c r="C439" s="9" t="s">
        <v>18</v>
      </c>
      <c r="D439" s="9" t="s">
        <v>336</v>
      </c>
      <c r="E439" s="9" t="s">
        <v>152</v>
      </c>
      <c r="F439" s="9" t="s">
        <v>333</v>
      </c>
      <c r="G439" s="9" t="s">
        <v>145</v>
      </c>
      <c r="H439" s="10">
        <v>-12434.41</v>
      </c>
      <c r="I439" s="10">
        <v>-6227.44</v>
      </c>
      <c r="J439" s="10">
        <v>-4582.18</v>
      </c>
      <c r="K439" s="10">
        <v>644866.01</v>
      </c>
      <c r="L439" s="10">
        <v>-277147.84000000003</v>
      </c>
      <c r="M439" s="10">
        <v>-1895793.22</v>
      </c>
      <c r="N439" s="10">
        <v>-330090.09999999998</v>
      </c>
      <c r="O439" s="10">
        <v>-707639.6</v>
      </c>
      <c r="P439" s="10">
        <v>1815254.28</v>
      </c>
      <c r="Q439" s="10">
        <v>1847928.86</v>
      </c>
      <c r="R439" s="11">
        <f t="shared" si="0"/>
        <v>1074134.3599999999</v>
      </c>
    </row>
    <row r="440" spans="1:18" ht="12.75" x14ac:dyDescent="0.2">
      <c r="A440" s="9" t="s">
        <v>335</v>
      </c>
      <c r="B440" s="9" t="s">
        <v>17</v>
      </c>
      <c r="C440" s="9" t="s">
        <v>18</v>
      </c>
      <c r="D440" s="9" t="s">
        <v>336</v>
      </c>
      <c r="E440" s="9" t="s">
        <v>152</v>
      </c>
      <c r="F440" s="9" t="s">
        <v>333</v>
      </c>
      <c r="G440" s="9" t="s">
        <v>139</v>
      </c>
      <c r="H440" s="10">
        <v>329268.38</v>
      </c>
      <c r="I440" s="10">
        <v>176010.85</v>
      </c>
      <c r="J440" s="10">
        <v>187521.5</v>
      </c>
      <c r="K440" s="10">
        <v>201214.1</v>
      </c>
      <c r="L440" s="10">
        <v>199007.8</v>
      </c>
      <c r="M440" s="10">
        <v>305151.78999999998</v>
      </c>
      <c r="N440" s="10">
        <v>312517.59000000003</v>
      </c>
      <c r="O440" s="10">
        <v>306840.13</v>
      </c>
      <c r="P440" s="10">
        <v>348121.08</v>
      </c>
      <c r="Q440" s="10">
        <v>324736.58</v>
      </c>
      <c r="R440" s="11">
        <f t="shared" si="0"/>
        <v>2690389.8000000003</v>
      </c>
    </row>
    <row r="441" spans="1:18" ht="12.75" x14ac:dyDescent="0.2">
      <c r="A441" s="9" t="s">
        <v>335</v>
      </c>
      <c r="B441" s="9" t="s">
        <v>17</v>
      </c>
      <c r="C441" s="9" t="s">
        <v>18</v>
      </c>
      <c r="D441" s="9" t="s">
        <v>336</v>
      </c>
      <c r="E441" s="9" t="s">
        <v>152</v>
      </c>
      <c r="F441" s="9" t="s">
        <v>333</v>
      </c>
      <c r="G441" s="9" t="s">
        <v>48</v>
      </c>
      <c r="H441" s="10">
        <v>6694584.6100000003</v>
      </c>
      <c r="I441" s="10">
        <v>9746598.0099999998</v>
      </c>
      <c r="J441" s="10">
        <v>12627217.57</v>
      </c>
      <c r="K441" s="10">
        <v>10541260.060000001</v>
      </c>
      <c r="L441" s="10">
        <v>9333685.5500000007</v>
      </c>
      <c r="M441" s="10">
        <v>9482551.7100000009</v>
      </c>
      <c r="N441" s="10">
        <v>9518525.9000000004</v>
      </c>
      <c r="O441" s="10">
        <v>10000632.539999999</v>
      </c>
      <c r="P441" s="10">
        <v>138122.18</v>
      </c>
      <c r="Q441" s="10">
        <v>10989600.630000001</v>
      </c>
      <c r="R441" s="11">
        <f t="shared" si="0"/>
        <v>89072778.75999999</v>
      </c>
    </row>
    <row r="442" spans="1:18" ht="12.75" x14ac:dyDescent="0.2">
      <c r="A442" s="9" t="s">
        <v>335</v>
      </c>
      <c r="B442" s="9" t="s">
        <v>17</v>
      </c>
      <c r="C442" s="9" t="s">
        <v>18</v>
      </c>
      <c r="D442" s="9" t="s">
        <v>336</v>
      </c>
      <c r="E442" s="9" t="s">
        <v>152</v>
      </c>
      <c r="F442" s="9" t="s">
        <v>333</v>
      </c>
      <c r="G442" s="9" t="s">
        <v>146</v>
      </c>
      <c r="H442" s="10">
        <v>3589314.67</v>
      </c>
      <c r="I442" s="10">
        <v>8059407.2400000002</v>
      </c>
      <c r="J442" s="10">
        <v>905653.5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11">
        <f t="shared" si="0"/>
        <v>12554375.41</v>
      </c>
    </row>
    <row r="443" spans="1:18" ht="12.75" x14ac:dyDescent="0.2">
      <c r="A443" s="9" t="s">
        <v>335</v>
      </c>
      <c r="B443" s="9" t="s">
        <v>17</v>
      </c>
      <c r="C443" s="9" t="s">
        <v>18</v>
      </c>
      <c r="D443" s="9" t="s">
        <v>336</v>
      </c>
      <c r="E443" s="9" t="s">
        <v>152</v>
      </c>
      <c r="F443" s="9" t="s">
        <v>333</v>
      </c>
      <c r="G443" s="9" t="s">
        <v>34</v>
      </c>
      <c r="H443" s="10">
        <v>78868.78</v>
      </c>
      <c r="I443" s="10">
        <v>77445.41</v>
      </c>
      <c r="J443" s="10">
        <v>100124.29</v>
      </c>
      <c r="K443" s="10">
        <v>7524.8</v>
      </c>
      <c r="L443" s="9">
        <v>0</v>
      </c>
      <c r="M443" s="10">
        <v>1112.75</v>
      </c>
      <c r="N443" s="9">
        <v>0</v>
      </c>
      <c r="O443" s="9">
        <v>0</v>
      </c>
      <c r="P443" s="10">
        <v>1180.07</v>
      </c>
      <c r="Q443" s="10">
        <v>19381.13</v>
      </c>
      <c r="R443" s="11">
        <f t="shared" si="0"/>
        <v>285637.23</v>
      </c>
    </row>
    <row r="444" spans="1:18" ht="12.75" x14ac:dyDescent="0.2">
      <c r="A444" s="9" t="s">
        <v>335</v>
      </c>
      <c r="B444" s="9" t="s">
        <v>17</v>
      </c>
      <c r="C444" s="9" t="s">
        <v>18</v>
      </c>
      <c r="D444" s="9" t="s">
        <v>336</v>
      </c>
      <c r="E444" s="9" t="s">
        <v>152</v>
      </c>
      <c r="F444" s="9" t="s">
        <v>333</v>
      </c>
      <c r="G444" s="9" t="s">
        <v>49</v>
      </c>
      <c r="H444" s="9" t="s">
        <v>29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10">
        <v>6208994.6699999999</v>
      </c>
      <c r="R444" s="12">
        <f t="shared" si="0"/>
        <v>6208994.6699999999</v>
      </c>
    </row>
    <row r="445" spans="1:18" ht="12.75" x14ac:dyDescent="0.2">
      <c r="A445" s="9" t="s">
        <v>335</v>
      </c>
      <c r="B445" s="9" t="s">
        <v>17</v>
      </c>
      <c r="C445" s="9" t="s">
        <v>18</v>
      </c>
      <c r="D445" s="9" t="s">
        <v>336</v>
      </c>
      <c r="E445" s="9" t="s">
        <v>338</v>
      </c>
      <c r="F445" s="9" t="s">
        <v>333</v>
      </c>
      <c r="G445" s="9" t="s">
        <v>24</v>
      </c>
      <c r="H445" s="10">
        <v>307655.53999999998</v>
      </c>
      <c r="I445" s="10">
        <v>8405.8700000000008</v>
      </c>
      <c r="J445" s="9">
        <v>0</v>
      </c>
      <c r="K445" s="10">
        <v>3139.91</v>
      </c>
      <c r="L445" s="10">
        <v>5555.07</v>
      </c>
      <c r="M445" s="10">
        <v>25207.200000000001</v>
      </c>
      <c r="N445" s="10">
        <v>7454.07</v>
      </c>
      <c r="O445" s="9">
        <v>0</v>
      </c>
      <c r="P445" s="10">
        <v>52283.1</v>
      </c>
      <c r="Q445" s="10">
        <v>75974.13</v>
      </c>
      <c r="R445" s="11">
        <f t="shared" si="0"/>
        <v>485674.88999999996</v>
      </c>
    </row>
    <row r="446" spans="1:18" ht="12.75" x14ac:dyDescent="0.2">
      <c r="A446" s="9" t="s">
        <v>335</v>
      </c>
      <c r="B446" s="9" t="s">
        <v>17</v>
      </c>
      <c r="C446" s="9" t="s">
        <v>36</v>
      </c>
      <c r="D446" s="9" t="s">
        <v>336</v>
      </c>
      <c r="E446" s="9" t="s">
        <v>338</v>
      </c>
      <c r="F446" s="9" t="s">
        <v>333</v>
      </c>
      <c r="G446" s="9" t="s">
        <v>37</v>
      </c>
      <c r="H446" s="9" t="s">
        <v>29</v>
      </c>
      <c r="I446" s="9">
        <v>0</v>
      </c>
      <c r="J446" s="9">
        <v>0</v>
      </c>
      <c r="K446" s="9">
        <v>0</v>
      </c>
      <c r="L446" s="9">
        <v>0</v>
      </c>
      <c r="M446" s="10">
        <v>544143.99</v>
      </c>
      <c r="N446" s="9">
        <v>0</v>
      </c>
      <c r="O446" s="10">
        <v>226308.34</v>
      </c>
      <c r="P446" s="9">
        <v>0</v>
      </c>
      <c r="Q446" s="9">
        <v>0</v>
      </c>
      <c r="R446" s="12">
        <f t="shared" si="0"/>
        <v>770452.33</v>
      </c>
    </row>
    <row r="447" spans="1:18" ht="12.75" x14ac:dyDescent="0.2">
      <c r="A447" s="9" t="s">
        <v>335</v>
      </c>
      <c r="B447" s="9" t="s">
        <v>17</v>
      </c>
      <c r="C447" s="9" t="s">
        <v>18</v>
      </c>
      <c r="D447" s="9" t="s">
        <v>336</v>
      </c>
      <c r="E447" s="9" t="s">
        <v>338</v>
      </c>
      <c r="F447" s="9" t="s">
        <v>333</v>
      </c>
      <c r="G447" s="9" t="s">
        <v>25</v>
      </c>
      <c r="H447" s="10">
        <v>1362112.91</v>
      </c>
      <c r="I447" s="10">
        <v>7327423.1900000004</v>
      </c>
      <c r="J447" s="10">
        <v>3999107.06</v>
      </c>
      <c r="K447" s="10">
        <v>1199718.1100000001</v>
      </c>
      <c r="L447" s="10">
        <v>984338.45</v>
      </c>
      <c r="M447" s="10">
        <v>242382.21</v>
      </c>
      <c r="N447" s="10">
        <v>846400.91</v>
      </c>
      <c r="O447" s="10">
        <v>1762449.75</v>
      </c>
      <c r="P447" s="10">
        <v>588289.49</v>
      </c>
      <c r="Q447" s="10">
        <v>41406.339999999997</v>
      </c>
      <c r="R447" s="11">
        <f t="shared" si="0"/>
        <v>18353628.419999998</v>
      </c>
    </row>
    <row r="448" spans="1:18" ht="12.75" x14ac:dyDescent="0.2">
      <c r="A448" s="9" t="s">
        <v>335</v>
      </c>
      <c r="B448" s="9" t="s">
        <v>17</v>
      </c>
      <c r="C448" s="9" t="s">
        <v>18</v>
      </c>
      <c r="D448" s="9" t="s">
        <v>336</v>
      </c>
      <c r="E448" s="9" t="s">
        <v>338</v>
      </c>
      <c r="F448" s="9" t="s">
        <v>333</v>
      </c>
      <c r="G448" s="9" t="s">
        <v>26</v>
      </c>
      <c r="H448" s="10">
        <v>301869.73</v>
      </c>
      <c r="I448" s="10">
        <v>19152.53</v>
      </c>
      <c r="J448" s="10">
        <v>16736.12</v>
      </c>
      <c r="K448" s="10">
        <v>7603.69</v>
      </c>
      <c r="L448" s="10">
        <v>11091.72</v>
      </c>
      <c r="M448" s="10">
        <v>6996.98</v>
      </c>
      <c r="N448" s="10">
        <v>18363.71</v>
      </c>
      <c r="O448" s="10">
        <v>6449.24</v>
      </c>
      <c r="P448" s="10">
        <v>6794.86</v>
      </c>
      <c r="Q448" s="10">
        <v>6544.22</v>
      </c>
      <c r="R448" s="11">
        <f t="shared" si="0"/>
        <v>401602.79999999993</v>
      </c>
    </row>
    <row r="449" spans="1:18" ht="12.75" x14ac:dyDescent="0.2">
      <c r="A449" s="9" t="s">
        <v>335</v>
      </c>
      <c r="B449" s="9" t="s">
        <v>17</v>
      </c>
      <c r="C449" s="9" t="s">
        <v>18</v>
      </c>
      <c r="D449" s="9" t="s">
        <v>336</v>
      </c>
      <c r="E449" s="9" t="s">
        <v>338</v>
      </c>
      <c r="F449" s="9" t="s">
        <v>333</v>
      </c>
      <c r="G449" s="9" t="s">
        <v>47</v>
      </c>
      <c r="H449" s="10">
        <v>3610478.81</v>
      </c>
      <c r="I449" s="10">
        <v>2558669.96</v>
      </c>
      <c r="J449" s="10">
        <v>4099417.18</v>
      </c>
      <c r="K449" s="10">
        <v>5763690.8700000001</v>
      </c>
      <c r="L449" s="10">
        <v>4415254.78</v>
      </c>
      <c r="M449" s="10">
        <v>5030845.75</v>
      </c>
      <c r="N449" s="10">
        <v>4744974.6399999997</v>
      </c>
      <c r="O449" s="10">
        <v>5771603</v>
      </c>
      <c r="P449" s="10">
        <v>4018325.04</v>
      </c>
      <c r="Q449" s="10">
        <v>3943555.48</v>
      </c>
      <c r="R449" s="11">
        <f t="shared" si="0"/>
        <v>43956815.509999998</v>
      </c>
    </row>
    <row r="450" spans="1:18" ht="12.75" x14ac:dyDescent="0.2">
      <c r="A450" s="9" t="s">
        <v>335</v>
      </c>
      <c r="B450" s="9" t="s">
        <v>17</v>
      </c>
      <c r="C450" s="9" t="s">
        <v>18</v>
      </c>
      <c r="D450" s="9" t="s">
        <v>336</v>
      </c>
      <c r="E450" s="9" t="s">
        <v>338</v>
      </c>
      <c r="F450" s="9" t="s">
        <v>333</v>
      </c>
      <c r="G450" s="9" t="s">
        <v>139</v>
      </c>
      <c r="H450" s="10">
        <v>109756.13</v>
      </c>
      <c r="I450" s="10">
        <v>58670.28</v>
      </c>
      <c r="J450" s="10">
        <v>62507.17</v>
      </c>
      <c r="K450" s="10">
        <v>67071.37</v>
      </c>
      <c r="L450" s="10">
        <v>66335.929999999993</v>
      </c>
      <c r="M450" s="10">
        <v>101717.26</v>
      </c>
      <c r="N450" s="10">
        <v>104172.53</v>
      </c>
      <c r="O450" s="10">
        <v>102280.04</v>
      </c>
      <c r="P450" s="10">
        <v>116040.36</v>
      </c>
      <c r="Q450" s="10">
        <v>108245.53</v>
      </c>
      <c r="R450" s="11">
        <f t="shared" si="0"/>
        <v>896796.60000000009</v>
      </c>
    </row>
    <row r="451" spans="1:18" ht="12.75" x14ac:dyDescent="0.2">
      <c r="A451" s="9" t="s">
        <v>335</v>
      </c>
      <c r="B451" s="9" t="s">
        <v>17</v>
      </c>
      <c r="C451" s="9" t="s">
        <v>18</v>
      </c>
      <c r="D451" s="9" t="s">
        <v>336</v>
      </c>
      <c r="E451" s="9" t="s">
        <v>338</v>
      </c>
      <c r="F451" s="9" t="s">
        <v>333</v>
      </c>
      <c r="G451" s="9" t="s">
        <v>48</v>
      </c>
      <c r="H451" s="9" t="s">
        <v>29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10">
        <v>207500.58</v>
      </c>
      <c r="R451" s="12">
        <f t="shared" si="0"/>
        <v>207500.58</v>
      </c>
    </row>
    <row r="452" spans="1:18" ht="12.75" x14ac:dyDescent="0.2">
      <c r="A452" s="9" t="s">
        <v>335</v>
      </c>
      <c r="B452" s="9" t="s">
        <v>17</v>
      </c>
      <c r="C452" s="9" t="s">
        <v>18</v>
      </c>
      <c r="D452" s="9" t="s">
        <v>336</v>
      </c>
      <c r="E452" s="9" t="s">
        <v>338</v>
      </c>
      <c r="F452" s="9" t="s">
        <v>333</v>
      </c>
      <c r="G452" s="9" t="s">
        <v>49</v>
      </c>
      <c r="H452" s="10">
        <v>5573603.1900000004</v>
      </c>
      <c r="I452" s="10">
        <v>8965573.6099999994</v>
      </c>
      <c r="J452" s="9">
        <v>0</v>
      </c>
      <c r="K452" s="10">
        <v>9315021.5500000007</v>
      </c>
      <c r="L452" s="9">
        <v>0</v>
      </c>
      <c r="M452" s="10">
        <v>8822848.0199999996</v>
      </c>
      <c r="N452" s="9">
        <v>0</v>
      </c>
      <c r="O452" s="10">
        <v>8852196.5700000003</v>
      </c>
      <c r="P452" s="9">
        <v>0</v>
      </c>
      <c r="Q452" s="10">
        <v>6449517.2999999998</v>
      </c>
      <c r="R452" s="11">
        <f t="shared" si="0"/>
        <v>47978760.239999995</v>
      </c>
    </row>
    <row r="453" spans="1:18" ht="12.75" x14ac:dyDescent="0.2">
      <c r="A453" s="9" t="s">
        <v>335</v>
      </c>
      <c r="B453" s="9" t="s">
        <v>17</v>
      </c>
      <c r="C453" s="9" t="s">
        <v>36</v>
      </c>
      <c r="D453" s="9" t="s">
        <v>336</v>
      </c>
      <c r="E453" s="9" t="s">
        <v>163</v>
      </c>
      <c r="F453" s="9" t="s">
        <v>333</v>
      </c>
      <c r="G453" s="9" t="s">
        <v>37</v>
      </c>
      <c r="H453" s="9" t="s">
        <v>29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10">
        <v>544158.71</v>
      </c>
      <c r="O453" s="9">
        <v>0</v>
      </c>
      <c r="P453" s="9">
        <v>0</v>
      </c>
      <c r="Q453" s="9">
        <v>0</v>
      </c>
      <c r="R453" s="12">
        <f t="shared" si="0"/>
        <v>544158.71</v>
      </c>
    </row>
    <row r="454" spans="1:18" ht="12.75" x14ac:dyDescent="0.2">
      <c r="A454" s="9" t="s">
        <v>335</v>
      </c>
      <c r="B454" s="9" t="s">
        <v>17</v>
      </c>
      <c r="C454" s="9" t="s">
        <v>18</v>
      </c>
      <c r="D454" s="9" t="s">
        <v>74</v>
      </c>
      <c r="E454" s="9" t="s">
        <v>339</v>
      </c>
      <c r="F454" s="9" t="s">
        <v>334</v>
      </c>
      <c r="G454" s="9" t="s">
        <v>21</v>
      </c>
      <c r="H454" s="10">
        <v>74711.75</v>
      </c>
      <c r="I454" s="9">
        <v>727.99</v>
      </c>
      <c r="J454" s="10">
        <v>2485.88</v>
      </c>
      <c r="K454" s="10">
        <v>1649.25</v>
      </c>
      <c r="L454" s="10">
        <v>1409.99</v>
      </c>
      <c r="M454" s="10">
        <v>1759.13</v>
      </c>
      <c r="N454" s="10">
        <v>1788.28</v>
      </c>
      <c r="O454" s="10">
        <v>1830.86</v>
      </c>
      <c r="P454" s="10">
        <v>1614.63</v>
      </c>
      <c r="Q454" s="10">
        <v>1789.56</v>
      </c>
      <c r="R454" s="11">
        <f t="shared" si="0"/>
        <v>89767.320000000022</v>
      </c>
    </row>
    <row r="455" spans="1:18" ht="12.75" x14ac:dyDescent="0.2">
      <c r="A455" s="9" t="s">
        <v>335</v>
      </c>
      <c r="B455" s="9" t="s">
        <v>17</v>
      </c>
      <c r="C455" s="9" t="s">
        <v>18</v>
      </c>
      <c r="D455" s="9" t="s">
        <v>74</v>
      </c>
      <c r="E455" s="9" t="s">
        <v>339</v>
      </c>
      <c r="F455" s="9" t="s">
        <v>334</v>
      </c>
      <c r="G455" s="9" t="s">
        <v>24</v>
      </c>
      <c r="H455" s="10">
        <v>99674.87</v>
      </c>
      <c r="I455" s="10">
        <v>2723.35</v>
      </c>
      <c r="J455" s="10">
        <v>16530.96</v>
      </c>
      <c r="K455" s="10">
        <v>144883.37</v>
      </c>
      <c r="L455" s="10">
        <v>29625.47</v>
      </c>
      <c r="M455" s="10">
        <v>14021.36</v>
      </c>
      <c r="N455" s="10">
        <v>52904.78</v>
      </c>
      <c r="O455" s="10">
        <v>51931.1</v>
      </c>
      <c r="P455" s="10">
        <v>65871.25</v>
      </c>
      <c r="Q455" s="10">
        <v>13434.27</v>
      </c>
      <c r="R455" s="11">
        <f t="shared" si="0"/>
        <v>491600.78</v>
      </c>
    </row>
    <row r="456" spans="1:18" ht="12.75" x14ac:dyDescent="0.2">
      <c r="A456" s="9" t="s">
        <v>335</v>
      </c>
      <c r="B456" s="9" t="s">
        <v>17</v>
      </c>
      <c r="C456" s="9" t="s">
        <v>18</v>
      </c>
      <c r="D456" s="9" t="s">
        <v>74</v>
      </c>
      <c r="E456" s="9" t="s">
        <v>339</v>
      </c>
      <c r="F456" s="9" t="s">
        <v>334</v>
      </c>
      <c r="G456" s="9" t="s">
        <v>25</v>
      </c>
      <c r="H456" s="9" t="s">
        <v>29</v>
      </c>
      <c r="I456" s="9">
        <v>0</v>
      </c>
      <c r="J456" s="9">
        <v>0</v>
      </c>
      <c r="K456" s="10">
        <v>1386125.55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12">
        <f t="shared" si="0"/>
        <v>1386125.55</v>
      </c>
    </row>
    <row r="457" spans="1:18" ht="12.75" x14ac:dyDescent="0.2">
      <c r="A457" s="9" t="s">
        <v>335</v>
      </c>
      <c r="B457" s="9" t="s">
        <v>17</v>
      </c>
      <c r="C457" s="9" t="s">
        <v>18</v>
      </c>
      <c r="D457" s="9" t="s">
        <v>74</v>
      </c>
      <c r="E457" s="9" t="s">
        <v>339</v>
      </c>
      <c r="F457" s="9" t="s">
        <v>334</v>
      </c>
      <c r="G457" s="9" t="s">
        <v>34</v>
      </c>
      <c r="H457" s="10">
        <v>16728.77</v>
      </c>
      <c r="I457" s="10">
        <v>16426.86</v>
      </c>
      <c r="J457" s="10">
        <v>36408.83</v>
      </c>
      <c r="K457" s="10">
        <v>9803.99</v>
      </c>
      <c r="L457" s="10">
        <v>1094.4100000000001</v>
      </c>
      <c r="M457" s="10">
        <v>16691.3</v>
      </c>
      <c r="N457" s="10">
        <v>1342.14</v>
      </c>
      <c r="O457" s="10">
        <v>6787.29</v>
      </c>
      <c r="P457" s="10">
        <v>8260.51</v>
      </c>
      <c r="Q457" s="10">
        <v>10336.6</v>
      </c>
      <c r="R457" s="11">
        <f t="shared" si="0"/>
        <v>123880.70000000001</v>
      </c>
    </row>
    <row r="458" spans="1:18" ht="12.75" x14ac:dyDescent="0.2">
      <c r="A458" s="9" t="s">
        <v>335</v>
      </c>
      <c r="B458" s="9" t="s">
        <v>17</v>
      </c>
      <c r="C458" s="9" t="s">
        <v>18</v>
      </c>
      <c r="D458" s="9" t="s">
        <v>74</v>
      </c>
      <c r="E458" s="9" t="s">
        <v>340</v>
      </c>
      <c r="F458" s="9" t="s">
        <v>334</v>
      </c>
      <c r="G458" s="9" t="s">
        <v>21</v>
      </c>
      <c r="H458" s="10">
        <v>74711.75</v>
      </c>
      <c r="I458" s="9">
        <v>727.99</v>
      </c>
      <c r="J458" s="10">
        <v>2485.88</v>
      </c>
      <c r="K458" s="10">
        <v>1649.25</v>
      </c>
      <c r="L458" s="10">
        <v>1409.99</v>
      </c>
      <c r="M458" s="10">
        <v>1759.13</v>
      </c>
      <c r="N458" s="10">
        <v>1788.28</v>
      </c>
      <c r="O458" s="10">
        <v>1830.86</v>
      </c>
      <c r="P458" s="10">
        <v>1614.63</v>
      </c>
      <c r="Q458" s="10">
        <v>1789.56</v>
      </c>
      <c r="R458" s="11">
        <f t="shared" si="0"/>
        <v>89767.320000000022</v>
      </c>
    </row>
    <row r="459" spans="1:18" ht="12.75" x14ac:dyDescent="0.2">
      <c r="A459" s="9" t="s">
        <v>335</v>
      </c>
      <c r="B459" s="9" t="s">
        <v>17</v>
      </c>
      <c r="C459" s="9" t="s">
        <v>18</v>
      </c>
      <c r="D459" s="9" t="s">
        <v>74</v>
      </c>
      <c r="E459" s="9" t="s">
        <v>340</v>
      </c>
      <c r="F459" s="9" t="s">
        <v>334</v>
      </c>
      <c r="G459" s="9" t="s">
        <v>24</v>
      </c>
      <c r="H459" s="9" t="s">
        <v>29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10">
        <v>15025.9</v>
      </c>
      <c r="P459" s="9">
        <v>0</v>
      </c>
      <c r="Q459" s="9">
        <v>0</v>
      </c>
      <c r="R459" s="12">
        <f t="shared" si="0"/>
        <v>15025.9</v>
      </c>
    </row>
    <row r="460" spans="1:18" ht="12.75" x14ac:dyDescent="0.2">
      <c r="A460" s="9" t="s">
        <v>335</v>
      </c>
      <c r="B460" s="9" t="s">
        <v>17</v>
      </c>
      <c r="C460" s="9" t="s">
        <v>36</v>
      </c>
      <c r="D460" s="9" t="s">
        <v>74</v>
      </c>
      <c r="E460" s="9" t="s">
        <v>340</v>
      </c>
      <c r="F460" s="9" t="s">
        <v>334</v>
      </c>
      <c r="G460" s="9" t="s">
        <v>37</v>
      </c>
      <c r="H460" s="10">
        <v>242570.62</v>
      </c>
      <c r="I460" s="10">
        <v>171892.75</v>
      </c>
      <c r="J460" s="10">
        <v>311623.17</v>
      </c>
      <c r="K460" s="10">
        <v>729257.49</v>
      </c>
      <c r="L460" s="10">
        <v>821015.25</v>
      </c>
      <c r="M460" s="10">
        <v>848853.67</v>
      </c>
      <c r="N460" s="10">
        <v>9192337.7400000002</v>
      </c>
      <c r="O460" s="10">
        <v>2558250.11</v>
      </c>
      <c r="P460" s="10">
        <v>2556491.2999999998</v>
      </c>
      <c r="Q460" s="10">
        <v>2635388.6800000002</v>
      </c>
      <c r="R460" s="11">
        <f t="shared" si="0"/>
        <v>20067680.780000001</v>
      </c>
    </row>
    <row r="461" spans="1:18" ht="12.75" x14ac:dyDescent="0.2">
      <c r="A461" s="9" t="s">
        <v>335</v>
      </c>
      <c r="B461" s="9" t="s">
        <v>17</v>
      </c>
      <c r="C461" s="9" t="s">
        <v>18</v>
      </c>
      <c r="D461" s="9" t="s">
        <v>74</v>
      </c>
      <c r="E461" s="9" t="s">
        <v>340</v>
      </c>
      <c r="F461" s="9" t="s">
        <v>334</v>
      </c>
      <c r="G461" s="9" t="s">
        <v>26</v>
      </c>
      <c r="H461" s="10">
        <v>1281.9000000000001</v>
      </c>
      <c r="I461" s="9">
        <v>81.33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11">
        <f t="shared" si="0"/>
        <v>1363.23</v>
      </c>
    </row>
    <row r="462" spans="1:18" ht="12.75" x14ac:dyDescent="0.2">
      <c r="A462" s="9" t="s">
        <v>335</v>
      </c>
      <c r="B462" s="9" t="s">
        <v>17</v>
      </c>
      <c r="C462" s="9" t="s">
        <v>18</v>
      </c>
      <c r="D462" s="9" t="s">
        <v>74</v>
      </c>
      <c r="E462" s="9" t="s">
        <v>340</v>
      </c>
      <c r="F462" s="9" t="s">
        <v>334</v>
      </c>
      <c r="G462" s="9" t="s">
        <v>34</v>
      </c>
      <c r="H462" s="10">
        <v>58550.7</v>
      </c>
      <c r="I462" s="10">
        <v>57494.01</v>
      </c>
      <c r="J462" s="10">
        <v>172941.96</v>
      </c>
      <c r="K462" s="10">
        <v>25807.78</v>
      </c>
      <c r="L462" s="10">
        <v>1094.4100000000001</v>
      </c>
      <c r="M462" s="10">
        <v>46735.64</v>
      </c>
      <c r="N462" s="10">
        <v>10737.14</v>
      </c>
      <c r="O462" s="10">
        <v>17646.95</v>
      </c>
      <c r="P462" s="10">
        <v>23601.45</v>
      </c>
      <c r="Q462" s="10">
        <v>31009.8</v>
      </c>
      <c r="R462" s="11">
        <f t="shared" si="0"/>
        <v>445619.83999999997</v>
      </c>
    </row>
    <row r="463" spans="1:18" ht="12.75" x14ac:dyDescent="0.2">
      <c r="A463" s="9" t="s">
        <v>335</v>
      </c>
      <c r="B463" s="9" t="s">
        <v>17</v>
      </c>
      <c r="C463" s="9" t="s">
        <v>18</v>
      </c>
      <c r="D463" s="9" t="s">
        <v>74</v>
      </c>
      <c r="E463" s="9" t="s">
        <v>341</v>
      </c>
      <c r="F463" s="9" t="s">
        <v>334</v>
      </c>
      <c r="G463" s="9" t="s">
        <v>24</v>
      </c>
      <c r="H463" s="10">
        <v>32184.62</v>
      </c>
      <c r="I463" s="9">
        <v>879.36</v>
      </c>
      <c r="J463" s="9">
        <v>0</v>
      </c>
      <c r="K463" s="10">
        <v>3782.18</v>
      </c>
      <c r="L463" s="9">
        <v>0</v>
      </c>
      <c r="M463" s="10">
        <v>165935.43</v>
      </c>
      <c r="N463" s="9">
        <v>0</v>
      </c>
      <c r="O463" s="10">
        <v>7297.68</v>
      </c>
      <c r="P463" s="9">
        <v>0</v>
      </c>
      <c r="Q463" s="9">
        <v>0</v>
      </c>
      <c r="R463" s="11">
        <f t="shared" si="0"/>
        <v>210079.27</v>
      </c>
    </row>
    <row r="464" spans="1:18" ht="12.75" x14ac:dyDescent="0.2">
      <c r="A464" s="9" t="s">
        <v>335</v>
      </c>
      <c r="B464" s="9" t="s">
        <v>17</v>
      </c>
      <c r="C464" s="9" t="s">
        <v>18</v>
      </c>
      <c r="D464" s="9" t="s">
        <v>74</v>
      </c>
      <c r="E464" s="9" t="s">
        <v>341</v>
      </c>
      <c r="F464" s="9" t="s">
        <v>334</v>
      </c>
      <c r="G464" s="9" t="s">
        <v>28</v>
      </c>
      <c r="H464" s="9" t="s">
        <v>29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10">
        <v>19295.82</v>
      </c>
      <c r="O464" s="9">
        <v>0</v>
      </c>
      <c r="P464" s="9">
        <v>0</v>
      </c>
      <c r="Q464" s="9">
        <v>0</v>
      </c>
      <c r="R464" s="12">
        <f t="shared" si="0"/>
        <v>19295.82</v>
      </c>
    </row>
    <row r="465" spans="1:18" ht="12.75" x14ac:dyDescent="0.2">
      <c r="A465" s="9" t="s">
        <v>335</v>
      </c>
      <c r="B465" s="9" t="s">
        <v>17</v>
      </c>
      <c r="C465" s="9" t="s">
        <v>18</v>
      </c>
      <c r="D465" s="9" t="s">
        <v>74</v>
      </c>
      <c r="E465" s="9" t="s">
        <v>341</v>
      </c>
      <c r="F465" s="9" t="s">
        <v>334</v>
      </c>
      <c r="G465" s="9" t="s">
        <v>34</v>
      </c>
      <c r="H465" s="10">
        <v>25093.16</v>
      </c>
      <c r="I465" s="10">
        <v>24640.29</v>
      </c>
      <c r="J465" s="10">
        <v>18204.419999999998</v>
      </c>
      <c r="K465" s="10">
        <v>5161.5600000000004</v>
      </c>
      <c r="L465" s="9">
        <v>0</v>
      </c>
      <c r="M465" s="10">
        <v>8902.0300000000007</v>
      </c>
      <c r="N465" s="10">
        <v>1342.14</v>
      </c>
      <c r="O465" s="10">
        <v>8144.75</v>
      </c>
      <c r="P465" s="10">
        <v>7080.44</v>
      </c>
      <c r="Q465" s="10">
        <v>11628.68</v>
      </c>
      <c r="R465" s="11">
        <f t="shared" si="0"/>
        <v>110197.47</v>
      </c>
    </row>
    <row r="466" spans="1:18" ht="12.75" x14ac:dyDescent="0.2">
      <c r="A466" s="9" t="s">
        <v>335</v>
      </c>
      <c r="B466" s="9" t="s">
        <v>17</v>
      </c>
      <c r="C466" s="9" t="s">
        <v>36</v>
      </c>
      <c r="D466" s="9" t="s">
        <v>74</v>
      </c>
      <c r="E466" s="9" t="s">
        <v>168</v>
      </c>
      <c r="F466" s="9" t="s">
        <v>334</v>
      </c>
      <c r="G466" s="9" t="s">
        <v>37</v>
      </c>
      <c r="H466" s="9" t="s">
        <v>29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10">
        <v>4392297.16</v>
      </c>
      <c r="R466" s="12">
        <f t="shared" si="0"/>
        <v>4392297.16</v>
      </c>
    </row>
    <row r="467" spans="1:18" ht="12.75" x14ac:dyDescent="0.2">
      <c r="A467" s="9" t="s">
        <v>335</v>
      </c>
      <c r="B467" s="9" t="s">
        <v>17</v>
      </c>
      <c r="C467" s="9" t="s">
        <v>18</v>
      </c>
      <c r="D467" s="9" t="s">
        <v>52</v>
      </c>
      <c r="E467" s="9" t="s">
        <v>342</v>
      </c>
      <c r="F467" s="9" t="s">
        <v>334</v>
      </c>
      <c r="G467" s="9" t="s">
        <v>21</v>
      </c>
      <c r="H467" s="10">
        <v>249362.59</v>
      </c>
      <c r="I467" s="10">
        <v>2429.77</v>
      </c>
      <c r="J467" s="10">
        <v>8297.0300000000007</v>
      </c>
      <c r="K467" s="10">
        <v>5504.64</v>
      </c>
      <c r="L467" s="10">
        <v>4706.07</v>
      </c>
      <c r="M467" s="10">
        <v>5871.38</v>
      </c>
      <c r="N467" s="10">
        <v>5968.69</v>
      </c>
      <c r="O467" s="10">
        <v>6110.78</v>
      </c>
      <c r="P467" s="10">
        <v>5389.09</v>
      </c>
      <c r="Q467" s="10">
        <v>5972.96</v>
      </c>
      <c r="R467" s="11">
        <f t="shared" si="0"/>
        <v>299613.00000000006</v>
      </c>
    </row>
    <row r="468" spans="1:18" ht="12.75" x14ac:dyDescent="0.2">
      <c r="A468" s="9" t="s">
        <v>335</v>
      </c>
      <c r="B468" s="9" t="s">
        <v>17</v>
      </c>
      <c r="C468" s="9" t="s">
        <v>18</v>
      </c>
      <c r="D468" s="9" t="s">
        <v>52</v>
      </c>
      <c r="E468" s="9" t="s">
        <v>342</v>
      </c>
      <c r="F468" s="9" t="s">
        <v>334</v>
      </c>
      <c r="G468" s="9" t="s">
        <v>24</v>
      </c>
      <c r="H468" s="10">
        <v>77298.460000000006</v>
      </c>
      <c r="I468" s="10">
        <v>2111.98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10">
        <v>24565.3</v>
      </c>
      <c r="Q468" s="9">
        <v>0</v>
      </c>
      <c r="R468" s="11">
        <f t="shared" si="0"/>
        <v>103975.74</v>
      </c>
    </row>
    <row r="469" spans="1:18" ht="12.75" x14ac:dyDescent="0.2">
      <c r="A469" s="9" t="s">
        <v>335</v>
      </c>
      <c r="B469" s="9" t="s">
        <v>17</v>
      </c>
      <c r="C469" s="9" t="s">
        <v>36</v>
      </c>
      <c r="D469" s="9" t="s">
        <v>52</v>
      </c>
      <c r="E469" s="9" t="s">
        <v>342</v>
      </c>
      <c r="F469" s="9" t="s">
        <v>334</v>
      </c>
      <c r="G469" s="9" t="s">
        <v>37</v>
      </c>
      <c r="H469" s="10">
        <v>388236.89</v>
      </c>
      <c r="I469" s="10">
        <v>275116.19</v>
      </c>
      <c r="J469" s="10">
        <v>509829.15</v>
      </c>
      <c r="K469" s="9">
        <v>0</v>
      </c>
      <c r="L469" s="9">
        <v>0</v>
      </c>
      <c r="M469" s="9">
        <v>0</v>
      </c>
      <c r="N469" s="10">
        <v>10775370.84</v>
      </c>
      <c r="O469" s="10">
        <v>4934428.28</v>
      </c>
      <c r="P469" s="9">
        <v>0</v>
      </c>
      <c r="Q469" s="9">
        <v>0</v>
      </c>
      <c r="R469" s="11">
        <f t="shared" si="0"/>
        <v>16882981.350000001</v>
      </c>
    </row>
    <row r="470" spans="1:18" ht="12.75" x14ac:dyDescent="0.2">
      <c r="A470" s="9" t="s">
        <v>335</v>
      </c>
      <c r="B470" s="9" t="s">
        <v>17</v>
      </c>
      <c r="C470" s="9" t="s">
        <v>18</v>
      </c>
      <c r="D470" s="9" t="s">
        <v>52</v>
      </c>
      <c r="E470" s="9" t="s">
        <v>342</v>
      </c>
      <c r="F470" s="9" t="s">
        <v>334</v>
      </c>
      <c r="G470" s="9" t="s">
        <v>27</v>
      </c>
      <c r="H470" s="10">
        <v>601575.13</v>
      </c>
      <c r="I470" s="10">
        <v>127566.13</v>
      </c>
      <c r="J470" s="10">
        <v>285409.84000000003</v>
      </c>
      <c r="K470" s="10">
        <v>189878.42</v>
      </c>
      <c r="L470" s="10">
        <v>188922.13</v>
      </c>
      <c r="M470" s="10">
        <v>275121.31</v>
      </c>
      <c r="N470" s="10">
        <v>276498.07</v>
      </c>
      <c r="O470" s="10">
        <v>227621.45</v>
      </c>
      <c r="P470" s="10">
        <v>204625.99</v>
      </c>
      <c r="Q470" s="10">
        <v>228939.67</v>
      </c>
      <c r="R470" s="11">
        <f t="shared" si="0"/>
        <v>2606158.1399999997</v>
      </c>
    </row>
    <row r="471" spans="1:18" ht="12.75" x14ac:dyDescent="0.2">
      <c r="A471" s="9" t="s">
        <v>335</v>
      </c>
      <c r="B471" s="9" t="s">
        <v>17</v>
      </c>
      <c r="C471" s="9" t="s">
        <v>18</v>
      </c>
      <c r="D471" s="9" t="s">
        <v>52</v>
      </c>
      <c r="E471" s="9" t="s">
        <v>342</v>
      </c>
      <c r="F471" s="9" t="s">
        <v>334</v>
      </c>
      <c r="G471" s="9" t="s">
        <v>34</v>
      </c>
      <c r="H471" s="10">
        <v>134342.92000000001</v>
      </c>
      <c r="I471" s="10">
        <v>131918.39999999999</v>
      </c>
      <c r="J471" s="10">
        <v>222864.61</v>
      </c>
      <c r="K471" s="10">
        <v>54127.12</v>
      </c>
      <c r="L471" s="10">
        <v>4377.62</v>
      </c>
      <c r="M471" s="10">
        <v>54524.92</v>
      </c>
      <c r="N471" s="10">
        <v>23222.66</v>
      </c>
      <c r="O471" s="10">
        <v>39319.47</v>
      </c>
      <c r="P471" s="10">
        <v>44811.11</v>
      </c>
      <c r="Q471" s="10">
        <v>52955.28</v>
      </c>
      <c r="R471" s="11">
        <f t="shared" si="0"/>
        <v>762464.1100000001</v>
      </c>
    </row>
    <row r="472" spans="1:18" ht="12.75" x14ac:dyDescent="0.2">
      <c r="A472" s="9" t="s">
        <v>335</v>
      </c>
      <c r="B472" s="9" t="s">
        <v>17</v>
      </c>
      <c r="C472" s="9" t="s">
        <v>36</v>
      </c>
      <c r="D472" s="9" t="s">
        <v>52</v>
      </c>
      <c r="E472" s="9" t="s">
        <v>193</v>
      </c>
      <c r="F472" s="9" t="s">
        <v>334</v>
      </c>
      <c r="G472" s="9" t="s">
        <v>37</v>
      </c>
      <c r="H472" s="10">
        <v>242570.62</v>
      </c>
      <c r="I472" s="10">
        <v>171892.75</v>
      </c>
      <c r="J472" s="10">
        <v>311623.17</v>
      </c>
      <c r="K472" s="10">
        <v>729257.49</v>
      </c>
      <c r="L472" s="10">
        <v>821015.25</v>
      </c>
      <c r="M472" s="10">
        <v>848853.67</v>
      </c>
      <c r="N472" s="10">
        <v>755118.79</v>
      </c>
      <c r="O472" s="10">
        <v>708514.07</v>
      </c>
      <c r="P472" s="10">
        <v>712162.52</v>
      </c>
      <c r="Q472" s="10">
        <v>699631.22</v>
      </c>
      <c r="R472" s="11">
        <f t="shared" si="0"/>
        <v>6000639.5499999998</v>
      </c>
    </row>
    <row r="473" spans="1:18" ht="12.75" x14ac:dyDescent="0.2">
      <c r="A473" s="9" t="s">
        <v>335</v>
      </c>
      <c r="B473" s="9" t="s">
        <v>17</v>
      </c>
      <c r="C473" s="9" t="s">
        <v>18</v>
      </c>
      <c r="D473" s="9" t="s">
        <v>52</v>
      </c>
      <c r="E473" s="9" t="s">
        <v>172</v>
      </c>
      <c r="F473" s="9" t="s">
        <v>334</v>
      </c>
      <c r="G473" s="9" t="s">
        <v>26</v>
      </c>
      <c r="H473" s="9" t="s">
        <v>29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10">
        <v>8607.61</v>
      </c>
      <c r="Q473" s="9">
        <v>0</v>
      </c>
      <c r="R473" s="12">
        <f t="shared" si="0"/>
        <v>8607.61</v>
      </c>
    </row>
    <row r="474" spans="1:18" ht="12.75" x14ac:dyDescent="0.2">
      <c r="A474" s="9" t="s">
        <v>335</v>
      </c>
      <c r="B474" s="9" t="s">
        <v>17</v>
      </c>
      <c r="C474" s="9" t="s">
        <v>18</v>
      </c>
      <c r="D474" s="9" t="s">
        <v>87</v>
      </c>
      <c r="E474" s="9" t="s">
        <v>343</v>
      </c>
      <c r="F474" s="9" t="s">
        <v>334</v>
      </c>
      <c r="G474" s="9" t="s">
        <v>21</v>
      </c>
      <c r="H474" s="10">
        <v>74711.75</v>
      </c>
      <c r="I474" s="9">
        <v>727.99</v>
      </c>
      <c r="J474" s="10">
        <v>2485.88</v>
      </c>
      <c r="K474" s="10">
        <v>1649.25</v>
      </c>
      <c r="L474" s="10">
        <v>1409.99</v>
      </c>
      <c r="M474" s="10">
        <v>1759.13</v>
      </c>
      <c r="N474" s="10">
        <v>1788.28</v>
      </c>
      <c r="O474" s="10">
        <v>1830.86</v>
      </c>
      <c r="P474" s="10">
        <v>1614.63</v>
      </c>
      <c r="Q474" s="10">
        <v>1789.56</v>
      </c>
      <c r="R474" s="11">
        <f t="shared" si="0"/>
        <v>89767.320000000022</v>
      </c>
    </row>
    <row r="475" spans="1:18" ht="12.75" x14ac:dyDescent="0.2">
      <c r="A475" s="9" t="s">
        <v>335</v>
      </c>
      <c r="B475" s="9" t="s">
        <v>17</v>
      </c>
      <c r="C475" s="9" t="s">
        <v>36</v>
      </c>
      <c r="D475" s="9" t="s">
        <v>87</v>
      </c>
      <c r="E475" s="9" t="s">
        <v>343</v>
      </c>
      <c r="F475" s="9" t="s">
        <v>334</v>
      </c>
      <c r="G475" s="9" t="s">
        <v>37</v>
      </c>
      <c r="H475" s="10">
        <v>1163068.5</v>
      </c>
      <c r="I475" s="10">
        <v>824184.89</v>
      </c>
      <c r="J475" s="10">
        <v>1493942.65</v>
      </c>
      <c r="K475" s="10">
        <v>9640647.9700000007</v>
      </c>
      <c r="L475" s="10">
        <v>6724935.2599999998</v>
      </c>
      <c r="M475" s="10">
        <v>6316759.9699999997</v>
      </c>
      <c r="N475" s="10">
        <v>5955342.6100000003</v>
      </c>
      <c r="O475" s="10">
        <v>5678916.71</v>
      </c>
      <c r="P475" s="10">
        <v>5729602.2199999997</v>
      </c>
      <c r="Q475" s="10">
        <v>5354756.8499999996</v>
      </c>
      <c r="R475" s="11">
        <f t="shared" si="0"/>
        <v>48882157.630000003</v>
      </c>
    </row>
    <row r="476" spans="1:18" ht="12.75" x14ac:dyDescent="0.2">
      <c r="A476" s="9" t="s">
        <v>335</v>
      </c>
      <c r="B476" s="9" t="s">
        <v>17</v>
      </c>
      <c r="C476" s="9" t="s">
        <v>18</v>
      </c>
      <c r="D476" s="9" t="s">
        <v>87</v>
      </c>
      <c r="E476" s="9" t="s">
        <v>343</v>
      </c>
      <c r="F476" s="9" t="s">
        <v>334</v>
      </c>
      <c r="G476" s="9" t="s">
        <v>26</v>
      </c>
      <c r="H476" s="10">
        <v>10575.66</v>
      </c>
      <c r="I476" s="9">
        <v>670.99</v>
      </c>
      <c r="J476" s="9">
        <v>0</v>
      </c>
      <c r="K476" s="9">
        <v>698.68</v>
      </c>
      <c r="L476" s="9">
        <v>596.70000000000005</v>
      </c>
      <c r="M476" s="9">
        <v>0</v>
      </c>
      <c r="N476" s="9">
        <v>251.98</v>
      </c>
      <c r="O476" s="9">
        <v>0</v>
      </c>
      <c r="P476" s="9">
        <v>508.97</v>
      </c>
      <c r="Q476" s="9">
        <v>0</v>
      </c>
      <c r="R476" s="11">
        <f t="shared" si="0"/>
        <v>13302.98</v>
      </c>
    </row>
    <row r="477" spans="1:18" ht="12.75" x14ac:dyDescent="0.2">
      <c r="A477" s="9" t="s">
        <v>335</v>
      </c>
      <c r="B477" s="9" t="s">
        <v>17</v>
      </c>
      <c r="C477" s="9" t="s">
        <v>18</v>
      </c>
      <c r="D477" s="9" t="s">
        <v>87</v>
      </c>
      <c r="E477" s="9" t="s">
        <v>343</v>
      </c>
      <c r="F477" s="9" t="s">
        <v>334</v>
      </c>
      <c r="G477" s="9" t="s">
        <v>28</v>
      </c>
      <c r="H477" s="9" t="s">
        <v>29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10">
        <v>2623.91</v>
      </c>
      <c r="O477" s="9">
        <v>0</v>
      </c>
      <c r="P477" s="9">
        <v>0</v>
      </c>
      <c r="Q477" s="9">
        <v>0</v>
      </c>
      <c r="R477" s="12">
        <f t="shared" si="0"/>
        <v>2623.91</v>
      </c>
    </row>
    <row r="478" spans="1:18" ht="12.75" x14ac:dyDescent="0.2">
      <c r="A478" s="9" t="s">
        <v>335</v>
      </c>
      <c r="B478" s="9" t="s">
        <v>17</v>
      </c>
      <c r="C478" s="9" t="s">
        <v>18</v>
      </c>
      <c r="D478" s="9" t="s">
        <v>87</v>
      </c>
      <c r="E478" s="9" t="s">
        <v>343</v>
      </c>
      <c r="F478" s="9" t="s">
        <v>334</v>
      </c>
      <c r="G478" s="9" t="s">
        <v>34</v>
      </c>
      <c r="H478" s="10">
        <v>58550.7</v>
      </c>
      <c r="I478" s="10">
        <v>57494.01</v>
      </c>
      <c r="J478" s="10">
        <v>81885</v>
      </c>
      <c r="K478" s="10">
        <v>30944.61</v>
      </c>
      <c r="L478" s="10">
        <v>2188.81</v>
      </c>
      <c r="M478" s="10">
        <v>32269.85</v>
      </c>
      <c r="N478" s="10">
        <v>6690.14</v>
      </c>
      <c r="O478" s="10">
        <v>27117.95</v>
      </c>
      <c r="P478" s="10">
        <v>30654.76</v>
      </c>
      <c r="Q478" s="10">
        <v>32291.98</v>
      </c>
      <c r="R478" s="11">
        <f t="shared" si="0"/>
        <v>360087.81</v>
      </c>
    </row>
    <row r="479" spans="1:18" ht="12.75" x14ac:dyDescent="0.2">
      <c r="A479" s="9" t="s">
        <v>335</v>
      </c>
      <c r="B479" s="9" t="s">
        <v>17</v>
      </c>
      <c r="C479" s="9" t="s">
        <v>18</v>
      </c>
      <c r="D479" s="9" t="s">
        <v>87</v>
      </c>
      <c r="E479" s="9" t="s">
        <v>344</v>
      </c>
      <c r="F479" s="9" t="s">
        <v>334</v>
      </c>
      <c r="G479" s="9" t="s">
        <v>34</v>
      </c>
      <c r="H479" s="10">
        <v>22721.68</v>
      </c>
      <c r="I479" s="10">
        <v>22311.62</v>
      </c>
      <c r="J479" s="10">
        <v>22755.52</v>
      </c>
      <c r="K479" s="10">
        <v>5161.5600000000004</v>
      </c>
      <c r="L479" s="9">
        <v>0</v>
      </c>
      <c r="M479" s="10">
        <v>7789.27</v>
      </c>
      <c r="N479" s="10">
        <v>1342.14</v>
      </c>
      <c r="O479" s="10">
        <v>2714.92</v>
      </c>
      <c r="P479" s="10">
        <v>4720.29</v>
      </c>
      <c r="Q479" s="10">
        <v>6460.38</v>
      </c>
      <c r="R479" s="11">
        <f t="shared" si="0"/>
        <v>95977.38</v>
      </c>
    </row>
    <row r="480" spans="1:18" ht="12.75" x14ac:dyDescent="0.2">
      <c r="A480" s="9" t="s">
        <v>335</v>
      </c>
      <c r="B480" s="9" t="s">
        <v>17</v>
      </c>
      <c r="C480" s="9" t="s">
        <v>36</v>
      </c>
      <c r="D480" s="9" t="s">
        <v>87</v>
      </c>
      <c r="E480" s="9" t="s">
        <v>176</v>
      </c>
      <c r="F480" s="9" t="s">
        <v>334</v>
      </c>
      <c r="G480" s="9" t="s">
        <v>37</v>
      </c>
      <c r="H480" s="9" t="s">
        <v>29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10">
        <v>4392297.16</v>
      </c>
      <c r="R480" s="12">
        <f t="shared" si="0"/>
        <v>4392297.16</v>
      </c>
    </row>
    <row r="481" spans="1:18" ht="12.75" x14ac:dyDescent="0.2">
      <c r="A481" s="9" t="s">
        <v>335</v>
      </c>
      <c r="B481" s="9" t="s">
        <v>17</v>
      </c>
      <c r="C481" s="9" t="s">
        <v>36</v>
      </c>
      <c r="D481" s="9" t="s">
        <v>87</v>
      </c>
      <c r="E481" s="9" t="s">
        <v>177</v>
      </c>
      <c r="F481" s="9" t="s">
        <v>334</v>
      </c>
      <c r="G481" s="9" t="s">
        <v>37</v>
      </c>
      <c r="H481" s="9" t="s">
        <v>29</v>
      </c>
      <c r="I481" s="9">
        <v>0</v>
      </c>
      <c r="J481" s="9">
        <v>0</v>
      </c>
      <c r="K481" s="9">
        <v>0</v>
      </c>
      <c r="L481" s="9">
        <v>0</v>
      </c>
      <c r="M481" s="10">
        <v>1496395.98</v>
      </c>
      <c r="N481" s="9">
        <v>0</v>
      </c>
      <c r="O481" s="10">
        <v>414898.63</v>
      </c>
      <c r="P481" s="9">
        <v>0</v>
      </c>
      <c r="Q481" s="9">
        <v>0</v>
      </c>
      <c r="R481" s="12">
        <f t="shared" si="0"/>
        <v>1911294.6099999999</v>
      </c>
    </row>
    <row r="482" spans="1:18" ht="12.75" x14ac:dyDescent="0.2">
      <c r="A482" s="9" t="s">
        <v>335</v>
      </c>
      <c r="B482" s="9" t="s">
        <v>17</v>
      </c>
      <c r="C482" s="9" t="s">
        <v>36</v>
      </c>
      <c r="D482" s="9" t="s">
        <v>87</v>
      </c>
      <c r="E482" s="9" t="s">
        <v>178</v>
      </c>
      <c r="F482" s="9" t="s">
        <v>334</v>
      </c>
      <c r="G482" s="9" t="s">
        <v>37</v>
      </c>
      <c r="H482" s="9" t="s">
        <v>29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10">
        <v>3017444.6</v>
      </c>
      <c r="P482" s="9">
        <v>0</v>
      </c>
      <c r="Q482" s="10">
        <v>2928198.11</v>
      </c>
      <c r="R482" s="12">
        <f t="shared" si="0"/>
        <v>5945642.71</v>
      </c>
    </row>
    <row r="483" spans="1:18" ht="12.75" x14ac:dyDescent="0.2">
      <c r="A483" s="9" t="s">
        <v>335</v>
      </c>
      <c r="B483" s="9" t="s">
        <v>17</v>
      </c>
      <c r="C483" s="9" t="s">
        <v>18</v>
      </c>
      <c r="D483" s="9" t="s">
        <v>112</v>
      </c>
      <c r="E483" s="9" t="s">
        <v>345</v>
      </c>
      <c r="F483" s="9" t="s">
        <v>334</v>
      </c>
      <c r="G483" s="9" t="s">
        <v>34</v>
      </c>
      <c r="H483" s="10">
        <v>58550.7</v>
      </c>
      <c r="I483" s="10">
        <v>57494.01</v>
      </c>
      <c r="J483" s="10">
        <v>241208.52</v>
      </c>
      <c r="K483" s="10">
        <v>40002.06</v>
      </c>
      <c r="L483" s="9">
        <v>0</v>
      </c>
      <c r="M483" s="10">
        <v>79005.490000000005</v>
      </c>
      <c r="N483" s="10">
        <v>16105.71</v>
      </c>
      <c r="O483" s="10">
        <v>52940.86</v>
      </c>
      <c r="P483" s="10">
        <v>47202.9</v>
      </c>
      <c r="Q483" s="10">
        <v>59435.46</v>
      </c>
      <c r="R483" s="11">
        <f t="shared" si="0"/>
        <v>651945.71</v>
      </c>
    </row>
    <row r="484" spans="1:18" ht="12.75" x14ac:dyDescent="0.2">
      <c r="A484" s="9" t="s">
        <v>335</v>
      </c>
      <c r="B484" s="9" t="s">
        <v>17</v>
      </c>
      <c r="C484" s="9" t="s">
        <v>18</v>
      </c>
      <c r="D484" s="9" t="s">
        <v>112</v>
      </c>
      <c r="E484" s="9" t="s">
        <v>346</v>
      </c>
      <c r="F484" s="9" t="s">
        <v>334</v>
      </c>
      <c r="G484" s="9" t="s">
        <v>21</v>
      </c>
      <c r="H484" s="10">
        <v>74711.75</v>
      </c>
      <c r="I484" s="9">
        <v>727.99</v>
      </c>
      <c r="J484" s="10">
        <v>2485.88</v>
      </c>
      <c r="K484" s="10">
        <v>1649.25</v>
      </c>
      <c r="L484" s="10">
        <v>1409.99</v>
      </c>
      <c r="M484" s="10">
        <v>1759.13</v>
      </c>
      <c r="N484" s="10">
        <v>1788.28</v>
      </c>
      <c r="O484" s="10">
        <v>1830.86</v>
      </c>
      <c r="P484" s="10">
        <v>1614.63</v>
      </c>
      <c r="Q484" s="10">
        <v>1789.56</v>
      </c>
      <c r="R484" s="11">
        <f t="shared" si="0"/>
        <v>89767.320000000022</v>
      </c>
    </row>
    <row r="485" spans="1:18" ht="12.75" x14ac:dyDescent="0.2">
      <c r="A485" s="9" t="s">
        <v>335</v>
      </c>
      <c r="B485" s="9" t="s">
        <v>17</v>
      </c>
      <c r="C485" s="9" t="s">
        <v>18</v>
      </c>
      <c r="D485" s="9" t="s">
        <v>112</v>
      </c>
      <c r="E485" s="9" t="s">
        <v>114</v>
      </c>
      <c r="F485" s="9" t="s">
        <v>334</v>
      </c>
      <c r="G485" s="9" t="s">
        <v>21</v>
      </c>
      <c r="H485" s="10">
        <v>74711.75</v>
      </c>
      <c r="I485" s="9">
        <v>727.99</v>
      </c>
      <c r="J485" s="10">
        <v>2485.88</v>
      </c>
      <c r="K485" s="10">
        <v>1649.25</v>
      </c>
      <c r="L485" s="10">
        <v>1409.99</v>
      </c>
      <c r="M485" s="10">
        <v>1759.13</v>
      </c>
      <c r="N485" s="10">
        <v>1788.28</v>
      </c>
      <c r="O485" s="10">
        <v>1830.86</v>
      </c>
      <c r="P485" s="10">
        <v>1614.63</v>
      </c>
      <c r="Q485" s="10">
        <v>1789.56</v>
      </c>
      <c r="R485" s="11">
        <f t="shared" si="0"/>
        <v>89767.320000000022</v>
      </c>
    </row>
    <row r="486" spans="1:18" ht="12.75" x14ac:dyDescent="0.2">
      <c r="A486" s="9" t="s">
        <v>335</v>
      </c>
      <c r="B486" s="9" t="s">
        <v>17</v>
      </c>
      <c r="C486" s="9" t="s">
        <v>18</v>
      </c>
      <c r="D486" s="9" t="s">
        <v>112</v>
      </c>
      <c r="E486" s="9" t="s">
        <v>114</v>
      </c>
      <c r="F486" s="9" t="s">
        <v>334</v>
      </c>
      <c r="G486" s="9" t="s">
        <v>24</v>
      </c>
      <c r="H486" s="9" t="s">
        <v>29</v>
      </c>
      <c r="I486" s="9">
        <v>0</v>
      </c>
      <c r="J486" s="9">
        <v>0</v>
      </c>
      <c r="K486" s="9">
        <v>0</v>
      </c>
      <c r="L486" s="10">
        <v>72760.75</v>
      </c>
      <c r="M486" s="9">
        <v>0</v>
      </c>
      <c r="N486" s="9">
        <v>0</v>
      </c>
      <c r="O486" s="10">
        <v>4503.46</v>
      </c>
      <c r="P486" s="9">
        <v>0</v>
      </c>
      <c r="Q486" s="9">
        <v>0</v>
      </c>
      <c r="R486" s="12">
        <f t="shared" si="0"/>
        <v>77264.210000000006</v>
      </c>
    </row>
    <row r="487" spans="1:18" ht="12.75" x14ac:dyDescent="0.2">
      <c r="A487" s="9" t="s">
        <v>335</v>
      </c>
      <c r="B487" s="9" t="s">
        <v>17</v>
      </c>
      <c r="C487" s="9" t="s">
        <v>18</v>
      </c>
      <c r="D487" s="9" t="s">
        <v>112</v>
      </c>
      <c r="E487" s="9" t="s">
        <v>114</v>
      </c>
      <c r="F487" s="9" t="s">
        <v>334</v>
      </c>
      <c r="G487" s="9" t="s">
        <v>25</v>
      </c>
      <c r="H487" s="9" t="s">
        <v>29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10">
        <v>1011383.8</v>
      </c>
      <c r="O487" s="9">
        <v>0</v>
      </c>
      <c r="P487" s="9">
        <v>0</v>
      </c>
      <c r="Q487" s="9">
        <v>0</v>
      </c>
      <c r="R487" s="12">
        <f t="shared" si="0"/>
        <v>1011383.8</v>
      </c>
    </row>
    <row r="488" spans="1:18" ht="12.75" x14ac:dyDescent="0.2">
      <c r="A488" s="9" t="s">
        <v>335</v>
      </c>
      <c r="B488" s="9" t="s">
        <v>17</v>
      </c>
      <c r="C488" s="9" t="s">
        <v>18</v>
      </c>
      <c r="D488" s="9" t="s">
        <v>112</v>
      </c>
      <c r="E488" s="9" t="s">
        <v>114</v>
      </c>
      <c r="F488" s="9" t="s">
        <v>334</v>
      </c>
      <c r="G488" s="9" t="s">
        <v>34</v>
      </c>
      <c r="H488" s="9" t="s">
        <v>29</v>
      </c>
      <c r="I488" s="9">
        <v>0</v>
      </c>
      <c r="J488" s="10">
        <v>6068.14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12">
        <f t="shared" si="0"/>
        <v>6068.14</v>
      </c>
    </row>
    <row r="489" spans="1:18" ht="12.75" x14ac:dyDescent="0.2">
      <c r="A489" s="9" t="s">
        <v>335</v>
      </c>
      <c r="B489" s="9" t="s">
        <v>17</v>
      </c>
      <c r="C489" s="9" t="s">
        <v>36</v>
      </c>
      <c r="D489" s="9" t="s">
        <v>112</v>
      </c>
      <c r="E489" s="9" t="s">
        <v>183</v>
      </c>
      <c r="F489" s="9" t="s">
        <v>334</v>
      </c>
      <c r="G489" s="9" t="s">
        <v>37</v>
      </c>
      <c r="H489" s="9" t="s">
        <v>29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10">
        <v>9052333.7899999991</v>
      </c>
      <c r="P489" s="9">
        <v>0</v>
      </c>
      <c r="Q489" s="10">
        <v>4392297.16</v>
      </c>
      <c r="R489" s="12">
        <f t="shared" si="0"/>
        <v>13444630.949999999</v>
      </c>
    </row>
    <row r="490" spans="1:18" ht="12.75" x14ac:dyDescent="0.2">
      <c r="A490" s="9" t="s">
        <v>335</v>
      </c>
      <c r="B490" s="9" t="s">
        <v>17</v>
      </c>
      <c r="C490" s="9" t="s">
        <v>36</v>
      </c>
      <c r="D490" s="9" t="s">
        <v>112</v>
      </c>
      <c r="E490" s="9" t="s">
        <v>184</v>
      </c>
      <c r="F490" s="9" t="s">
        <v>334</v>
      </c>
      <c r="G490" s="9" t="s">
        <v>37</v>
      </c>
      <c r="H490" s="9" t="s">
        <v>29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10">
        <v>9025871.4499999993</v>
      </c>
      <c r="Q490" s="10">
        <v>4392297.16</v>
      </c>
      <c r="R490" s="12">
        <f t="shared" si="0"/>
        <v>13418168.609999999</v>
      </c>
    </row>
    <row r="491" spans="1:18" ht="12.75" x14ac:dyDescent="0.2">
      <c r="A491" s="9" t="s">
        <v>335</v>
      </c>
      <c r="B491" s="9" t="s">
        <v>17</v>
      </c>
      <c r="C491" s="9" t="s">
        <v>36</v>
      </c>
      <c r="D491" s="9" t="s">
        <v>347</v>
      </c>
      <c r="E491" s="9" t="s">
        <v>348</v>
      </c>
      <c r="F491" s="9" t="s">
        <v>334</v>
      </c>
      <c r="G491" s="9" t="s">
        <v>37</v>
      </c>
      <c r="H491" s="9" t="s">
        <v>29</v>
      </c>
      <c r="I491" s="9">
        <v>0</v>
      </c>
      <c r="J491" s="9">
        <v>0</v>
      </c>
      <c r="K491" s="9">
        <v>0</v>
      </c>
      <c r="L491" s="9">
        <v>0</v>
      </c>
      <c r="M491" s="10">
        <v>272072</v>
      </c>
      <c r="N491" s="9">
        <v>0</v>
      </c>
      <c r="O491" s="9">
        <v>0</v>
      </c>
      <c r="P491" s="9">
        <v>0</v>
      </c>
      <c r="Q491" s="9">
        <v>0</v>
      </c>
      <c r="R491" s="12">
        <f t="shared" si="0"/>
        <v>272072</v>
      </c>
    </row>
    <row r="492" spans="1:18" ht="12.75" x14ac:dyDescent="0.2">
      <c r="A492" s="9" t="s">
        <v>349</v>
      </c>
      <c r="B492" s="9" t="s">
        <v>17</v>
      </c>
      <c r="C492" s="9" t="s">
        <v>18</v>
      </c>
      <c r="D492" s="9" t="s">
        <v>238</v>
      </c>
      <c r="E492" s="9" t="s">
        <v>238</v>
      </c>
      <c r="F492" s="9" t="s">
        <v>333</v>
      </c>
      <c r="G492" s="9" t="s">
        <v>24</v>
      </c>
      <c r="H492" s="10">
        <v>192702.41</v>
      </c>
      <c r="I492" s="10">
        <v>5265.08</v>
      </c>
      <c r="J492" s="10">
        <v>405565.68</v>
      </c>
      <c r="K492" s="10">
        <v>1076180.26</v>
      </c>
      <c r="L492" s="10">
        <v>911372.62</v>
      </c>
      <c r="M492" s="10">
        <v>1257428.8400000001</v>
      </c>
      <c r="N492" s="9">
        <v>0</v>
      </c>
      <c r="O492" s="10">
        <v>97420.85</v>
      </c>
      <c r="P492" s="10">
        <v>21341.83</v>
      </c>
      <c r="Q492" s="10">
        <v>78792.820000000007</v>
      </c>
      <c r="R492" s="11">
        <f t="shared" si="0"/>
        <v>4046070.3899999997</v>
      </c>
    </row>
    <row r="493" spans="1:18" ht="12.75" x14ac:dyDescent="0.2">
      <c r="A493" s="9" t="s">
        <v>349</v>
      </c>
      <c r="B493" s="9" t="s">
        <v>17</v>
      </c>
      <c r="C493" s="9" t="s">
        <v>36</v>
      </c>
      <c r="D493" s="9" t="s">
        <v>238</v>
      </c>
      <c r="E493" s="9" t="s">
        <v>238</v>
      </c>
      <c r="F493" s="9" t="s">
        <v>333</v>
      </c>
      <c r="G493" s="9" t="s">
        <v>37</v>
      </c>
      <c r="H493" s="10">
        <v>5776789.1600000001</v>
      </c>
      <c r="I493" s="10">
        <v>2065694.38</v>
      </c>
      <c r="J493" s="10">
        <v>1438442.77</v>
      </c>
      <c r="K493" s="10">
        <v>547113.86</v>
      </c>
      <c r="L493" s="10">
        <v>2539054.2599999998</v>
      </c>
      <c r="M493" s="10">
        <v>708352.39</v>
      </c>
      <c r="N493" s="10">
        <v>410936.07</v>
      </c>
      <c r="O493" s="10">
        <v>380891.72</v>
      </c>
      <c r="P493" s="10">
        <v>738629.93</v>
      </c>
      <c r="Q493" s="10">
        <v>988893.05</v>
      </c>
      <c r="R493" s="11">
        <f t="shared" si="0"/>
        <v>15594797.590000002</v>
      </c>
    </row>
    <row r="494" spans="1:18" ht="12.75" x14ac:dyDescent="0.2">
      <c r="A494" s="9" t="s">
        <v>349</v>
      </c>
      <c r="B494" s="9" t="s">
        <v>17</v>
      </c>
      <c r="C494" s="9" t="s">
        <v>18</v>
      </c>
      <c r="D494" s="9" t="s">
        <v>238</v>
      </c>
      <c r="E494" s="9" t="s">
        <v>238</v>
      </c>
      <c r="F494" s="9" t="s">
        <v>333</v>
      </c>
      <c r="G494" s="9" t="s">
        <v>26</v>
      </c>
      <c r="H494" s="10">
        <v>687639.02</v>
      </c>
      <c r="I494" s="10">
        <v>43628.18</v>
      </c>
      <c r="J494" s="10">
        <v>30460.91</v>
      </c>
      <c r="K494" s="10">
        <v>6751.54</v>
      </c>
      <c r="L494" s="10">
        <v>26391.02</v>
      </c>
      <c r="M494" s="10">
        <v>13355.1</v>
      </c>
      <c r="N494" s="10">
        <v>-39739.449999999997</v>
      </c>
      <c r="O494" s="10">
        <v>47964.76</v>
      </c>
      <c r="P494" s="10">
        <v>12201.69</v>
      </c>
      <c r="Q494" s="10">
        <v>418894.2</v>
      </c>
      <c r="R494" s="11">
        <f t="shared" si="0"/>
        <v>1247546.9700000002</v>
      </c>
    </row>
    <row r="495" spans="1:18" ht="12.75" x14ac:dyDescent="0.2">
      <c r="A495" s="9" t="s">
        <v>349</v>
      </c>
      <c r="B495" s="9" t="s">
        <v>17</v>
      </c>
      <c r="C495" s="9" t="s">
        <v>18</v>
      </c>
      <c r="D495" s="9" t="s">
        <v>238</v>
      </c>
      <c r="E495" s="9" t="s">
        <v>238</v>
      </c>
      <c r="F495" s="9" t="s">
        <v>333</v>
      </c>
      <c r="G495" s="9" t="s">
        <v>28</v>
      </c>
      <c r="H495" s="10">
        <v>153899.78</v>
      </c>
      <c r="I495" s="10">
        <v>210484.43</v>
      </c>
      <c r="J495" s="10">
        <v>13582.78</v>
      </c>
      <c r="K495" s="9">
        <v>0</v>
      </c>
      <c r="L495" s="10">
        <v>4205.97</v>
      </c>
      <c r="M495" s="10">
        <v>8288.11</v>
      </c>
      <c r="N495" s="9">
        <v>0</v>
      </c>
      <c r="O495" s="10">
        <v>17991.8</v>
      </c>
      <c r="P495" s="10">
        <v>13740.49</v>
      </c>
      <c r="Q495" s="10">
        <v>16330.99</v>
      </c>
      <c r="R495" s="11">
        <f t="shared" si="0"/>
        <v>438524.34999999992</v>
      </c>
    </row>
    <row r="496" spans="1:18" ht="12.75" x14ac:dyDescent="0.2">
      <c r="A496" s="9" t="s">
        <v>349</v>
      </c>
      <c r="B496" s="9" t="s">
        <v>17</v>
      </c>
      <c r="C496" s="9" t="s">
        <v>18</v>
      </c>
      <c r="D496" s="9" t="s">
        <v>238</v>
      </c>
      <c r="E496" s="9" t="s">
        <v>238</v>
      </c>
      <c r="F496" s="9" t="s">
        <v>333</v>
      </c>
      <c r="G496" s="9" t="s">
        <v>30</v>
      </c>
      <c r="H496" s="10">
        <v>157142.99</v>
      </c>
      <c r="I496" s="10">
        <v>163003.29999999999</v>
      </c>
      <c r="J496" s="10">
        <v>141052.35</v>
      </c>
      <c r="K496" s="10">
        <v>859548.68</v>
      </c>
      <c r="L496" s="10">
        <v>749536.32</v>
      </c>
      <c r="M496" s="10">
        <v>1810942.63</v>
      </c>
      <c r="N496" s="10">
        <v>372417.15</v>
      </c>
      <c r="O496" s="10">
        <v>869993.07</v>
      </c>
      <c r="P496" s="10">
        <v>1120458.77</v>
      </c>
      <c r="Q496" s="10">
        <v>980059.51</v>
      </c>
      <c r="R496" s="11">
        <f t="shared" si="0"/>
        <v>7224154.7699999996</v>
      </c>
    </row>
    <row r="497" spans="1:18" ht="12.75" x14ac:dyDescent="0.2">
      <c r="A497" s="9" t="s">
        <v>349</v>
      </c>
      <c r="B497" s="9" t="s">
        <v>17</v>
      </c>
      <c r="C497" s="9" t="s">
        <v>18</v>
      </c>
      <c r="D497" s="9" t="s">
        <v>238</v>
      </c>
      <c r="E497" s="9" t="s">
        <v>238</v>
      </c>
      <c r="F497" s="9" t="s">
        <v>333</v>
      </c>
      <c r="G497" s="9" t="s">
        <v>47</v>
      </c>
      <c r="H497" s="10">
        <v>242609.78</v>
      </c>
      <c r="I497" s="10">
        <v>171932.42</v>
      </c>
      <c r="J497" s="10">
        <v>284710.57</v>
      </c>
      <c r="K497" s="10">
        <v>562212.63</v>
      </c>
      <c r="L497" s="10">
        <v>485964.53</v>
      </c>
      <c r="M497" s="10">
        <v>451800.93</v>
      </c>
      <c r="N497" s="10">
        <v>497590.93</v>
      </c>
      <c r="O497" s="10">
        <v>490525.11</v>
      </c>
      <c r="P497" s="10">
        <v>340825.54</v>
      </c>
      <c r="Q497" s="10">
        <v>245441.92000000001</v>
      </c>
      <c r="R497" s="11">
        <f t="shared" si="0"/>
        <v>3773614.36</v>
      </c>
    </row>
    <row r="498" spans="1:18" ht="12.75" x14ac:dyDescent="0.2">
      <c r="A498" s="9" t="s">
        <v>349</v>
      </c>
      <c r="B498" s="9" t="s">
        <v>17</v>
      </c>
      <c r="C498" s="9" t="s">
        <v>18</v>
      </c>
      <c r="D498" s="9" t="s">
        <v>238</v>
      </c>
      <c r="E498" s="9" t="s">
        <v>238</v>
      </c>
      <c r="F498" s="9" t="s">
        <v>333</v>
      </c>
      <c r="G498" s="9" t="s">
        <v>43</v>
      </c>
      <c r="H498" s="10">
        <v>884509.69</v>
      </c>
      <c r="I498" s="10">
        <v>1480502.71</v>
      </c>
      <c r="J498" s="10">
        <v>4008706.73</v>
      </c>
      <c r="K498" s="10">
        <v>6363390.71</v>
      </c>
      <c r="L498" s="10">
        <v>3498423.74</v>
      </c>
      <c r="M498" s="10">
        <v>4220665.22</v>
      </c>
      <c r="N498" s="10">
        <v>6560289.0199999996</v>
      </c>
      <c r="O498" s="10">
        <v>4292455.09</v>
      </c>
      <c r="P498" s="10">
        <v>13853015.27</v>
      </c>
      <c r="Q498" s="10">
        <v>2453515.86</v>
      </c>
      <c r="R498" s="11">
        <f t="shared" si="0"/>
        <v>47615474.039999999</v>
      </c>
    </row>
    <row r="499" spans="1:18" ht="12.75" x14ac:dyDescent="0.2">
      <c r="A499" s="9" t="s">
        <v>349</v>
      </c>
      <c r="B499" s="9" t="s">
        <v>17</v>
      </c>
      <c r="C499" s="9" t="s">
        <v>18</v>
      </c>
      <c r="D499" s="9" t="s">
        <v>238</v>
      </c>
      <c r="E499" s="9" t="s">
        <v>238</v>
      </c>
      <c r="F499" s="9" t="s">
        <v>333</v>
      </c>
      <c r="G499" s="9" t="s">
        <v>139</v>
      </c>
      <c r="H499" s="10">
        <v>216374.39</v>
      </c>
      <c r="I499" s="10">
        <v>115663.21</v>
      </c>
      <c r="J499" s="10">
        <v>581672.91</v>
      </c>
      <c r="K499" s="10">
        <v>19688.18</v>
      </c>
      <c r="L499" s="10">
        <v>20703.14</v>
      </c>
      <c r="M499" s="10">
        <v>30239.74</v>
      </c>
      <c r="N499" s="10">
        <v>30074.33</v>
      </c>
      <c r="O499" s="10">
        <v>28673.72</v>
      </c>
      <c r="P499" s="10">
        <v>179556.16</v>
      </c>
      <c r="Q499" s="10">
        <v>244670.72</v>
      </c>
      <c r="R499" s="11">
        <f t="shared" si="0"/>
        <v>1467316.5</v>
      </c>
    </row>
    <row r="500" spans="1:18" ht="12.75" x14ac:dyDescent="0.2">
      <c r="A500" s="9" t="s">
        <v>349</v>
      </c>
      <c r="B500" s="9" t="s">
        <v>17</v>
      </c>
      <c r="C500" s="9" t="s">
        <v>18</v>
      </c>
      <c r="D500" s="9" t="s">
        <v>238</v>
      </c>
      <c r="E500" s="9" t="s">
        <v>238</v>
      </c>
      <c r="F500" s="9" t="s">
        <v>333</v>
      </c>
      <c r="G500" s="9" t="s">
        <v>146</v>
      </c>
      <c r="H500" s="10">
        <v>4217444.7300000004</v>
      </c>
      <c r="I500" s="10">
        <v>9469803.5099999998</v>
      </c>
      <c r="J500" s="10">
        <v>7702582.9800000004</v>
      </c>
      <c r="K500" s="10">
        <v>7532763.3200000003</v>
      </c>
      <c r="L500" s="10">
        <v>6838405.4000000004</v>
      </c>
      <c r="M500" s="10">
        <v>8102309.9000000004</v>
      </c>
      <c r="N500" s="10">
        <v>8422411.4499999993</v>
      </c>
      <c r="O500" s="10">
        <v>7931227.3300000001</v>
      </c>
      <c r="P500" s="10">
        <v>4278124.43</v>
      </c>
      <c r="Q500" s="10">
        <v>6609199.8700000001</v>
      </c>
      <c r="R500" s="11">
        <f t="shared" si="0"/>
        <v>71104272.919999987</v>
      </c>
    </row>
    <row r="501" spans="1:18" ht="12.75" x14ac:dyDescent="0.2">
      <c r="A501" s="9" t="s">
        <v>349</v>
      </c>
      <c r="B501" s="9" t="s">
        <v>17</v>
      </c>
      <c r="C501" s="9" t="s">
        <v>18</v>
      </c>
      <c r="D501" s="9" t="s">
        <v>238</v>
      </c>
      <c r="E501" s="9" t="s">
        <v>238</v>
      </c>
      <c r="F501" s="9" t="s">
        <v>333</v>
      </c>
      <c r="G501" s="9" t="s">
        <v>55</v>
      </c>
      <c r="H501" s="10">
        <v>16485.21</v>
      </c>
      <c r="I501" s="10">
        <v>11990.85</v>
      </c>
      <c r="J501" s="10">
        <v>335008.18</v>
      </c>
      <c r="K501" s="10">
        <v>258799.43</v>
      </c>
      <c r="L501" s="10">
        <v>199160.21</v>
      </c>
      <c r="M501" s="9">
        <v>0</v>
      </c>
      <c r="N501" s="10">
        <v>408627.47</v>
      </c>
      <c r="O501" s="10">
        <v>352180.7</v>
      </c>
      <c r="P501" s="9">
        <v>0</v>
      </c>
      <c r="Q501" s="10">
        <v>325625.52</v>
      </c>
      <c r="R501" s="11">
        <f t="shared" si="0"/>
        <v>1907877.5699999998</v>
      </c>
    </row>
    <row r="502" spans="1:18" ht="12.75" x14ac:dyDescent="0.2">
      <c r="A502" s="9" t="s">
        <v>332</v>
      </c>
      <c r="B502" s="9" t="s">
        <v>17</v>
      </c>
      <c r="C502" s="9" t="s">
        <v>36</v>
      </c>
      <c r="D502" s="9" t="s">
        <v>19</v>
      </c>
      <c r="E502" s="9" t="s">
        <v>20</v>
      </c>
      <c r="F502" s="9" t="s">
        <v>333</v>
      </c>
      <c r="G502" s="9" t="s">
        <v>188</v>
      </c>
      <c r="H502" s="10">
        <v>2130127.9</v>
      </c>
      <c r="I502" s="10">
        <v>2501931.2999999998</v>
      </c>
      <c r="J502" s="10">
        <v>2517438.96</v>
      </c>
      <c r="K502" s="10">
        <v>3728463.64</v>
      </c>
      <c r="L502" s="10">
        <v>4502181.9800000004</v>
      </c>
      <c r="M502" s="10">
        <v>4349008</v>
      </c>
      <c r="N502" s="10">
        <v>4204645.93</v>
      </c>
      <c r="O502" s="10">
        <v>4632378.26</v>
      </c>
      <c r="P502" s="10">
        <v>4612325.1900000004</v>
      </c>
      <c r="Q502" s="10">
        <v>4753188.8499999996</v>
      </c>
      <c r="R502" s="11">
        <f t="shared" si="0"/>
        <v>37931690.009999998</v>
      </c>
    </row>
    <row r="503" spans="1:18" ht="12.75" x14ac:dyDescent="0.2">
      <c r="A503" s="9" t="s">
        <v>332</v>
      </c>
      <c r="B503" s="9" t="s">
        <v>17</v>
      </c>
      <c r="C503" s="9" t="s">
        <v>36</v>
      </c>
      <c r="D503" s="9" t="s">
        <v>19</v>
      </c>
      <c r="E503" s="9" t="s">
        <v>23</v>
      </c>
      <c r="F503" s="9" t="s">
        <v>333</v>
      </c>
      <c r="G503" s="9" t="s">
        <v>188</v>
      </c>
      <c r="H503" s="10">
        <v>7758378.9800000004</v>
      </c>
      <c r="I503" s="10">
        <v>9112566.0700000003</v>
      </c>
      <c r="J503" s="10">
        <v>9169048.2599999998</v>
      </c>
      <c r="K503" s="10">
        <v>31043432.66</v>
      </c>
      <c r="L503" s="10">
        <v>37485462.299999997</v>
      </c>
      <c r="M503" s="10">
        <v>36210125.689999998</v>
      </c>
      <c r="N503" s="10">
        <v>35008157.600000001</v>
      </c>
      <c r="O503" s="10">
        <v>38569485.030000001</v>
      </c>
      <c r="P503" s="10">
        <v>38402521.840000004</v>
      </c>
      <c r="Q503" s="10">
        <v>39575361.899999999</v>
      </c>
      <c r="R503" s="11">
        <f t="shared" si="0"/>
        <v>282334540.32999998</v>
      </c>
    </row>
    <row r="504" spans="1:18" ht="12.75" x14ac:dyDescent="0.2">
      <c r="A504" s="9" t="s">
        <v>332</v>
      </c>
      <c r="B504" s="9" t="s">
        <v>17</v>
      </c>
      <c r="C504" s="9" t="s">
        <v>36</v>
      </c>
      <c r="D504" s="9" t="s">
        <v>19</v>
      </c>
      <c r="E504" s="9" t="s">
        <v>39</v>
      </c>
      <c r="F504" s="9" t="s">
        <v>333</v>
      </c>
      <c r="G504" s="9" t="s">
        <v>189</v>
      </c>
      <c r="H504" s="10">
        <v>4802349.6500000004</v>
      </c>
      <c r="I504" s="10">
        <v>6075149.2999999998</v>
      </c>
      <c r="J504" s="10">
        <v>7594105.9000000004</v>
      </c>
      <c r="K504" s="10">
        <v>11247966.27</v>
      </c>
      <c r="L504" s="10">
        <v>11610526.199999999</v>
      </c>
      <c r="M504" s="10">
        <v>11678435.630000001</v>
      </c>
      <c r="N504" s="10">
        <v>11935424.93</v>
      </c>
      <c r="O504" s="10">
        <v>12359737.18</v>
      </c>
      <c r="P504" s="10">
        <v>12566706.140000001</v>
      </c>
      <c r="Q504" s="10">
        <v>12844909.449999999</v>
      </c>
      <c r="R504" s="11">
        <f t="shared" si="0"/>
        <v>102715310.65000001</v>
      </c>
    </row>
    <row r="505" spans="1:18" ht="12.75" x14ac:dyDescent="0.2">
      <c r="A505" s="9" t="s">
        <v>332</v>
      </c>
      <c r="B505" s="9" t="s">
        <v>17</v>
      </c>
      <c r="C505" s="9" t="s">
        <v>36</v>
      </c>
      <c r="D505" s="9" t="s">
        <v>190</v>
      </c>
      <c r="E505" s="9" t="s">
        <v>190</v>
      </c>
      <c r="F505" s="9" t="s">
        <v>333</v>
      </c>
      <c r="G505" s="9" t="s">
        <v>189</v>
      </c>
      <c r="H505" s="10">
        <v>1482300.5</v>
      </c>
      <c r="I505" s="10">
        <v>1875164.77</v>
      </c>
      <c r="J505" s="10">
        <v>2344008.21</v>
      </c>
      <c r="K505" s="10">
        <v>2149014.13</v>
      </c>
      <c r="L505" s="10">
        <v>2201081.81</v>
      </c>
      <c r="M505" s="10">
        <v>2192461.12</v>
      </c>
      <c r="N505" s="10">
        <v>2223269.81</v>
      </c>
      <c r="O505" s="10">
        <v>2279912.5299999998</v>
      </c>
      <c r="P505" s="10">
        <v>2318090.62</v>
      </c>
      <c r="Q505" s="10">
        <v>2369408.7999999998</v>
      </c>
      <c r="R505" s="11">
        <f t="shared" si="0"/>
        <v>21434712.300000001</v>
      </c>
    </row>
    <row r="506" spans="1:18" ht="12.75" x14ac:dyDescent="0.2">
      <c r="A506" s="9" t="s">
        <v>332</v>
      </c>
      <c r="B506" s="9" t="s">
        <v>17</v>
      </c>
      <c r="C506" s="9" t="s">
        <v>36</v>
      </c>
      <c r="D506" s="9" t="s">
        <v>19</v>
      </c>
      <c r="E506" s="9" t="s">
        <v>20</v>
      </c>
      <c r="F506" s="9" t="s">
        <v>333</v>
      </c>
      <c r="G506" s="9" t="s">
        <v>189</v>
      </c>
      <c r="H506" s="10">
        <v>4074775.91</v>
      </c>
      <c r="I506" s="10">
        <v>5154741.72</v>
      </c>
      <c r="J506" s="10">
        <v>6443570.7699999996</v>
      </c>
      <c r="K506" s="10">
        <v>5907541.0099999998</v>
      </c>
      <c r="L506" s="10">
        <v>6050672.6699999999</v>
      </c>
      <c r="M506" s="10">
        <v>6026974.79</v>
      </c>
      <c r="N506" s="10">
        <v>6111666.4800000004</v>
      </c>
      <c r="O506" s="10">
        <v>6267374.7000000002</v>
      </c>
      <c r="P506" s="10">
        <v>6372324.5</v>
      </c>
      <c r="Q506" s="10">
        <v>6513395.8200000003</v>
      </c>
      <c r="R506" s="11">
        <f t="shared" si="0"/>
        <v>58923038.369999997</v>
      </c>
    </row>
    <row r="507" spans="1:18" ht="12.75" x14ac:dyDescent="0.2">
      <c r="A507" s="9" t="s">
        <v>332</v>
      </c>
      <c r="B507" s="9" t="s">
        <v>17</v>
      </c>
      <c r="C507" s="9" t="s">
        <v>36</v>
      </c>
      <c r="D507" s="9" t="s">
        <v>45</v>
      </c>
      <c r="E507" s="9" t="s">
        <v>46</v>
      </c>
      <c r="F507" s="9" t="s">
        <v>333</v>
      </c>
      <c r="G507" s="9" t="s">
        <v>188</v>
      </c>
      <c r="H507" s="10">
        <v>1789455.38</v>
      </c>
      <c r="I507" s="10">
        <v>2101796.06</v>
      </c>
      <c r="J507" s="10">
        <v>2114823.58</v>
      </c>
      <c r="K507" s="10">
        <v>3604350.27</v>
      </c>
      <c r="L507" s="10">
        <v>4352313.03</v>
      </c>
      <c r="M507" s="10">
        <v>4204237.91</v>
      </c>
      <c r="N507" s="10">
        <v>4064681.37</v>
      </c>
      <c r="O507" s="10">
        <v>4478175.32</v>
      </c>
      <c r="P507" s="10">
        <v>4458789.78</v>
      </c>
      <c r="Q507" s="10">
        <v>4594964.3499999996</v>
      </c>
      <c r="R507" s="11">
        <f t="shared" si="0"/>
        <v>35763587.050000004</v>
      </c>
    </row>
    <row r="508" spans="1:18" ht="12.75" x14ac:dyDescent="0.2">
      <c r="A508" s="9" t="s">
        <v>332</v>
      </c>
      <c r="B508" s="9" t="s">
        <v>17</v>
      </c>
      <c r="C508" s="9" t="s">
        <v>36</v>
      </c>
      <c r="D508" s="9" t="s">
        <v>45</v>
      </c>
      <c r="E508" s="9" t="s">
        <v>46</v>
      </c>
      <c r="F508" s="9" t="s">
        <v>333</v>
      </c>
      <c r="G508" s="9" t="s">
        <v>189</v>
      </c>
      <c r="H508" s="10">
        <v>4072887.97</v>
      </c>
      <c r="I508" s="10">
        <v>5152353.3899999997</v>
      </c>
      <c r="J508" s="10">
        <v>6440585.2999999998</v>
      </c>
      <c r="K508" s="10">
        <v>5904803.9000000004</v>
      </c>
      <c r="L508" s="10">
        <v>6047869.2400000002</v>
      </c>
      <c r="M508" s="10">
        <v>6024182.3399999999</v>
      </c>
      <c r="N508" s="10">
        <v>6108834.79</v>
      </c>
      <c r="O508" s="10">
        <v>6264470.8600000003</v>
      </c>
      <c r="P508" s="10">
        <v>6369372.0499999998</v>
      </c>
      <c r="Q508" s="10">
        <v>6510378</v>
      </c>
      <c r="R508" s="11">
        <f t="shared" si="0"/>
        <v>58895737.839999996</v>
      </c>
    </row>
    <row r="509" spans="1:18" ht="12.75" x14ac:dyDescent="0.2">
      <c r="A509" s="9" t="s">
        <v>332</v>
      </c>
      <c r="B509" s="9" t="s">
        <v>17</v>
      </c>
      <c r="C509" s="9" t="s">
        <v>36</v>
      </c>
      <c r="D509" s="9" t="s">
        <v>45</v>
      </c>
      <c r="E509" s="9" t="s">
        <v>46</v>
      </c>
      <c r="F509" s="9" t="s">
        <v>333</v>
      </c>
      <c r="G509" s="9" t="s">
        <v>191</v>
      </c>
      <c r="H509" s="10">
        <v>6712360.5499999998</v>
      </c>
      <c r="I509" s="10">
        <v>7019848.46</v>
      </c>
      <c r="J509" s="10">
        <v>10296588.189999999</v>
      </c>
      <c r="K509" s="10">
        <v>14300641.130000001</v>
      </c>
      <c r="L509" s="10">
        <v>14276113.02</v>
      </c>
      <c r="M509" s="10">
        <v>14501709.84</v>
      </c>
      <c r="N509" s="10">
        <v>14746998.939999999</v>
      </c>
      <c r="O509" s="10">
        <v>15105563.42</v>
      </c>
      <c r="P509" s="10">
        <v>15325798.220000001</v>
      </c>
      <c r="Q509" s="10">
        <v>15642384.439999999</v>
      </c>
      <c r="R509" s="11">
        <f t="shared" si="0"/>
        <v>127928006.20999999</v>
      </c>
    </row>
    <row r="510" spans="1:18" ht="12.75" x14ac:dyDescent="0.2">
      <c r="A510" s="9" t="s">
        <v>332</v>
      </c>
      <c r="B510" s="9" t="s">
        <v>17</v>
      </c>
      <c r="C510" s="9" t="s">
        <v>36</v>
      </c>
      <c r="D510" s="9" t="s">
        <v>50</v>
      </c>
      <c r="E510" s="9" t="s">
        <v>51</v>
      </c>
      <c r="F510" s="9" t="s">
        <v>333</v>
      </c>
      <c r="G510" s="9" t="s">
        <v>189</v>
      </c>
      <c r="H510" s="10">
        <v>3754415.72</v>
      </c>
      <c r="I510" s="10">
        <v>4749474.26</v>
      </c>
      <c r="J510" s="10">
        <v>5936975.1600000001</v>
      </c>
      <c r="K510" s="10">
        <v>5443088.2400000002</v>
      </c>
      <c r="L510" s="10">
        <v>5574966.8399999999</v>
      </c>
      <c r="M510" s="10">
        <v>5553132.0899999999</v>
      </c>
      <c r="N510" s="10">
        <v>5631165.29</v>
      </c>
      <c r="O510" s="10">
        <v>5774631.6799999997</v>
      </c>
      <c r="P510" s="10">
        <v>5871330.2999999998</v>
      </c>
      <c r="Q510" s="10">
        <v>6001310.54</v>
      </c>
      <c r="R510" s="11">
        <f t="shared" si="0"/>
        <v>54290490.119999997</v>
      </c>
    </row>
    <row r="511" spans="1:18" ht="12.75" x14ac:dyDescent="0.2">
      <c r="A511" s="9" t="s">
        <v>332</v>
      </c>
      <c r="B511" s="9" t="s">
        <v>17</v>
      </c>
      <c r="C511" s="9" t="s">
        <v>36</v>
      </c>
      <c r="D511" s="9" t="s">
        <v>50</v>
      </c>
      <c r="E511" s="9" t="s">
        <v>51</v>
      </c>
      <c r="F511" s="9" t="s">
        <v>333</v>
      </c>
      <c r="G511" s="9" t="s">
        <v>192</v>
      </c>
      <c r="H511" s="10">
        <v>25285171</v>
      </c>
      <c r="I511" s="10">
        <v>25424076.640000001</v>
      </c>
      <c r="J511" s="10">
        <v>30156855.82</v>
      </c>
      <c r="K511" s="10">
        <v>29080161.309999999</v>
      </c>
      <c r="L511" s="10">
        <v>29304222.75</v>
      </c>
      <c r="M511" s="10">
        <v>29513343.710000001</v>
      </c>
      <c r="N511" s="10">
        <v>29895927.530000001</v>
      </c>
      <c r="O511" s="10">
        <v>30643252.120000001</v>
      </c>
      <c r="P511" s="10">
        <v>31229954.129999999</v>
      </c>
      <c r="Q511" s="10">
        <v>31815626.09</v>
      </c>
      <c r="R511" s="11">
        <f t="shared" si="0"/>
        <v>292348591.10000002</v>
      </c>
    </row>
    <row r="512" spans="1:18" ht="12.75" x14ac:dyDescent="0.2">
      <c r="A512" s="9" t="s">
        <v>332</v>
      </c>
      <c r="B512" s="9" t="s">
        <v>17</v>
      </c>
      <c r="C512" s="9" t="s">
        <v>36</v>
      </c>
      <c r="D512" s="9" t="s">
        <v>52</v>
      </c>
      <c r="E512" s="9" t="s">
        <v>53</v>
      </c>
      <c r="F512" s="9" t="s">
        <v>334</v>
      </c>
      <c r="G512" s="9" t="s">
        <v>192</v>
      </c>
      <c r="H512" s="10">
        <v>40972709.009999998</v>
      </c>
      <c r="I512" s="10">
        <v>41197795.090000004</v>
      </c>
      <c r="J512" s="10">
        <v>48866906.140000001</v>
      </c>
      <c r="K512" s="10">
        <v>47122204.039999999</v>
      </c>
      <c r="L512" s="10">
        <v>47485278.68</v>
      </c>
      <c r="M512" s="10">
        <v>47824143.380000003</v>
      </c>
      <c r="N512" s="10">
        <v>48444091.560000002</v>
      </c>
      <c r="O512" s="10">
        <v>49655074.579999998</v>
      </c>
      <c r="P512" s="10">
        <v>50605780.869999997</v>
      </c>
      <c r="Q512" s="10">
        <v>51554818.009999998</v>
      </c>
      <c r="R512" s="11">
        <f t="shared" si="0"/>
        <v>473728801.36000001</v>
      </c>
    </row>
    <row r="513" spans="1:18" ht="12.75" x14ac:dyDescent="0.2">
      <c r="A513" s="9" t="s">
        <v>332</v>
      </c>
      <c r="B513" s="9" t="s">
        <v>17</v>
      </c>
      <c r="C513" s="9" t="s">
        <v>36</v>
      </c>
      <c r="D513" s="9" t="s">
        <v>52</v>
      </c>
      <c r="E513" s="9" t="s">
        <v>54</v>
      </c>
      <c r="F513" s="9" t="s">
        <v>334</v>
      </c>
      <c r="G513" s="9" t="s">
        <v>188</v>
      </c>
      <c r="H513" s="10">
        <v>11547424.83</v>
      </c>
      <c r="I513" s="10">
        <v>13562971.33</v>
      </c>
      <c r="J513" s="10">
        <v>13647038.359999999</v>
      </c>
      <c r="K513" s="10">
        <v>23259011.789999999</v>
      </c>
      <c r="L513" s="10">
        <v>28085644.359999999</v>
      </c>
      <c r="M513" s="10">
        <v>27130109.91</v>
      </c>
      <c r="N513" s="10">
        <v>26229546.170000002</v>
      </c>
      <c r="O513" s="10">
        <v>28897838.609999999</v>
      </c>
      <c r="P513" s="10">
        <v>28772742.949999999</v>
      </c>
      <c r="Q513" s="10">
        <v>29651482.780000001</v>
      </c>
      <c r="R513" s="11">
        <f t="shared" si="0"/>
        <v>230783811.09</v>
      </c>
    </row>
    <row r="514" spans="1:18" ht="12.75" x14ac:dyDescent="0.2">
      <c r="A514" s="9" t="s">
        <v>332</v>
      </c>
      <c r="B514" s="9" t="s">
        <v>17</v>
      </c>
      <c r="C514" s="9" t="s">
        <v>36</v>
      </c>
      <c r="D514" s="9" t="s">
        <v>52</v>
      </c>
      <c r="E514" s="9" t="s">
        <v>54</v>
      </c>
      <c r="F514" s="9" t="s">
        <v>334</v>
      </c>
      <c r="G514" s="9" t="s">
        <v>189</v>
      </c>
      <c r="H514" s="10">
        <v>9970196.3900000006</v>
      </c>
      <c r="I514" s="10">
        <v>12612665.9</v>
      </c>
      <c r="J514" s="10">
        <v>15766183.800000001</v>
      </c>
      <c r="K514" s="10">
        <v>14454621.630000001</v>
      </c>
      <c r="L514" s="10">
        <v>14804837.390000001</v>
      </c>
      <c r="M514" s="10">
        <v>14746853.220000001</v>
      </c>
      <c r="N514" s="10">
        <v>14954077.560000001</v>
      </c>
      <c r="O514" s="10">
        <v>15335065.75</v>
      </c>
      <c r="P514" s="10">
        <v>15591857.84</v>
      </c>
      <c r="Q514" s="10">
        <v>15937032.32</v>
      </c>
      <c r="R514" s="11">
        <f t="shared" si="0"/>
        <v>144173391.80000001</v>
      </c>
    </row>
    <row r="515" spans="1:18" ht="12.75" x14ac:dyDescent="0.2">
      <c r="A515" s="9" t="s">
        <v>332</v>
      </c>
      <c r="B515" s="9" t="s">
        <v>17</v>
      </c>
      <c r="C515" s="9" t="s">
        <v>36</v>
      </c>
      <c r="D515" s="9" t="s">
        <v>52</v>
      </c>
      <c r="E515" s="9" t="s">
        <v>56</v>
      </c>
      <c r="F515" s="9" t="s">
        <v>334</v>
      </c>
      <c r="G515" s="9" t="s">
        <v>192</v>
      </c>
      <c r="H515" s="10">
        <v>14627104.73</v>
      </c>
      <c r="I515" s="10">
        <v>14707459.619999999</v>
      </c>
      <c r="J515" s="10">
        <v>17445303.739999998</v>
      </c>
      <c r="K515" s="10">
        <v>16822451.579999998</v>
      </c>
      <c r="L515" s="10">
        <v>16952067.879999999</v>
      </c>
      <c r="M515" s="10">
        <v>17073041.32</v>
      </c>
      <c r="N515" s="10">
        <v>17294360.510000002</v>
      </c>
      <c r="O515" s="10">
        <v>17726676.940000001</v>
      </c>
      <c r="P515" s="10">
        <v>18066075.550000001</v>
      </c>
      <c r="Q515" s="10">
        <v>18404878.280000001</v>
      </c>
      <c r="R515" s="11">
        <f t="shared" si="0"/>
        <v>169119420.15000001</v>
      </c>
    </row>
    <row r="516" spans="1:18" ht="12.75" x14ac:dyDescent="0.2">
      <c r="A516" s="9" t="s">
        <v>332</v>
      </c>
      <c r="B516" s="9" t="s">
        <v>17</v>
      </c>
      <c r="C516" s="9" t="s">
        <v>36</v>
      </c>
      <c r="D516" s="9" t="s">
        <v>52</v>
      </c>
      <c r="E516" s="9" t="s">
        <v>57</v>
      </c>
      <c r="F516" s="9" t="s">
        <v>334</v>
      </c>
      <c r="G516" s="9" t="s">
        <v>192</v>
      </c>
      <c r="H516" s="10">
        <v>13666940.310000001</v>
      </c>
      <c r="I516" s="10">
        <v>13742020.48</v>
      </c>
      <c r="J516" s="10">
        <v>16300144.789999999</v>
      </c>
      <c r="K516" s="10">
        <v>15718178.41</v>
      </c>
      <c r="L516" s="10">
        <v>15839286.32</v>
      </c>
      <c r="M516" s="10">
        <v>15952318.720000001</v>
      </c>
      <c r="N516" s="10">
        <v>16159109.9</v>
      </c>
      <c r="O516" s="10">
        <v>16563047.859999999</v>
      </c>
      <c r="P516" s="10">
        <v>16880167.390000001</v>
      </c>
      <c r="Q516" s="10">
        <v>17196730.149999999</v>
      </c>
      <c r="R516" s="11">
        <f t="shared" si="0"/>
        <v>158017944.33000001</v>
      </c>
    </row>
    <row r="517" spans="1:18" ht="12.75" x14ac:dyDescent="0.2">
      <c r="A517" s="9" t="s">
        <v>332</v>
      </c>
      <c r="B517" s="9" t="s">
        <v>17</v>
      </c>
      <c r="C517" s="9" t="s">
        <v>36</v>
      </c>
      <c r="D517" s="9" t="s">
        <v>52</v>
      </c>
      <c r="E517" s="9" t="s">
        <v>58</v>
      </c>
      <c r="F517" s="9" t="s">
        <v>334</v>
      </c>
      <c r="G517" s="9" t="s">
        <v>192</v>
      </c>
      <c r="H517" s="10">
        <v>7701077.9000000004</v>
      </c>
      <c r="I517" s="10">
        <v>7743384.2400000002</v>
      </c>
      <c r="J517" s="10">
        <v>9184841.8100000005</v>
      </c>
      <c r="K517" s="10">
        <v>8856914.0999999996</v>
      </c>
      <c r="L517" s="10">
        <v>8925156.25</v>
      </c>
      <c r="M517" s="10">
        <v>8988848</v>
      </c>
      <c r="N517" s="10">
        <v>9105371.1500000004</v>
      </c>
      <c r="O517" s="10">
        <v>9332983.0099999998</v>
      </c>
      <c r="P517" s="10">
        <v>9511674.2300000004</v>
      </c>
      <c r="Q517" s="10">
        <v>9690051.7200000007</v>
      </c>
      <c r="R517" s="11">
        <f t="shared" si="0"/>
        <v>89040302.410000011</v>
      </c>
    </row>
    <row r="518" spans="1:18" ht="12.75" x14ac:dyDescent="0.2">
      <c r="A518" s="9" t="s">
        <v>332</v>
      </c>
      <c r="B518" s="9" t="s">
        <v>17</v>
      </c>
      <c r="C518" s="9" t="s">
        <v>36</v>
      </c>
      <c r="D518" s="9" t="s">
        <v>52</v>
      </c>
      <c r="E518" s="9" t="s">
        <v>193</v>
      </c>
      <c r="F518" s="9" t="s">
        <v>334</v>
      </c>
      <c r="G518" s="9" t="s">
        <v>192</v>
      </c>
      <c r="H518" s="10">
        <v>967003.56</v>
      </c>
      <c r="I518" s="10">
        <v>972315.86</v>
      </c>
      <c r="J518" s="10">
        <v>1153315.79</v>
      </c>
      <c r="K518" s="10">
        <v>1112138.8</v>
      </c>
      <c r="L518" s="10">
        <v>1120707.78</v>
      </c>
      <c r="M518" s="10">
        <v>1128705.3799999999</v>
      </c>
      <c r="N518" s="10">
        <v>1143336.8799999999</v>
      </c>
      <c r="O518" s="10">
        <v>1171917.48</v>
      </c>
      <c r="P518" s="10">
        <v>1194355.26</v>
      </c>
      <c r="Q518" s="10">
        <v>1216753.6399999999</v>
      </c>
      <c r="R518" s="11">
        <f t="shared" si="0"/>
        <v>11180550.43</v>
      </c>
    </row>
    <row r="519" spans="1:18" ht="12.75" x14ac:dyDescent="0.2">
      <c r="A519" s="9" t="s">
        <v>332</v>
      </c>
      <c r="B519" s="9" t="s">
        <v>17</v>
      </c>
      <c r="C519" s="9" t="s">
        <v>36</v>
      </c>
      <c r="D519" s="9" t="s">
        <v>52</v>
      </c>
      <c r="E519" s="9" t="s">
        <v>60</v>
      </c>
      <c r="F519" s="9" t="s">
        <v>334</v>
      </c>
      <c r="G519" s="9" t="s">
        <v>192</v>
      </c>
      <c r="H519" s="10">
        <v>573491.06999999995</v>
      </c>
      <c r="I519" s="10">
        <v>576641.57999999996</v>
      </c>
      <c r="J519" s="10">
        <v>683985.39</v>
      </c>
      <c r="K519" s="10">
        <v>659564.96</v>
      </c>
      <c r="L519" s="10">
        <v>664646.88</v>
      </c>
      <c r="M519" s="10">
        <v>669389.93999999994</v>
      </c>
      <c r="N519" s="10">
        <v>678067.29</v>
      </c>
      <c r="O519" s="10">
        <v>695017.3</v>
      </c>
      <c r="P519" s="10">
        <v>708324.25</v>
      </c>
      <c r="Q519" s="10">
        <v>721607.83</v>
      </c>
      <c r="R519" s="11">
        <f t="shared" si="0"/>
        <v>6630736.4899999993</v>
      </c>
    </row>
    <row r="520" spans="1:18" ht="12.75" x14ac:dyDescent="0.2">
      <c r="A520" s="9" t="s">
        <v>332</v>
      </c>
      <c r="B520" s="9" t="s">
        <v>17</v>
      </c>
      <c r="C520" s="9" t="s">
        <v>36</v>
      </c>
      <c r="D520" s="9" t="s">
        <v>52</v>
      </c>
      <c r="E520" s="9" t="s">
        <v>65</v>
      </c>
      <c r="F520" s="9" t="s">
        <v>334</v>
      </c>
      <c r="G520" s="9" t="s">
        <v>192</v>
      </c>
      <c r="H520" s="10">
        <v>7535145.9100000001</v>
      </c>
      <c r="I520" s="10">
        <v>7576540.7000000002</v>
      </c>
      <c r="J520" s="10">
        <v>8986939.7699999996</v>
      </c>
      <c r="K520" s="10">
        <v>8666077.7799999993</v>
      </c>
      <c r="L520" s="10">
        <v>8732849.5500000007</v>
      </c>
      <c r="M520" s="10">
        <v>8795168.9600000009</v>
      </c>
      <c r="N520" s="10">
        <v>8909181.4399999995</v>
      </c>
      <c r="O520" s="10">
        <v>9131889.0399999991</v>
      </c>
      <c r="P520" s="10">
        <v>9306730.0700000003</v>
      </c>
      <c r="Q520" s="10">
        <v>9481264.1300000008</v>
      </c>
      <c r="R520" s="11">
        <f t="shared" si="0"/>
        <v>87121787.349999994</v>
      </c>
    </row>
    <row r="521" spans="1:18" ht="12.75" x14ac:dyDescent="0.2">
      <c r="A521" s="9" t="s">
        <v>332</v>
      </c>
      <c r="B521" s="9" t="s">
        <v>17</v>
      </c>
      <c r="C521" s="9" t="s">
        <v>36</v>
      </c>
      <c r="D521" s="9" t="s">
        <v>52</v>
      </c>
      <c r="E521" s="9" t="s">
        <v>69</v>
      </c>
      <c r="F521" s="9" t="s">
        <v>334</v>
      </c>
      <c r="G521" s="9" t="s">
        <v>192</v>
      </c>
      <c r="H521" s="10">
        <v>967962.63</v>
      </c>
      <c r="I521" s="10">
        <v>973280.19</v>
      </c>
      <c r="J521" s="10">
        <v>1154459.6499999999</v>
      </c>
      <c r="K521" s="10">
        <v>1113241.81</v>
      </c>
      <c r="L521" s="10">
        <v>1121819.29</v>
      </c>
      <c r="M521" s="10">
        <v>1129824.82</v>
      </c>
      <c r="N521" s="10">
        <v>1144470.83</v>
      </c>
      <c r="O521" s="10">
        <v>1173079.79</v>
      </c>
      <c r="P521" s="10">
        <v>1195539.81</v>
      </c>
      <c r="Q521" s="10">
        <v>1217960.4099999999</v>
      </c>
      <c r="R521" s="11">
        <f t="shared" si="0"/>
        <v>11191639.23</v>
      </c>
    </row>
    <row r="522" spans="1:18" ht="12.75" x14ac:dyDescent="0.2">
      <c r="A522" s="9" t="s">
        <v>332</v>
      </c>
      <c r="B522" s="9" t="s">
        <v>17</v>
      </c>
      <c r="C522" s="9" t="s">
        <v>36</v>
      </c>
      <c r="D522" s="9" t="s">
        <v>74</v>
      </c>
      <c r="E522" s="9" t="s">
        <v>75</v>
      </c>
      <c r="F522" s="9" t="s">
        <v>334</v>
      </c>
      <c r="G522" s="9" t="s">
        <v>188</v>
      </c>
      <c r="H522" s="10">
        <v>10802280.1</v>
      </c>
      <c r="I522" s="10">
        <v>12687765.220000001</v>
      </c>
      <c r="J522" s="10">
        <v>12766407.48</v>
      </c>
      <c r="K522" s="10">
        <v>21758129.079999998</v>
      </c>
      <c r="L522" s="10">
        <v>26273303.48</v>
      </c>
      <c r="M522" s="10">
        <v>25379428.789999999</v>
      </c>
      <c r="N522" s="10">
        <v>24536977.600000001</v>
      </c>
      <c r="O522" s="10">
        <v>27033087.57</v>
      </c>
      <c r="P522" s="10">
        <v>26916064.219999999</v>
      </c>
      <c r="Q522" s="10">
        <v>27738099.77</v>
      </c>
      <c r="R522" s="11">
        <f t="shared" si="0"/>
        <v>215891543.31</v>
      </c>
    </row>
    <row r="523" spans="1:18" ht="12.75" x14ac:dyDescent="0.2">
      <c r="A523" s="9" t="s">
        <v>332</v>
      </c>
      <c r="B523" s="9" t="s">
        <v>17</v>
      </c>
      <c r="C523" s="9" t="s">
        <v>36</v>
      </c>
      <c r="D523" s="9" t="s">
        <v>74</v>
      </c>
      <c r="E523" s="9" t="s">
        <v>75</v>
      </c>
      <c r="F523" s="9" t="s">
        <v>334</v>
      </c>
      <c r="G523" s="9" t="s">
        <v>189</v>
      </c>
      <c r="H523" s="10">
        <v>9970196.3900000006</v>
      </c>
      <c r="I523" s="10">
        <v>12612665.9</v>
      </c>
      <c r="J523" s="10">
        <v>15766183.800000001</v>
      </c>
      <c r="K523" s="10">
        <v>14454621.630000001</v>
      </c>
      <c r="L523" s="10">
        <v>14804837.390000001</v>
      </c>
      <c r="M523" s="10">
        <v>14746853.220000001</v>
      </c>
      <c r="N523" s="10">
        <v>14954077.560000001</v>
      </c>
      <c r="O523" s="10">
        <v>15335065.75</v>
      </c>
      <c r="P523" s="10">
        <v>15591857.84</v>
      </c>
      <c r="Q523" s="10">
        <v>15937032.32</v>
      </c>
      <c r="R523" s="11">
        <f t="shared" si="0"/>
        <v>144173391.80000001</v>
      </c>
    </row>
    <row r="524" spans="1:18" ht="12.75" x14ac:dyDescent="0.2">
      <c r="A524" s="9" t="s">
        <v>332</v>
      </c>
      <c r="B524" s="9" t="s">
        <v>17</v>
      </c>
      <c r="C524" s="9" t="s">
        <v>36</v>
      </c>
      <c r="D524" s="9" t="s">
        <v>74</v>
      </c>
      <c r="E524" s="9" t="s">
        <v>75</v>
      </c>
      <c r="F524" s="9" t="s">
        <v>334</v>
      </c>
      <c r="G524" s="9" t="s">
        <v>192</v>
      </c>
      <c r="H524" s="10">
        <v>506447.28</v>
      </c>
      <c r="I524" s="10">
        <v>509229.48</v>
      </c>
      <c r="J524" s="10">
        <v>586431.35</v>
      </c>
      <c r="K524" s="10">
        <v>551163.65</v>
      </c>
      <c r="L524" s="10">
        <v>363726.49</v>
      </c>
      <c r="M524" s="10">
        <v>539897.06999999995</v>
      </c>
      <c r="N524" s="10">
        <v>536172.36</v>
      </c>
      <c r="O524" s="10">
        <v>539857.9</v>
      </c>
      <c r="P524" s="10">
        <v>540465.75</v>
      </c>
      <c r="Q524" s="10">
        <v>542357.56000000006</v>
      </c>
      <c r="R524" s="11">
        <f t="shared" si="0"/>
        <v>5215748.8900000006</v>
      </c>
    </row>
    <row r="525" spans="1:18" ht="12.75" x14ac:dyDescent="0.2">
      <c r="A525" s="9" t="s">
        <v>332</v>
      </c>
      <c r="B525" s="9" t="s">
        <v>17</v>
      </c>
      <c r="C525" s="9" t="s">
        <v>36</v>
      </c>
      <c r="D525" s="9" t="s">
        <v>74</v>
      </c>
      <c r="E525" s="9" t="s">
        <v>76</v>
      </c>
      <c r="F525" s="9" t="s">
        <v>334</v>
      </c>
      <c r="G525" s="9" t="s">
        <v>192</v>
      </c>
      <c r="H525" s="10">
        <v>8164862.0700000003</v>
      </c>
      <c r="I525" s="10">
        <v>8209716.2400000002</v>
      </c>
      <c r="J525" s="10">
        <v>9697100.2300000004</v>
      </c>
      <c r="K525" s="10">
        <v>9317582.3000000007</v>
      </c>
      <c r="L525" s="10">
        <v>8943934.4499999993</v>
      </c>
      <c r="M525" s="10">
        <v>9411117.75</v>
      </c>
      <c r="N525" s="10">
        <v>9508195.4299999997</v>
      </c>
      <c r="O525" s="10">
        <v>9723295.2799999993</v>
      </c>
      <c r="P525" s="10">
        <v>9886852.4499999993</v>
      </c>
      <c r="Q525" s="10">
        <v>10053108.640000001</v>
      </c>
      <c r="R525" s="11">
        <f t="shared" si="0"/>
        <v>92915764.840000004</v>
      </c>
    </row>
    <row r="526" spans="1:18" ht="12.75" x14ac:dyDescent="0.2">
      <c r="A526" s="9" t="s">
        <v>332</v>
      </c>
      <c r="B526" s="9" t="s">
        <v>17</v>
      </c>
      <c r="C526" s="9" t="s">
        <v>36</v>
      </c>
      <c r="D526" s="9" t="s">
        <v>74</v>
      </c>
      <c r="E526" s="9" t="s">
        <v>77</v>
      </c>
      <c r="F526" s="9" t="s">
        <v>334</v>
      </c>
      <c r="G526" s="9" t="s">
        <v>192</v>
      </c>
      <c r="H526" s="10">
        <v>32107754.550000001</v>
      </c>
      <c r="I526" s="10">
        <v>32284140.469999999</v>
      </c>
      <c r="J526" s="10">
        <v>38140483.609999999</v>
      </c>
      <c r="K526" s="10">
        <v>36653747.899999999</v>
      </c>
      <c r="L526" s="10">
        <v>35264134.909999996</v>
      </c>
      <c r="M526" s="10">
        <v>37029854.5</v>
      </c>
      <c r="N526" s="10">
        <v>37416336.490000002</v>
      </c>
      <c r="O526" s="10">
        <v>38266889.039999999</v>
      </c>
      <c r="P526" s="10">
        <v>38914695.600000001</v>
      </c>
      <c r="Q526" s="10">
        <v>39572573.899999999</v>
      </c>
      <c r="R526" s="11">
        <f t="shared" si="0"/>
        <v>365650610.97000003</v>
      </c>
    </row>
    <row r="527" spans="1:18" ht="12.75" x14ac:dyDescent="0.2">
      <c r="A527" s="9" t="s">
        <v>332</v>
      </c>
      <c r="B527" s="9" t="s">
        <v>17</v>
      </c>
      <c r="C527" s="9" t="s">
        <v>36</v>
      </c>
      <c r="D527" s="9" t="s">
        <v>74</v>
      </c>
      <c r="E527" s="9" t="s">
        <v>78</v>
      </c>
      <c r="F527" s="9" t="s">
        <v>334</v>
      </c>
      <c r="G527" s="9" t="s">
        <v>192</v>
      </c>
      <c r="H527" s="10">
        <v>31963570.510000002</v>
      </c>
      <c r="I527" s="10">
        <v>32139164.34</v>
      </c>
      <c r="J527" s="10">
        <v>38045887.210000001</v>
      </c>
      <c r="K527" s="10">
        <v>36625548.299999997</v>
      </c>
      <c r="L527" s="10">
        <v>36078675.950000003</v>
      </c>
      <c r="M527" s="10">
        <v>37086886.899999999</v>
      </c>
      <c r="N527" s="10">
        <v>37521266.130000003</v>
      </c>
      <c r="O527" s="10">
        <v>38417175.549999997</v>
      </c>
      <c r="P527" s="10">
        <v>39110641.520000003</v>
      </c>
      <c r="Q527" s="10">
        <v>39808447.969999999</v>
      </c>
      <c r="R527" s="11">
        <f t="shared" si="0"/>
        <v>366797264.38</v>
      </c>
    </row>
    <row r="528" spans="1:18" ht="12.75" x14ac:dyDescent="0.2">
      <c r="A528" s="9" t="s">
        <v>332</v>
      </c>
      <c r="B528" s="9" t="s">
        <v>17</v>
      </c>
      <c r="C528" s="9" t="s">
        <v>36</v>
      </c>
      <c r="D528" s="9" t="s">
        <v>74</v>
      </c>
      <c r="E528" s="9" t="s">
        <v>79</v>
      </c>
      <c r="F528" s="9" t="s">
        <v>334</v>
      </c>
      <c r="G528" s="9" t="s">
        <v>192</v>
      </c>
      <c r="H528" s="10">
        <v>17416711.420000002</v>
      </c>
      <c r="I528" s="10">
        <v>17512391.190000001</v>
      </c>
      <c r="J528" s="10">
        <v>20696290.010000002</v>
      </c>
      <c r="K528" s="10">
        <v>19895386.23</v>
      </c>
      <c r="L528" s="10">
        <v>19219608.68</v>
      </c>
      <c r="M528" s="10">
        <v>20107509.850000001</v>
      </c>
      <c r="N528" s="10">
        <v>20321784.07</v>
      </c>
      <c r="O528" s="10">
        <v>20787748.780000001</v>
      </c>
      <c r="P528" s="10">
        <v>21143678.109999999</v>
      </c>
      <c r="Q528" s="10">
        <v>21504540.539999999</v>
      </c>
      <c r="R528" s="11">
        <f t="shared" si="0"/>
        <v>198605648.87999997</v>
      </c>
    </row>
    <row r="529" spans="1:18" ht="12.75" x14ac:dyDescent="0.2">
      <c r="A529" s="9" t="s">
        <v>332</v>
      </c>
      <c r="B529" s="9" t="s">
        <v>17</v>
      </c>
      <c r="C529" s="9" t="s">
        <v>36</v>
      </c>
      <c r="D529" s="9" t="s">
        <v>74</v>
      </c>
      <c r="E529" s="9" t="s">
        <v>80</v>
      </c>
      <c r="F529" s="9" t="s">
        <v>334</v>
      </c>
      <c r="G529" s="9" t="s">
        <v>192</v>
      </c>
      <c r="H529" s="10">
        <v>9296300.3699999992</v>
      </c>
      <c r="I529" s="10">
        <v>9347370.1699999999</v>
      </c>
      <c r="J529" s="10">
        <v>11085216.109999999</v>
      </c>
      <c r="K529" s="10">
        <v>10687647.779999999</v>
      </c>
      <c r="L529" s="10">
        <v>10746035.189999999</v>
      </c>
      <c r="M529" s="10">
        <v>10844417.970000001</v>
      </c>
      <c r="N529" s="10">
        <v>10983654.59</v>
      </c>
      <c r="O529" s="10">
        <v>11257004.24</v>
      </c>
      <c r="P529" s="10">
        <v>11471317.109999999</v>
      </c>
      <c r="Q529" s="10">
        <v>11685414.35</v>
      </c>
      <c r="R529" s="11">
        <f t="shared" si="0"/>
        <v>107404377.87999998</v>
      </c>
    </row>
    <row r="530" spans="1:18" ht="12.75" x14ac:dyDescent="0.2">
      <c r="A530" s="9" t="s">
        <v>332</v>
      </c>
      <c r="B530" s="9" t="s">
        <v>17</v>
      </c>
      <c r="C530" s="9" t="s">
        <v>36</v>
      </c>
      <c r="D530" s="9" t="s">
        <v>74</v>
      </c>
      <c r="E530" s="9" t="s">
        <v>81</v>
      </c>
      <c r="F530" s="9" t="s">
        <v>334</v>
      </c>
      <c r="G530" s="9" t="s">
        <v>192</v>
      </c>
      <c r="H530" s="10">
        <v>55511916.380000003</v>
      </c>
      <c r="I530" s="10">
        <v>55816874.490000002</v>
      </c>
      <c r="J530" s="10">
        <v>66131284.43</v>
      </c>
      <c r="K530" s="10">
        <v>63708208.579999998</v>
      </c>
      <c r="L530" s="10">
        <v>63370007.020000003</v>
      </c>
      <c r="M530" s="10">
        <v>64572974.509999998</v>
      </c>
      <c r="N530" s="10">
        <v>65363658.079999998</v>
      </c>
      <c r="O530" s="10">
        <v>66955558.740000002</v>
      </c>
      <c r="P530" s="10">
        <v>68195426.480000004</v>
      </c>
      <c r="Q530" s="10">
        <v>69438675.390000001</v>
      </c>
      <c r="R530" s="11">
        <f t="shared" si="0"/>
        <v>639064584.0999999</v>
      </c>
    </row>
    <row r="531" spans="1:18" ht="12.75" x14ac:dyDescent="0.2">
      <c r="A531" s="9" t="s">
        <v>332</v>
      </c>
      <c r="B531" s="9" t="s">
        <v>17</v>
      </c>
      <c r="C531" s="9" t="s">
        <v>36</v>
      </c>
      <c r="D531" s="9" t="s">
        <v>74</v>
      </c>
      <c r="E531" s="9" t="s">
        <v>82</v>
      </c>
      <c r="F531" s="9" t="s">
        <v>334</v>
      </c>
      <c r="G531" s="9" t="s">
        <v>192</v>
      </c>
      <c r="H531" s="10">
        <v>4661333.62</v>
      </c>
      <c r="I531" s="10">
        <v>4686940.9400000004</v>
      </c>
      <c r="J531" s="10">
        <v>5557231.9699999997</v>
      </c>
      <c r="K531" s="10">
        <v>5357030.05</v>
      </c>
      <c r="L531" s="10">
        <v>5374345.2699999996</v>
      </c>
      <c r="M531" s="10">
        <v>5434394.5700000003</v>
      </c>
      <c r="N531" s="10">
        <v>5503500.6200000001</v>
      </c>
      <c r="O531" s="10">
        <v>5639859.9100000001</v>
      </c>
      <c r="P531" s="10">
        <v>5746625.7800000003</v>
      </c>
      <c r="Q531" s="10">
        <v>5853364.8399999999</v>
      </c>
      <c r="R531" s="11">
        <f t="shared" si="0"/>
        <v>53814627.570000008</v>
      </c>
    </row>
    <row r="532" spans="1:18" ht="12.75" x14ac:dyDescent="0.2">
      <c r="A532" s="9" t="s">
        <v>332</v>
      </c>
      <c r="B532" s="9" t="s">
        <v>17</v>
      </c>
      <c r="C532" s="9" t="s">
        <v>36</v>
      </c>
      <c r="D532" s="9" t="s">
        <v>74</v>
      </c>
      <c r="E532" s="9" t="s">
        <v>84</v>
      </c>
      <c r="F532" s="9" t="s">
        <v>334</v>
      </c>
      <c r="G532" s="9" t="s">
        <v>192</v>
      </c>
      <c r="H532" s="10">
        <v>9672646.2400000002</v>
      </c>
      <c r="I532" s="10">
        <v>9725783.5099999998</v>
      </c>
      <c r="J532" s="10">
        <v>11319517.189999999</v>
      </c>
      <c r="K532" s="10">
        <v>10738818.539999999</v>
      </c>
      <c r="L532" s="10">
        <v>8459914.2100000009</v>
      </c>
      <c r="M532" s="10">
        <v>10658821.16</v>
      </c>
      <c r="N532" s="10">
        <v>10664873.77</v>
      </c>
      <c r="O532" s="10">
        <v>10811745.34</v>
      </c>
      <c r="P532" s="10">
        <v>10898890.41</v>
      </c>
      <c r="Q532" s="10">
        <v>11001714.699999999</v>
      </c>
      <c r="R532" s="11">
        <f t="shared" si="0"/>
        <v>103952725.06999999</v>
      </c>
    </row>
    <row r="533" spans="1:18" ht="12.75" x14ac:dyDescent="0.2">
      <c r="A533" s="9" t="s">
        <v>332</v>
      </c>
      <c r="B533" s="9" t="s">
        <v>17</v>
      </c>
      <c r="C533" s="9" t="s">
        <v>36</v>
      </c>
      <c r="D533" s="9" t="s">
        <v>74</v>
      </c>
      <c r="E533" s="9" t="s">
        <v>194</v>
      </c>
      <c r="F533" s="9" t="s">
        <v>334</v>
      </c>
      <c r="G533" s="9" t="s">
        <v>192</v>
      </c>
      <c r="H533" s="10">
        <v>368192.02</v>
      </c>
      <c r="I533" s="10">
        <v>370214.7</v>
      </c>
      <c r="J533" s="10">
        <v>426341.21</v>
      </c>
      <c r="K533" s="10">
        <v>400701.25</v>
      </c>
      <c r="L533" s="10">
        <v>264432.64000000001</v>
      </c>
      <c r="M533" s="10">
        <v>392510.34</v>
      </c>
      <c r="N533" s="10">
        <v>389802.44</v>
      </c>
      <c r="O533" s="10">
        <v>392481.86</v>
      </c>
      <c r="P533" s="10">
        <v>392923.77</v>
      </c>
      <c r="Q533" s="10">
        <v>394299.14</v>
      </c>
      <c r="R533" s="11">
        <f t="shared" si="0"/>
        <v>3791899.3699999996</v>
      </c>
    </row>
    <row r="534" spans="1:18" ht="12.75" x14ac:dyDescent="0.2">
      <c r="A534" s="9" t="s">
        <v>332</v>
      </c>
      <c r="B534" s="9" t="s">
        <v>17</v>
      </c>
      <c r="C534" s="9" t="s">
        <v>36</v>
      </c>
      <c r="D534" s="9" t="s">
        <v>74</v>
      </c>
      <c r="E534" s="9" t="s">
        <v>85</v>
      </c>
      <c r="F534" s="9" t="s">
        <v>334</v>
      </c>
      <c r="G534" s="9" t="s">
        <v>192</v>
      </c>
      <c r="H534" s="10">
        <v>4922312.21</v>
      </c>
      <c r="I534" s="10">
        <v>4949353.24</v>
      </c>
      <c r="J534" s="10">
        <v>5699701.2999999998</v>
      </c>
      <c r="K534" s="10">
        <v>5356924.03</v>
      </c>
      <c r="L534" s="10">
        <v>3535166.28</v>
      </c>
      <c r="M534" s="10">
        <v>5247420.78</v>
      </c>
      <c r="N534" s="10">
        <v>5211219.1399999997</v>
      </c>
      <c r="O534" s="10">
        <v>5247040.0599999996</v>
      </c>
      <c r="P534" s="10">
        <v>5252947.91</v>
      </c>
      <c r="Q534" s="10">
        <v>5271334.95</v>
      </c>
      <c r="R534" s="11">
        <f t="shared" si="0"/>
        <v>50693419.900000006</v>
      </c>
    </row>
    <row r="535" spans="1:18" ht="12.75" x14ac:dyDescent="0.2">
      <c r="A535" s="9" t="s">
        <v>332</v>
      </c>
      <c r="B535" s="9" t="s">
        <v>17</v>
      </c>
      <c r="C535" s="9" t="s">
        <v>36</v>
      </c>
      <c r="D535" s="9" t="s">
        <v>74</v>
      </c>
      <c r="E535" s="9" t="s">
        <v>86</v>
      </c>
      <c r="F535" s="9" t="s">
        <v>334</v>
      </c>
      <c r="G535" s="9" t="s">
        <v>192</v>
      </c>
      <c r="H535" s="10">
        <v>2025788.91</v>
      </c>
      <c r="I535" s="10">
        <v>2036917.71</v>
      </c>
      <c r="J535" s="10">
        <v>2345725.1800000002</v>
      </c>
      <c r="K535" s="10">
        <v>2204654.4</v>
      </c>
      <c r="L535" s="10">
        <v>1454905.81</v>
      </c>
      <c r="M535" s="10">
        <v>2159588.09</v>
      </c>
      <c r="N535" s="10">
        <v>2144689.2200000002</v>
      </c>
      <c r="O535" s="10">
        <v>2159431.4</v>
      </c>
      <c r="P535" s="10">
        <v>2161862.79</v>
      </c>
      <c r="Q535" s="10">
        <v>2169430.02</v>
      </c>
      <c r="R535" s="11">
        <f t="shared" si="0"/>
        <v>20862993.530000001</v>
      </c>
    </row>
    <row r="536" spans="1:18" ht="12.75" x14ac:dyDescent="0.2">
      <c r="A536" s="9" t="s">
        <v>332</v>
      </c>
      <c r="B536" s="9" t="s">
        <v>17</v>
      </c>
      <c r="C536" s="9" t="s">
        <v>36</v>
      </c>
      <c r="D536" s="9" t="s">
        <v>87</v>
      </c>
      <c r="E536" s="9" t="s">
        <v>88</v>
      </c>
      <c r="F536" s="9" t="s">
        <v>334</v>
      </c>
      <c r="G536" s="9" t="s">
        <v>192</v>
      </c>
      <c r="H536" s="10">
        <v>55819586.829999998</v>
      </c>
      <c r="I536" s="10">
        <v>56126235.149999999</v>
      </c>
      <c r="J536" s="10">
        <v>66574326.590000004</v>
      </c>
      <c r="K536" s="10">
        <v>64197413.939999998</v>
      </c>
      <c r="L536" s="10">
        <v>64692052.359999999</v>
      </c>
      <c r="M536" s="10">
        <v>65153708.140000001</v>
      </c>
      <c r="N536" s="10">
        <v>65998300.840000004</v>
      </c>
      <c r="O536" s="10">
        <v>67648095.879999995</v>
      </c>
      <c r="P536" s="10">
        <v>68943300.260000005</v>
      </c>
      <c r="Q536" s="10">
        <v>70236230.659999996</v>
      </c>
      <c r="R536" s="11">
        <f t="shared" si="0"/>
        <v>645389250.64999998</v>
      </c>
    </row>
    <row r="537" spans="1:18" ht="12.75" x14ac:dyDescent="0.2">
      <c r="A537" s="9" t="s">
        <v>332</v>
      </c>
      <c r="B537" s="9" t="s">
        <v>17</v>
      </c>
      <c r="C537" s="9" t="s">
        <v>36</v>
      </c>
      <c r="D537" s="9" t="s">
        <v>87</v>
      </c>
      <c r="E537" s="9" t="s">
        <v>89</v>
      </c>
      <c r="F537" s="9" t="s">
        <v>334</v>
      </c>
      <c r="G537" s="9" t="s">
        <v>188</v>
      </c>
      <c r="H537" s="10">
        <v>10409956.199999999</v>
      </c>
      <c r="I537" s="10">
        <v>12226963.109999999</v>
      </c>
      <c r="J537" s="10">
        <v>12302749.189999999</v>
      </c>
      <c r="K537" s="10">
        <v>20967903.870000001</v>
      </c>
      <c r="L537" s="10">
        <v>25319093.370000001</v>
      </c>
      <c r="M537" s="10">
        <v>24457682.98</v>
      </c>
      <c r="N537" s="10">
        <v>23645828.460000001</v>
      </c>
      <c r="O537" s="10">
        <v>26051283.16</v>
      </c>
      <c r="P537" s="10">
        <v>25938509.93</v>
      </c>
      <c r="Q537" s="10">
        <v>26730690.289999999</v>
      </c>
      <c r="R537" s="11">
        <f t="shared" si="0"/>
        <v>208050660.56</v>
      </c>
    </row>
    <row r="538" spans="1:18" ht="12.75" x14ac:dyDescent="0.2">
      <c r="A538" s="9" t="s">
        <v>332</v>
      </c>
      <c r="B538" s="9" t="s">
        <v>17</v>
      </c>
      <c r="C538" s="9" t="s">
        <v>36</v>
      </c>
      <c r="D538" s="9" t="s">
        <v>87</v>
      </c>
      <c r="E538" s="9" t="s">
        <v>89</v>
      </c>
      <c r="F538" s="9" t="s">
        <v>334</v>
      </c>
      <c r="G538" s="9" t="s">
        <v>189</v>
      </c>
      <c r="H538" s="10">
        <v>9970196.3900000006</v>
      </c>
      <c r="I538" s="10">
        <v>12612665.9</v>
      </c>
      <c r="J538" s="10">
        <v>15766183.800000001</v>
      </c>
      <c r="K538" s="10">
        <v>14454621.630000001</v>
      </c>
      <c r="L538" s="10">
        <v>14804837.390000001</v>
      </c>
      <c r="M538" s="10">
        <v>14746853.220000001</v>
      </c>
      <c r="N538" s="10">
        <v>14954077.560000001</v>
      </c>
      <c r="O538" s="10">
        <v>15335065.75</v>
      </c>
      <c r="P538" s="10">
        <v>15591857.84</v>
      </c>
      <c r="Q538" s="10">
        <v>15937032.32</v>
      </c>
      <c r="R538" s="11">
        <f t="shared" si="0"/>
        <v>144173391.80000001</v>
      </c>
    </row>
    <row r="539" spans="1:18" ht="12.75" x14ac:dyDescent="0.2">
      <c r="A539" s="9" t="s">
        <v>332</v>
      </c>
      <c r="B539" s="9" t="s">
        <v>17</v>
      </c>
      <c r="C539" s="9" t="s">
        <v>36</v>
      </c>
      <c r="D539" s="9" t="s">
        <v>87</v>
      </c>
      <c r="E539" s="9" t="s">
        <v>195</v>
      </c>
      <c r="F539" s="9" t="s">
        <v>334</v>
      </c>
      <c r="G539" s="9" t="s">
        <v>192</v>
      </c>
      <c r="H539" s="10">
        <v>15324659.24</v>
      </c>
      <c r="I539" s="10">
        <v>15408846.199999999</v>
      </c>
      <c r="J539" s="10">
        <v>18277255.84</v>
      </c>
      <c r="K539" s="10">
        <v>17624700.370000001</v>
      </c>
      <c r="L539" s="10">
        <v>17760497.960000001</v>
      </c>
      <c r="M539" s="10">
        <v>17887240.52</v>
      </c>
      <c r="N539" s="10">
        <v>18119114.25</v>
      </c>
      <c r="O539" s="10">
        <v>18572047.489999998</v>
      </c>
      <c r="P539" s="10">
        <v>18927631.739999998</v>
      </c>
      <c r="Q539" s="10">
        <v>19282591.690000001</v>
      </c>
      <c r="R539" s="11">
        <f t="shared" si="0"/>
        <v>177184585.30000001</v>
      </c>
    </row>
    <row r="540" spans="1:18" ht="12.75" x14ac:dyDescent="0.2">
      <c r="A540" s="9" t="s">
        <v>332</v>
      </c>
      <c r="B540" s="9" t="s">
        <v>17</v>
      </c>
      <c r="C540" s="9" t="s">
        <v>36</v>
      </c>
      <c r="D540" s="9" t="s">
        <v>87</v>
      </c>
      <c r="E540" s="9" t="s">
        <v>90</v>
      </c>
      <c r="F540" s="9" t="s">
        <v>334</v>
      </c>
      <c r="G540" s="9" t="s">
        <v>192</v>
      </c>
      <c r="H540" s="10">
        <v>13806333.66</v>
      </c>
      <c r="I540" s="10">
        <v>13882179.6</v>
      </c>
      <c r="J540" s="10">
        <v>16466395.01</v>
      </c>
      <c r="K540" s="10">
        <v>15878492.960000001</v>
      </c>
      <c r="L540" s="10">
        <v>16000836.1</v>
      </c>
      <c r="M540" s="10">
        <v>16115021.35</v>
      </c>
      <c r="N540" s="10">
        <v>16323921.65</v>
      </c>
      <c r="O540" s="10">
        <v>16731979.51</v>
      </c>
      <c r="P540" s="10">
        <v>17052333.43</v>
      </c>
      <c r="Q540" s="10">
        <v>17372124.920000002</v>
      </c>
      <c r="R540" s="11">
        <f t="shared" si="0"/>
        <v>159629618.19</v>
      </c>
    </row>
    <row r="541" spans="1:18" ht="12.75" x14ac:dyDescent="0.2">
      <c r="A541" s="9" t="s">
        <v>332</v>
      </c>
      <c r="B541" s="9" t="s">
        <v>17</v>
      </c>
      <c r="C541" s="9" t="s">
        <v>36</v>
      </c>
      <c r="D541" s="9" t="s">
        <v>87</v>
      </c>
      <c r="E541" s="9" t="s">
        <v>196</v>
      </c>
      <c r="F541" s="9" t="s">
        <v>334</v>
      </c>
      <c r="G541" s="9" t="s">
        <v>192</v>
      </c>
      <c r="H541" s="10">
        <v>13242737.789999999</v>
      </c>
      <c r="I541" s="10">
        <v>13315487.58</v>
      </c>
      <c r="J541" s="10">
        <v>15794211.33</v>
      </c>
      <c r="K541" s="10">
        <v>15230308.35</v>
      </c>
      <c r="L541" s="10">
        <v>15347657.25</v>
      </c>
      <c r="M541" s="10">
        <v>15457181.289999999</v>
      </c>
      <c r="N541" s="10">
        <v>15657553.960000001</v>
      </c>
      <c r="O541" s="10">
        <v>16048954.26</v>
      </c>
      <c r="P541" s="10">
        <v>16356230.84</v>
      </c>
      <c r="Q541" s="10">
        <v>16662967.939999999</v>
      </c>
      <c r="R541" s="11">
        <f t="shared" si="0"/>
        <v>153113290.59</v>
      </c>
    </row>
    <row r="542" spans="1:18" ht="12.75" x14ac:dyDescent="0.2">
      <c r="A542" s="9" t="s">
        <v>332</v>
      </c>
      <c r="B542" s="9" t="s">
        <v>17</v>
      </c>
      <c r="C542" s="9" t="s">
        <v>36</v>
      </c>
      <c r="D542" s="9" t="s">
        <v>87</v>
      </c>
      <c r="E542" s="9" t="s">
        <v>91</v>
      </c>
      <c r="F542" s="9" t="s">
        <v>334</v>
      </c>
      <c r="G542" s="9" t="s">
        <v>192</v>
      </c>
      <c r="H542" s="10">
        <v>19673237.09</v>
      </c>
      <c r="I542" s="10">
        <v>19781313.219999999</v>
      </c>
      <c r="J542" s="10">
        <v>23463672.620000001</v>
      </c>
      <c r="K542" s="10">
        <v>22625945.780000001</v>
      </c>
      <c r="L542" s="10">
        <v>22800277.760000002</v>
      </c>
      <c r="M542" s="10">
        <v>22962985.219999999</v>
      </c>
      <c r="N542" s="10">
        <v>23260656.23</v>
      </c>
      <c r="O542" s="10">
        <v>23842115.370000001</v>
      </c>
      <c r="P542" s="10">
        <v>24298601.420000002</v>
      </c>
      <c r="Q542" s="10">
        <v>24754286.02</v>
      </c>
      <c r="R542" s="11">
        <f t="shared" si="0"/>
        <v>227463090.73000005</v>
      </c>
    </row>
    <row r="543" spans="1:18" ht="12.75" x14ac:dyDescent="0.2">
      <c r="A543" s="9" t="s">
        <v>332</v>
      </c>
      <c r="B543" s="9" t="s">
        <v>17</v>
      </c>
      <c r="C543" s="9" t="s">
        <v>36</v>
      </c>
      <c r="D543" s="9" t="s">
        <v>87</v>
      </c>
      <c r="E543" s="9" t="s">
        <v>94</v>
      </c>
      <c r="F543" s="9" t="s">
        <v>334</v>
      </c>
      <c r="G543" s="9" t="s">
        <v>192</v>
      </c>
      <c r="H543" s="10">
        <v>14365195.77</v>
      </c>
      <c r="I543" s="10">
        <v>14444111.85</v>
      </c>
      <c r="J543" s="10">
        <v>17132932.879999999</v>
      </c>
      <c r="K543" s="10">
        <v>16521233.34</v>
      </c>
      <c r="L543" s="10">
        <v>16648528.76</v>
      </c>
      <c r="M543" s="10">
        <v>16767336.09</v>
      </c>
      <c r="N543" s="10">
        <v>16984692.399999999</v>
      </c>
      <c r="O543" s="10">
        <v>17409267.890000001</v>
      </c>
      <c r="P543" s="10">
        <v>17742589.32</v>
      </c>
      <c r="Q543" s="10">
        <v>18075325.539999999</v>
      </c>
      <c r="R543" s="11">
        <f t="shared" si="0"/>
        <v>166091213.84</v>
      </c>
    </row>
    <row r="544" spans="1:18" ht="12.75" x14ac:dyDescent="0.2">
      <c r="A544" s="9" t="s">
        <v>332</v>
      </c>
      <c r="B544" s="9" t="s">
        <v>17</v>
      </c>
      <c r="C544" s="9" t="s">
        <v>36</v>
      </c>
      <c r="D544" s="9" t="s">
        <v>96</v>
      </c>
      <c r="E544" s="9" t="s">
        <v>97</v>
      </c>
      <c r="F544" s="9" t="s">
        <v>334</v>
      </c>
      <c r="G544" s="9" t="s">
        <v>192</v>
      </c>
      <c r="H544" s="10">
        <v>5554767.0099999998</v>
      </c>
      <c r="I544" s="10">
        <v>5585282.46</v>
      </c>
      <c r="J544" s="10">
        <v>6625001.9800000004</v>
      </c>
      <c r="K544" s="10">
        <v>6388468.5899999999</v>
      </c>
      <c r="L544" s="10">
        <v>6437691.4699999997</v>
      </c>
      <c r="M544" s="10">
        <v>6483632.1600000001</v>
      </c>
      <c r="N544" s="10">
        <v>6567680</v>
      </c>
      <c r="O544" s="10">
        <v>6731855.8300000001</v>
      </c>
      <c r="P544" s="10">
        <v>6860745.3300000001</v>
      </c>
      <c r="Q544" s="10">
        <v>6989408.54</v>
      </c>
      <c r="R544" s="11">
        <f t="shared" si="0"/>
        <v>64224533.369999997</v>
      </c>
    </row>
    <row r="545" spans="1:18" ht="12.75" x14ac:dyDescent="0.2">
      <c r="A545" s="9" t="s">
        <v>332</v>
      </c>
      <c r="B545" s="9" t="s">
        <v>17</v>
      </c>
      <c r="C545" s="9" t="s">
        <v>36</v>
      </c>
      <c r="D545" s="9" t="s">
        <v>96</v>
      </c>
      <c r="E545" s="9" t="s">
        <v>98</v>
      </c>
      <c r="F545" s="9" t="s">
        <v>334</v>
      </c>
      <c r="G545" s="9" t="s">
        <v>188</v>
      </c>
      <c r="H545" s="10">
        <v>6247211.2699999996</v>
      </c>
      <c r="I545" s="10">
        <v>7337631.4299999997</v>
      </c>
      <c r="J545" s="10">
        <v>7383112.0899999999</v>
      </c>
      <c r="K545" s="10">
        <v>12583235.02</v>
      </c>
      <c r="L545" s="10">
        <v>15194466</v>
      </c>
      <c r="M545" s="10">
        <v>14677517.359999999</v>
      </c>
      <c r="N545" s="10">
        <v>14190308.130000001</v>
      </c>
      <c r="O545" s="10">
        <v>15633866.91</v>
      </c>
      <c r="P545" s="10">
        <v>15566189.57</v>
      </c>
      <c r="Q545" s="10">
        <v>16041591.960000001</v>
      </c>
      <c r="R545" s="11">
        <f t="shared" si="0"/>
        <v>124855129.74000001</v>
      </c>
    </row>
    <row r="546" spans="1:18" ht="12.75" x14ac:dyDescent="0.2">
      <c r="A546" s="9" t="s">
        <v>332</v>
      </c>
      <c r="B546" s="9" t="s">
        <v>17</v>
      </c>
      <c r="C546" s="9" t="s">
        <v>36</v>
      </c>
      <c r="D546" s="9" t="s">
        <v>96</v>
      </c>
      <c r="E546" s="9" t="s">
        <v>98</v>
      </c>
      <c r="F546" s="9" t="s">
        <v>334</v>
      </c>
      <c r="G546" s="9" t="s">
        <v>189</v>
      </c>
      <c r="H546" s="10">
        <v>9114409.5399999991</v>
      </c>
      <c r="I546" s="10">
        <v>11530064</v>
      </c>
      <c r="J546" s="10">
        <v>14412901.26</v>
      </c>
      <c r="K546" s="10">
        <v>13213916.369999999</v>
      </c>
      <c r="L546" s="10">
        <v>13534071.539999999</v>
      </c>
      <c r="M546" s="10">
        <v>13481064.41</v>
      </c>
      <c r="N546" s="10">
        <v>13670501.75</v>
      </c>
      <c r="O546" s="10">
        <v>14018788.02</v>
      </c>
      <c r="P546" s="10">
        <v>14253538.48</v>
      </c>
      <c r="Q546" s="10">
        <v>14569085.08</v>
      </c>
      <c r="R546" s="11">
        <f t="shared" si="0"/>
        <v>131798340.44999999</v>
      </c>
    </row>
    <row r="547" spans="1:18" ht="12.75" x14ac:dyDescent="0.2">
      <c r="A547" s="9" t="s">
        <v>332</v>
      </c>
      <c r="B547" s="9" t="s">
        <v>17</v>
      </c>
      <c r="C547" s="9" t="s">
        <v>36</v>
      </c>
      <c r="D547" s="9" t="s">
        <v>96</v>
      </c>
      <c r="E547" s="9" t="s">
        <v>197</v>
      </c>
      <c r="F547" s="9" t="s">
        <v>334</v>
      </c>
      <c r="G547" s="9" t="s">
        <v>192</v>
      </c>
      <c r="H547" s="10">
        <v>9074281.8399999999</v>
      </c>
      <c r="I547" s="10">
        <v>9124131.9700000007</v>
      </c>
      <c r="J547" s="10">
        <v>10822620.470000001</v>
      </c>
      <c r="K547" s="10">
        <v>10436218.91</v>
      </c>
      <c r="L547" s="10">
        <v>10516629.550000001</v>
      </c>
      <c r="M547" s="10">
        <v>10591678.369999999</v>
      </c>
      <c r="N547" s="10">
        <v>10728979.140000001</v>
      </c>
      <c r="O547" s="10">
        <v>10997177.210000001</v>
      </c>
      <c r="P547" s="10">
        <v>11207731.43</v>
      </c>
      <c r="Q547" s="10">
        <v>11417915.98</v>
      </c>
      <c r="R547" s="11">
        <f t="shared" si="0"/>
        <v>104917364.87000002</v>
      </c>
    </row>
    <row r="548" spans="1:18" ht="12.75" x14ac:dyDescent="0.2">
      <c r="A548" s="9" t="s">
        <v>332</v>
      </c>
      <c r="B548" s="9" t="s">
        <v>17</v>
      </c>
      <c r="C548" s="9" t="s">
        <v>36</v>
      </c>
      <c r="D548" s="9" t="s">
        <v>96</v>
      </c>
      <c r="E548" s="9" t="s">
        <v>99</v>
      </c>
      <c r="F548" s="9" t="s">
        <v>334</v>
      </c>
      <c r="G548" s="9" t="s">
        <v>188</v>
      </c>
      <c r="H548" s="10">
        <v>1110843.67</v>
      </c>
      <c r="I548" s="10">
        <v>1304735.99</v>
      </c>
      <c r="J548" s="10">
        <v>1312823.1100000001</v>
      </c>
      <c r="K548" s="10">
        <v>2237479.4700000002</v>
      </c>
      <c r="L548" s="10">
        <v>2701793.74</v>
      </c>
      <c r="M548" s="10">
        <v>2609872.87</v>
      </c>
      <c r="N548" s="10">
        <v>2523240.09</v>
      </c>
      <c r="O548" s="10">
        <v>2779925.52</v>
      </c>
      <c r="P548" s="10">
        <v>2767891.52</v>
      </c>
      <c r="Q548" s="10">
        <v>2852424.88</v>
      </c>
      <c r="R548" s="11">
        <f t="shared" si="0"/>
        <v>22201030.859999999</v>
      </c>
    </row>
    <row r="549" spans="1:18" ht="12.75" x14ac:dyDescent="0.2">
      <c r="A549" s="9" t="s">
        <v>332</v>
      </c>
      <c r="B549" s="9" t="s">
        <v>17</v>
      </c>
      <c r="C549" s="9" t="s">
        <v>36</v>
      </c>
      <c r="D549" s="9" t="s">
        <v>96</v>
      </c>
      <c r="E549" s="9" t="s">
        <v>99</v>
      </c>
      <c r="F549" s="9" t="s">
        <v>334</v>
      </c>
      <c r="G549" s="9" t="s">
        <v>192</v>
      </c>
      <c r="H549" s="10">
        <v>8026987.4900000002</v>
      </c>
      <c r="I549" s="10">
        <v>8071084.2400000002</v>
      </c>
      <c r="J549" s="10">
        <v>9573544.2899999991</v>
      </c>
      <c r="K549" s="10">
        <v>9231738.6799999997</v>
      </c>
      <c r="L549" s="10">
        <v>9302868.8399999999</v>
      </c>
      <c r="M549" s="10">
        <v>9369256.0299999993</v>
      </c>
      <c r="N549" s="10">
        <v>9490710.4399999995</v>
      </c>
      <c r="O549" s="10">
        <v>9727954.8300000001</v>
      </c>
      <c r="P549" s="10">
        <v>9914208.2599999998</v>
      </c>
      <c r="Q549" s="10">
        <v>10100134.689999999</v>
      </c>
      <c r="R549" s="11">
        <f t="shared" si="0"/>
        <v>92808487.790000007</v>
      </c>
    </row>
    <row r="550" spans="1:18" ht="12.75" x14ac:dyDescent="0.2">
      <c r="A550" s="9" t="s">
        <v>332</v>
      </c>
      <c r="B550" s="9" t="s">
        <v>17</v>
      </c>
      <c r="C550" s="9" t="s">
        <v>36</v>
      </c>
      <c r="D550" s="9" t="s">
        <v>96</v>
      </c>
      <c r="E550" s="9" t="s">
        <v>198</v>
      </c>
      <c r="F550" s="9" t="s">
        <v>334</v>
      </c>
      <c r="G550" s="9" t="s">
        <v>192</v>
      </c>
      <c r="H550" s="10">
        <v>1051396.3</v>
      </c>
      <c r="I550" s="10">
        <v>1057172.21</v>
      </c>
      <c r="J550" s="10">
        <v>1253968.45</v>
      </c>
      <c r="K550" s="10">
        <v>1209197.8400000001</v>
      </c>
      <c r="L550" s="10">
        <v>1218514.6599999999</v>
      </c>
      <c r="M550" s="10">
        <v>1227210.23</v>
      </c>
      <c r="N550" s="10">
        <v>1243118.6499999999</v>
      </c>
      <c r="O550" s="10">
        <v>1274193.56</v>
      </c>
      <c r="P550" s="10">
        <v>1298589.53</v>
      </c>
      <c r="Q550" s="10">
        <v>1322942.67</v>
      </c>
      <c r="R550" s="11">
        <f t="shared" si="0"/>
        <v>12156304.1</v>
      </c>
    </row>
    <row r="551" spans="1:18" ht="12.75" x14ac:dyDescent="0.2">
      <c r="A551" s="9" t="s">
        <v>332</v>
      </c>
      <c r="B551" s="9" t="s">
        <v>17</v>
      </c>
      <c r="C551" s="9" t="s">
        <v>36</v>
      </c>
      <c r="D551" s="9" t="s">
        <v>96</v>
      </c>
      <c r="E551" s="9" t="s">
        <v>199</v>
      </c>
      <c r="F551" s="9" t="s">
        <v>334</v>
      </c>
      <c r="G551" s="9" t="s">
        <v>192</v>
      </c>
      <c r="H551" s="10">
        <v>2906772.89</v>
      </c>
      <c r="I551" s="10">
        <v>2922741.42</v>
      </c>
      <c r="J551" s="10">
        <v>3466819.78</v>
      </c>
      <c r="K551" s="10">
        <v>3343043.42</v>
      </c>
      <c r="L551" s="10">
        <v>3368801.43</v>
      </c>
      <c r="M551" s="10">
        <v>3392841.89</v>
      </c>
      <c r="N551" s="10">
        <v>3436823.57</v>
      </c>
      <c r="O551" s="10">
        <v>3522735.7</v>
      </c>
      <c r="P551" s="10">
        <v>3590182.72</v>
      </c>
      <c r="Q551" s="10">
        <v>3657511.33</v>
      </c>
      <c r="R551" s="11">
        <f t="shared" si="0"/>
        <v>33608274.149999999</v>
      </c>
    </row>
    <row r="552" spans="1:18" ht="12.75" x14ac:dyDescent="0.2">
      <c r="A552" s="9" t="s">
        <v>332</v>
      </c>
      <c r="B552" s="9" t="s">
        <v>17</v>
      </c>
      <c r="C552" s="9" t="s">
        <v>36</v>
      </c>
      <c r="D552" s="9" t="s">
        <v>96</v>
      </c>
      <c r="E552" s="9" t="s">
        <v>100</v>
      </c>
      <c r="F552" s="9" t="s">
        <v>334</v>
      </c>
      <c r="G552" s="9" t="s">
        <v>192</v>
      </c>
      <c r="H552" s="10">
        <v>5524394.2999999998</v>
      </c>
      <c r="I552" s="10">
        <v>5554742.9000000004</v>
      </c>
      <c r="J552" s="10">
        <v>6588777.3700000001</v>
      </c>
      <c r="K552" s="10">
        <v>6353537.3099999996</v>
      </c>
      <c r="L552" s="10">
        <v>6402491.0599999996</v>
      </c>
      <c r="M552" s="10">
        <v>6448180.5499999998</v>
      </c>
      <c r="N552" s="10">
        <v>6531768.8300000001</v>
      </c>
      <c r="O552" s="10">
        <v>6695046.9699999997</v>
      </c>
      <c r="P552" s="10">
        <v>6823231.71</v>
      </c>
      <c r="Q552" s="10">
        <v>6951191.4100000001</v>
      </c>
      <c r="R552" s="11">
        <f t="shared" si="0"/>
        <v>63873362.409999996</v>
      </c>
    </row>
    <row r="553" spans="1:18" ht="12.75" x14ac:dyDescent="0.2">
      <c r="A553" s="9" t="s">
        <v>332</v>
      </c>
      <c r="B553" s="9" t="s">
        <v>17</v>
      </c>
      <c r="C553" s="9" t="s">
        <v>36</v>
      </c>
      <c r="D553" s="9" t="s">
        <v>96</v>
      </c>
      <c r="E553" s="9" t="s">
        <v>200</v>
      </c>
      <c r="F553" s="9" t="s">
        <v>334</v>
      </c>
      <c r="G553" s="9" t="s">
        <v>192</v>
      </c>
      <c r="H553" s="10">
        <v>1201132.52</v>
      </c>
      <c r="I553" s="10">
        <v>1207731.01</v>
      </c>
      <c r="J553" s="10">
        <v>1432554.29</v>
      </c>
      <c r="K553" s="10">
        <v>1381407.6</v>
      </c>
      <c r="L553" s="10">
        <v>1392051.29</v>
      </c>
      <c r="M553" s="10">
        <v>1401985.25</v>
      </c>
      <c r="N553" s="10">
        <v>1420159.3</v>
      </c>
      <c r="O553" s="10">
        <v>1455659.79</v>
      </c>
      <c r="P553" s="10">
        <v>1483530.15</v>
      </c>
      <c r="Q553" s="10">
        <v>1511351.58</v>
      </c>
      <c r="R553" s="11">
        <f t="shared" si="0"/>
        <v>13887562.780000001</v>
      </c>
    </row>
    <row r="554" spans="1:18" ht="12.75" x14ac:dyDescent="0.2">
      <c r="A554" s="9" t="s">
        <v>332</v>
      </c>
      <c r="B554" s="9" t="s">
        <v>17</v>
      </c>
      <c r="C554" s="9" t="s">
        <v>36</v>
      </c>
      <c r="D554" s="9" t="s">
        <v>96</v>
      </c>
      <c r="E554" s="9" t="s">
        <v>102</v>
      </c>
      <c r="F554" s="9" t="s">
        <v>334</v>
      </c>
      <c r="G554" s="9" t="s">
        <v>192</v>
      </c>
      <c r="H554" s="10">
        <v>-304825.61</v>
      </c>
      <c r="I554" s="10">
        <v>-306500.19</v>
      </c>
      <c r="J554" s="10">
        <v>-363556.25</v>
      </c>
      <c r="K554" s="10">
        <v>-350576.15</v>
      </c>
      <c r="L554" s="10">
        <v>-353277.32</v>
      </c>
      <c r="M554" s="10">
        <v>-355798.38</v>
      </c>
      <c r="N554" s="10">
        <v>-360410.63</v>
      </c>
      <c r="O554" s="10">
        <v>-369420.01</v>
      </c>
      <c r="P554" s="10">
        <v>-376493</v>
      </c>
      <c r="Q554" s="10">
        <v>-383553.57</v>
      </c>
      <c r="R554" s="11">
        <f t="shared" si="0"/>
        <v>-3524411.11</v>
      </c>
    </row>
    <row r="555" spans="1:18" ht="12.75" x14ac:dyDescent="0.2">
      <c r="A555" s="9" t="s">
        <v>332</v>
      </c>
      <c r="B555" s="9" t="s">
        <v>17</v>
      </c>
      <c r="C555" s="9" t="s">
        <v>36</v>
      </c>
      <c r="D555" s="9" t="s">
        <v>96</v>
      </c>
      <c r="E555" s="9" t="s">
        <v>201</v>
      </c>
      <c r="F555" s="9" t="s">
        <v>334</v>
      </c>
      <c r="G555" s="9" t="s">
        <v>192</v>
      </c>
      <c r="H555" s="10">
        <v>611715.23</v>
      </c>
      <c r="I555" s="10">
        <v>615075.73</v>
      </c>
      <c r="J555" s="10">
        <v>729574.19</v>
      </c>
      <c r="K555" s="10">
        <v>703526.1</v>
      </c>
      <c r="L555" s="10">
        <v>708946.74</v>
      </c>
      <c r="M555" s="10">
        <v>714005.93</v>
      </c>
      <c r="N555" s="10">
        <v>723261.64</v>
      </c>
      <c r="O555" s="10">
        <v>741341.4</v>
      </c>
      <c r="P555" s="10">
        <v>755535.28</v>
      </c>
      <c r="Q555" s="10">
        <v>769704.23</v>
      </c>
      <c r="R555" s="11">
        <f t="shared" si="0"/>
        <v>7072686.4700000007</v>
      </c>
    </row>
    <row r="556" spans="1:18" ht="12.75" x14ac:dyDescent="0.2">
      <c r="A556" s="9" t="s">
        <v>332</v>
      </c>
      <c r="B556" s="9" t="s">
        <v>17</v>
      </c>
      <c r="C556" s="9" t="s">
        <v>36</v>
      </c>
      <c r="D556" s="9" t="s">
        <v>96</v>
      </c>
      <c r="E556" s="9" t="s">
        <v>104</v>
      </c>
      <c r="F556" s="9" t="s">
        <v>334</v>
      </c>
      <c r="G556" s="9" t="s">
        <v>192</v>
      </c>
      <c r="H556" s="10">
        <v>573491.06999999995</v>
      </c>
      <c r="I556" s="10">
        <v>576641.57999999996</v>
      </c>
      <c r="J556" s="10">
        <v>683985.39</v>
      </c>
      <c r="K556" s="10">
        <v>659564.96</v>
      </c>
      <c r="L556" s="10">
        <v>664646.88</v>
      </c>
      <c r="M556" s="10">
        <v>669389.93999999994</v>
      </c>
      <c r="N556" s="10">
        <v>678067.29</v>
      </c>
      <c r="O556" s="10">
        <v>695017.3</v>
      </c>
      <c r="P556" s="10">
        <v>708324.25</v>
      </c>
      <c r="Q556" s="10">
        <v>721607.83</v>
      </c>
      <c r="R556" s="11">
        <f t="shared" si="0"/>
        <v>6630736.4899999993</v>
      </c>
    </row>
    <row r="557" spans="1:18" ht="12.75" x14ac:dyDescent="0.2">
      <c r="A557" s="9" t="s">
        <v>332</v>
      </c>
      <c r="B557" s="9" t="s">
        <v>17</v>
      </c>
      <c r="C557" s="9" t="s">
        <v>36</v>
      </c>
      <c r="D557" s="9" t="s">
        <v>96</v>
      </c>
      <c r="E557" s="9" t="s">
        <v>105</v>
      </c>
      <c r="F557" s="9" t="s">
        <v>334</v>
      </c>
      <c r="G557" s="9" t="s">
        <v>192</v>
      </c>
      <c r="H557" s="10">
        <v>5631934.0899999999</v>
      </c>
      <c r="I557" s="10">
        <v>5662873.46</v>
      </c>
      <c r="J557" s="10">
        <v>6717036.8099999996</v>
      </c>
      <c r="K557" s="10">
        <v>6477217.4900000002</v>
      </c>
      <c r="L557" s="10">
        <v>6527124.1799999997</v>
      </c>
      <c r="M557" s="10">
        <v>6573703.0800000001</v>
      </c>
      <c r="N557" s="10">
        <v>6658918.5199999996</v>
      </c>
      <c r="O557" s="10">
        <v>6825375.0800000001</v>
      </c>
      <c r="P557" s="10">
        <v>6956055.1200000001</v>
      </c>
      <c r="Q557" s="10">
        <v>7086505.7300000004</v>
      </c>
      <c r="R557" s="11">
        <f t="shared" si="0"/>
        <v>65116743.559999987</v>
      </c>
    </row>
    <row r="558" spans="1:18" ht="12.75" x14ac:dyDescent="0.2">
      <c r="A558" s="9" t="s">
        <v>332</v>
      </c>
      <c r="B558" s="9" t="s">
        <v>17</v>
      </c>
      <c r="C558" s="9" t="s">
        <v>36</v>
      </c>
      <c r="D558" s="9" t="s">
        <v>96</v>
      </c>
      <c r="E558" s="9" t="s">
        <v>202</v>
      </c>
      <c r="F558" s="9" t="s">
        <v>334</v>
      </c>
      <c r="G558" s="9" t="s">
        <v>192</v>
      </c>
      <c r="H558" s="10">
        <v>1515472.08</v>
      </c>
      <c r="I558" s="10">
        <v>1523797.42</v>
      </c>
      <c r="J558" s="10">
        <v>1807457.54</v>
      </c>
      <c r="K558" s="10">
        <v>1742925.63</v>
      </c>
      <c r="L558" s="10">
        <v>1756354.8</v>
      </c>
      <c r="M558" s="10">
        <v>1768888.51</v>
      </c>
      <c r="N558" s="10">
        <v>1791818.75</v>
      </c>
      <c r="O558" s="10">
        <v>1836609.81</v>
      </c>
      <c r="P558" s="10">
        <v>1871773.92</v>
      </c>
      <c r="Q558" s="10">
        <v>1906876.29</v>
      </c>
      <c r="R558" s="11">
        <f t="shared" si="0"/>
        <v>17521974.75</v>
      </c>
    </row>
    <row r="559" spans="1:18" ht="12.75" x14ac:dyDescent="0.2">
      <c r="A559" s="9" t="s">
        <v>332</v>
      </c>
      <c r="B559" s="9" t="s">
        <v>17</v>
      </c>
      <c r="C559" s="9" t="s">
        <v>36</v>
      </c>
      <c r="D559" s="9" t="s">
        <v>96</v>
      </c>
      <c r="E559" s="9" t="s">
        <v>110</v>
      </c>
      <c r="F559" s="9" t="s">
        <v>334</v>
      </c>
      <c r="G559" s="9" t="s">
        <v>192</v>
      </c>
      <c r="H559" s="10">
        <v>427924.08</v>
      </c>
      <c r="I559" s="10">
        <v>430274.91</v>
      </c>
      <c r="J559" s="10">
        <v>510372.06</v>
      </c>
      <c r="K559" s="10">
        <v>492150.17</v>
      </c>
      <c r="L559" s="10">
        <v>495942.17</v>
      </c>
      <c r="M559" s="10">
        <v>499481.31</v>
      </c>
      <c r="N559" s="10">
        <v>505956.13</v>
      </c>
      <c r="O559" s="10">
        <v>518603.79</v>
      </c>
      <c r="P559" s="10">
        <v>528533.07999999996</v>
      </c>
      <c r="Q559" s="10">
        <v>538444.93999999994</v>
      </c>
      <c r="R559" s="11">
        <f t="shared" si="0"/>
        <v>4947682.6400000006</v>
      </c>
    </row>
    <row r="560" spans="1:18" ht="12.75" x14ac:dyDescent="0.2">
      <c r="A560" s="9" t="s">
        <v>332</v>
      </c>
      <c r="B560" s="9" t="s">
        <v>17</v>
      </c>
      <c r="C560" s="9" t="s">
        <v>36</v>
      </c>
      <c r="D560" s="9" t="s">
        <v>112</v>
      </c>
      <c r="E560" s="9" t="s">
        <v>113</v>
      </c>
      <c r="F560" s="9" t="s">
        <v>334</v>
      </c>
      <c r="G560" s="9" t="s">
        <v>188</v>
      </c>
      <c r="H560" s="10">
        <v>7922770.8799999999</v>
      </c>
      <c r="I560" s="10">
        <v>9305651.7699999996</v>
      </c>
      <c r="J560" s="10">
        <v>9363330.7599999998</v>
      </c>
      <c r="K560" s="10">
        <v>15958174.57</v>
      </c>
      <c r="L560" s="10">
        <v>19269761.75</v>
      </c>
      <c r="M560" s="10">
        <v>18614162.719999999</v>
      </c>
      <c r="N560" s="10">
        <v>17996279.489999998</v>
      </c>
      <c r="O560" s="10">
        <v>19827014.039999999</v>
      </c>
      <c r="P560" s="10">
        <v>19741185.010000002</v>
      </c>
      <c r="Q560" s="10">
        <v>20344094.699999999</v>
      </c>
      <c r="R560" s="11">
        <f t="shared" si="0"/>
        <v>158342425.68999997</v>
      </c>
    </row>
    <row r="561" spans="1:18" ht="12.75" x14ac:dyDescent="0.2">
      <c r="A561" s="9" t="s">
        <v>332</v>
      </c>
      <c r="B561" s="9" t="s">
        <v>17</v>
      </c>
      <c r="C561" s="9" t="s">
        <v>36</v>
      </c>
      <c r="D561" s="9" t="s">
        <v>112</v>
      </c>
      <c r="E561" s="9" t="s">
        <v>113</v>
      </c>
      <c r="F561" s="9" t="s">
        <v>334</v>
      </c>
      <c r="G561" s="9" t="s">
        <v>189</v>
      </c>
      <c r="H561" s="10">
        <v>9970196.3900000006</v>
      </c>
      <c r="I561" s="10">
        <v>12612665.9</v>
      </c>
      <c r="J561" s="10">
        <v>15766183.800000001</v>
      </c>
      <c r="K561" s="10">
        <v>14454621.630000001</v>
      </c>
      <c r="L561" s="10">
        <v>14804837.390000001</v>
      </c>
      <c r="M561" s="10">
        <v>14746853.220000001</v>
      </c>
      <c r="N561" s="10">
        <v>14954077.560000001</v>
      </c>
      <c r="O561" s="10">
        <v>15335065.75</v>
      </c>
      <c r="P561" s="10">
        <v>15591857.84</v>
      </c>
      <c r="Q561" s="10">
        <v>15937032.32</v>
      </c>
      <c r="R561" s="11">
        <f t="shared" si="0"/>
        <v>144173391.80000001</v>
      </c>
    </row>
    <row r="562" spans="1:18" ht="12.75" x14ac:dyDescent="0.2">
      <c r="A562" s="9" t="s">
        <v>332</v>
      </c>
      <c r="B562" s="9" t="s">
        <v>17</v>
      </c>
      <c r="C562" s="9" t="s">
        <v>36</v>
      </c>
      <c r="D562" s="9" t="s">
        <v>112</v>
      </c>
      <c r="E562" s="9" t="s">
        <v>113</v>
      </c>
      <c r="F562" s="9" t="s">
        <v>334</v>
      </c>
      <c r="G562" s="9" t="s">
        <v>192</v>
      </c>
      <c r="H562" s="10">
        <v>770418.34</v>
      </c>
      <c r="I562" s="10">
        <v>774650.68</v>
      </c>
      <c r="J562" s="10">
        <v>892091.82</v>
      </c>
      <c r="K562" s="10">
        <v>838441.85</v>
      </c>
      <c r="L562" s="10">
        <v>553308.44999999995</v>
      </c>
      <c r="M562" s="10">
        <v>821302.89</v>
      </c>
      <c r="N562" s="10">
        <v>815636.77</v>
      </c>
      <c r="O562" s="10">
        <v>821243.3</v>
      </c>
      <c r="P562" s="10">
        <v>822167.97</v>
      </c>
      <c r="Q562" s="10">
        <v>825045.83</v>
      </c>
      <c r="R562" s="11">
        <f t="shared" si="0"/>
        <v>7934307.8999999985</v>
      </c>
    </row>
    <row r="563" spans="1:18" ht="12.75" x14ac:dyDescent="0.2">
      <c r="A563" s="9" t="s">
        <v>332</v>
      </c>
      <c r="B563" s="9" t="s">
        <v>17</v>
      </c>
      <c r="C563" s="9" t="s">
        <v>36</v>
      </c>
      <c r="D563" s="9" t="s">
        <v>112</v>
      </c>
      <c r="E563" s="9" t="s">
        <v>114</v>
      </c>
      <c r="F563" s="9" t="s">
        <v>334</v>
      </c>
      <c r="G563" s="9" t="s">
        <v>192</v>
      </c>
      <c r="H563" s="10">
        <v>22752867.550000001</v>
      </c>
      <c r="I563" s="10">
        <v>22877861.82</v>
      </c>
      <c r="J563" s="10">
        <v>27136654.370000001</v>
      </c>
      <c r="K563" s="10">
        <v>26167790.539999999</v>
      </c>
      <c r="L563" s="10">
        <v>26369412.289999999</v>
      </c>
      <c r="M563" s="10">
        <v>26557589.829999998</v>
      </c>
      <c r="N563" s="10">
        <v>26901857.98</v>
      </c>
      <c r="O563" s="10">
        <v>27574338.199999999</v>
      </c>
      <c r="P563" s="10">
        <v>28102282.16</v>
      </c>
      <c r="Q563" s="10">
        <v>28629299.210000001</v>
      </c>
      <c r="R563" s="11">
        <f t="shared" si="0"/>
        <v>263069953.94999996</v>
      </c>
    </row>
    <row r="564" spans="1:18" ht="12.75" x14ac:dyDescent="0.2">
      <c r="A564" s="9" t="s">
        <v>332</v>
      </c>
      <c r="B564" s="9" t="s">
        <v>17</v>
      </c>
      <c r="C564" s="9" t="s">
        <v>36</v>
      </c>
      <c r="D564" s="9" t="s">
        <v>112</v>
      </c>
      <c r="E564" s="9" t="s">
        <v>203</v>
      </c>
      <c r="F564" s="9" t="s">
        <v>334</v>
      </c>
      <c r="G564" s="9" t="s">
        <v>192</v>
      </c>
      <c r="H564" s="10">
        <v>23610096.510000002</v>
      </c>
      <c r="I564" s="10">
        <v>23739800.02</v>
      </c>
      <c r="J564" s="10">
        <v>28156846.170000002</v>
      </c>
      <c r="K564" s="10">
        <v>27149766.98</v>
      </c>
      <c r="L564" s="10">
        <v>27334993.899999999</v>
      </c>
      <c r="M564" s="10">
        <v>27551759.289999999</v>
      </c>
      <c r="N564" s="10">
        <v>27907574.48</v>
      </c>
      <c r="O564" s="10">
        <v>28603980.43</v>
      </c>
      <c r="P564" s="10">
        <v>29150422.07</v>
      </c>
      <c r="Q564" s="10">
        <v>29696064.949999999</v>
      </c>
      <c r="R564" s="11">
        <f t="shared" si="0"/>
        <v>272901304.80000001</v>
      </c>
    </row>
    <row r="565" spans="1:18" ht="12.75" x14ac:dyDescent="0.2">
      <c r="A565" s="9" t="s">
        <v>332</v>
      </c>
      <c r="B565" s="9" t="s">
        <v>17</v>
      </c>
      <c r="C565" s="9" t="s">
        <v>36</v>
      </c>
      <c r="D565" s="9" t="s">
        <v>112</v>
      </c>
      <c r="E565" s="9" t="s">
        <v>115</v>
      </c>
      <c r="F565" s="9" t="s">
        <v>334</v>
      </c>
      <c r="G565" s="9" t="s">
        <v>192</v>
      </c>
      <c r="H565" s="10">
        <v>2734503.91</v>
      </c>
      <c r="I565" s="10">
        <v>2749526.08</v>
      </c>
      <c r="J565" s="10">
        <v>3261359.8</v>
      </c>
      <c r="K565" s="10">
        <v>3144919.01</v>
      </c>
      <c r="L565" s="10">
        <v>3169150.48</v>
      </c>
      <c r="M565" s="10">
        <v>3191766.19</v>
      </c>
      <c r="N565" s="10">
        <v>3233141.31</v>
      </c>
      <c r="O565" s="10">
        <v>3313961.88</v>
      </c>
      <c r="P565" s="10">
        <v>3377411.68</v>
      </c>
      <c r="Q565" s="10">
        <v>3440750.08</v>
      </c>
      <c r="R565" s="11">
        <f t="shared" si="0"/>
        <v>31616490.419999994</v>
      </c>
    </row>
    <row r="566" spans="1:18" ht="12.75" x14ac:dyDescent="0.2">
      <c r="A566" s="9" t="s">
        <v>332</v>
      </c>
      <c r="B566" s="9" t="s">
        <v>17</v>
      </c>
      <c r="C566" s="9" t="s">
        <v>36</v>
      </c>
      <c r="D566" s="9" t="s">
        <v>112</v>
      </c>
      <c r="E566" s="9" t="s">
        <v>116</v>
      </c>
      <c r="F566" s="9" t="s">
        <v>334</v>
      </c>
      <c r="G566" s="9" t="s">
        <v>192</v>
      </c>
      <c r="H566" s="10">
        <v>29313600.559999999</v>
      </c>
      <c r="I566" s="10">
        <v>29474636.620000001</v>
      </c>
      <c r="J566" s="10">
        <v>34961441.460000001</v>
      </c>
      <c r="K566" s="10">
        <v>33713208.140000001</v>
      </c>
      <c r="L566" s="10">
        <v>33972967.020000003</v>
      </c>
      <c r="M566" s="10">
        <v>34215405.090000004</v>
      </c>
      <c r="N566" s="10">
        <v>34658942.109999999</v>
      </c>
      <c r="O566" s="10">
        <v>35525330.329999998</v>
      </c>
      <c r="P566" s="10">
        <v>36205505.619999997</v>
      </c>
      <c r="Q566" s="10">
        <v>36884486.740000002</v>
      </c>
      <c r="R566" s="11">
        <f t="shared" si="0"/>
        <v>338925523.69</v>
      </c>
    </row>
    <row r="567" spans="1:18" ht="12.75" x14ac:dyDescent="0.2">
      <c r="A567" s="9" t="s">
        <v>332</v>
      </c>
      <c r="B567" s="9" t="s">
        <v>17</v>
      </c>
      <c r="C567" s="9" t="s">
        <v>36</v>
      </c>
      <c r="D567" s="9" t="s">
        <v>112</v>
      </c>
      <c r="E567" s="9" t="s">
        <v>204</v>
      </c>
      <c r="F567" s="9" t="s">
        <v>334</v>
      </c>
      <c r="G567" s="9" t="s">
        <v>192</v>
      </c>
      <c r="H567" s="10">
        <v>4498480.4400000004</v>
      </c>
      <c r="I567" s="10">
        <v>4523193.12</v>
      </c>
      <c r="J567" s="10">
        <v>5365201.05</v>
      </c>
      <c r="K567" s="10">
        <v>5173646.51</v>
      </c>
      <c r="L567" s="10">
        <v>5213509.25</v>
      </c>
      <c r="M567" s="10">
        <v>5250713.92</v>
      </c>
      <c r="N567" s="10">
        <v>5318779.34</v>
      </c>
      <c r="O567" s="10">
        <v>5451735.7300000004</v>
      </c>
      <c r="P567" s="10">
        <v>5556115.79</v>
      </c>
      <c r="Q567" s="10">
        <v>5660312.5800000001</v>
      </c>
      <c r="R567" s="11">
        <f t="shared" si="0"/>
        <v>52011687.729999997</v>
      </c>
    </row>
    <row r="568" spans="1:18" ht="12.75" x14ac:dyDescent="0.2">
      <c r="A568" s="9" t="s">
        <v>332</v>
      </c>
      <c r="B568" s="9" t="s">
        <v>17</v>
      </c>
      <c r="C568" s="9" t="s">
        <v>36</v>
      </c>
      <c r="D568" s="9" t="s">
        <v>112</v>
      </c>
      <c r="E568" s="9" t="s">
        <v>117</v>
      </c>
      <c r="F568" s="9" t="s">
        <v>334</v>
      </c>
      <c r="G568" s="9" t="s">
        <v>192</v>
      </c>
      <c r="H568" s="10">
        <v>4171961.45</v>
      </c>
      <c r="I568" s="10">
        <v>4194880.37</v>
      </c>
      <c r="J568" s="10">
        <v>4975771.76</v>
      </c>
      <c r="K568" s="10">
        <v>4798121.08</v>
      </c>
      <c r="L568" s="10">
        <v>4835090.4000000004</v>
      </c>
      <c r="M568" s="10">
        <v>4869594.5999999996</v>
      </c>
      <c r="N568" s="10">
        <v>4932719.54</v>
      </c>
      <c r="O568" s="10">
        <v>5056025.38</v>
      </c>
      <c r="P568" s="10">
        <v>5152829.09</v>
      </c>
      <c r="Q568" s="10">
        <v>5249462.84</v>
      </c>
      <c r="R568" s="11">
        <f t="shared" si="0"/>
        <v>48236456.510000005</v>
      </c>
    </row>
    <row r="569" spans="1:18" ht="12.75" x14ac:dyDescent="0.2">
      <c r="A569" s="9" t="s">
        <v>332</v>
      </c>
      <c r="B569" s="9" t="s">
        <v>17</v>
      </c>
      <c r="C569" s="9" t="s">
        <v>36</v>
      </c>
      <c r="D569" s="9" t="s">
        <v>112</v>
      </c>
      <c r="E569" s="9" t="s">
        <v>118</v>
      </c>
      <c r="F569" s="9" t="s">
        <v>334</v>
      </c>
      <c r="G569" s="9" t="s">
        <v>192</v>
      </c>
      <c r="H569" s="10">
        <v>9341777.9399999995</v>
      </c>
      <c r="I569" s="10">
        <v>9393097.5700000003</v>
      </c>
      <c r="J569" s="10">
        <v>11141654.939999999</v>
      </c>
      <c r="K569" s="10">
        <v>10743862.85</v>
      </c>
      <c r="L569" s="10">
        <v>10826643.869999999</v>
      </c>
      <c r="M569" s="10">
        <v>10903905.029999999</v>
      </c>
      <c r="N569" s="10">
        <v>11045253.220000001</v>
      </c>
      <c r="O569" s="10">
        <v>11321357.35</v>
      </c>
      <c r="P569" s="10">
        <v>11538118.390000001</v>
      </c>
      <c r="Q569" s="10">
        <v>11754498.869999999</v>
      </c>
      <c r="R569" s="11">
        <f t="shared" si="0"/>
        <v>108010170.03</v>
      </c>
    </row>
    <row r="570" spans="1:18" ht="12.75" x14ac:dyDescent="0.2">
      <c r="A570" s="9" t="s">
        <v>332</v>
      </c>
      <c r="B570" s="9" t="s">
        <v>17</v>
      </c>
      <c r="C570" s="9" t="s">
        <v>36</v>
      </c>
      <c r="D570" s="9" t="s">
        <v>112</v>
      </c>
      <c r="E570" s="9" t="s">
        <v>119</v>
      </c>
      <c r="F570" s="9" t="s">
        <v>334</v>
      </c>
      <c r="G570" s="9" t="s">
        <v>192</v>
      </c>
      <c r="H570" s="10">
        <v>4097377.74</v>
      </c>
      <c r="I570" s="10">
        <v>4119886.94</v>
      </c>
      <c r="J570" s="10">
        <v>4886818.04</v>
      </c>
      <c r="K570" s="10">
        <v>4712343.28</v>
      </c>
      <c r="L570" s="10">
        <v>4748651.6900000004</v>
      </c>
      <c r="M570" s="10">
        <v>4782539.04</v>
      </c>
      <c r="N570" s="10">
        <v>4844535.4800000004</v>
      </c>
      <c r="O570" s="10">
        <v>4965636.9400000004</v>
      </c>
      <c r="P570" s="10">
        <v>5060710.04</v>
      </c>
      <c r="Q570" s="10">
        <v>5155616.2300000004</v>
      </c>
      <c r="R570" s="11">
        <f t="shared" si="0"/>
        <v>47374115.420000002</v>
      </c>
    </row>
    <row r="571" spans="1:18" ht="12.75" x14ac:dyDescent="0.2">
      <c r="A571" s="9" t="s">
        <v>332</v>
      </c>
      <c r="B571" s="9" t="s">
        <v>17</v>
      </c>
      <c r="C571" s="9" t="s">
        <v>36</v>
      </c>
      <c r="D571" s="9" t="s">
        <v>112</v>
      </c>
      <c r="E571" s="9" t="s">
        <v>120</v>
      </c>
      <c r="F571" s="9" t="s">
        <v>334</v>
      </c>
      <c r="G571" s="9" t="s">
        <v>192</v>
      </c>
      <c r="H571" s="10">
        <v>9719785.8100000005</v>
      </c>
      <c r="I571" s="10">
        <v>9773182.0500000007</v>
      </c>
      <c r="J571" s="10">
        <v>11592493.449999999</v>
      </c>
      <c r="K571" s="10">
        <v>11178605.01</v>
      </c>
      <c r="L571" s="10">
        <v>11264735.699999999</v>
      </c>
      <c r="M571" s="10">
        <v>11345123.17</v>
      </c>
      <c r="N571" s="10">
        <v>11492190.9</v>
      </c>
      <c r="O571" s="10">
        <v>11779467.380000001</v>
      </c>
      <c r="P571" s="10">
        <v>12004999.49</v>
      </c>
      <c r="Q571" s="10">
        <v>12230135.640000001</v>
      </c>
      <c r="R571" s="11">
        <f t="shared" si="0"/>
        <v>112380718.59999999</v>
      </c>
    </row>
    <row r="572" spans="1:18" ht="12.75" x14ac:dyDescent="0.2">
      <c r="A572" s="9" t="s">
        <v>332</v>
      </c>
      <c r="B572" s="9" t="s">
        <v>17</v>
      </c>
      <c r="C572" s="9" t="s">
        <v>36</v>
      </c>
      <c r="D572" s="9" t="s">
        <v>112</v>
      </c>
      <c r="E572" s="9" t="s">
        <v>205</v>
      </c>
      <c r="F572" s="9" t="s">
        <v>334</v>
      </c>
      <c r="G572" s="9" t="s">
        <v>192</v>
      </c>
      <c r="H572" s="10">
        <v>31148438.219999999</v>
      </c>
      <c r="I572" s="10">
        <v>31319554.07</v>
      </c>
      <c r="J572" s="10">
        <v>37149796.630000003</v>
      </c>
      <c r="K572" s="10">
        <v>35823432.159999996</v>
      </c>
      <c r="L572" s="10">
        <v>36099450.219999999</v>
      </c>
      <c r="M572" s="10">
        <v>36357063.32</v>
      </c>
      <c r="N572" s="10">
        <v>36828362.82</v>
      </c>
      <c r="O572" s="10">
        <v>37748981.219999999</v>
      </c>
      <c r="P572" s="10">
        <v>38471730.990000002</v>
      </c>
      <c r="Q572" s="10">
        <v>39193211.840000004</v>
      </c>
      <c r="R572" s="11">
        <f t="shared" si="0"/>
        <v>360140021.49000001</v>
      </c>
    </row>
    <row r="573" spans="1:18" ht="12.75" x14ac:dyDescent="0.2">
      <c r="A573" s="9" t="s">
        <v>332</v>
      </c>
      <c r="B573" s="9" t="s">
        <v>17</v>
      </c>
      <c r="C573" s="9" t="s">
        <v>36</v>
      </c>
      <c r="D573" s="9" t="s">
        <v>112</v>
      </c>
      <c r="E573" s="9" t="s">
        <v>121</v>
      </c>
      <c r="F573" s="9" t="s">
        <v>334</v>
      </c>
      <c r="G573" s="9" t="s">
        <v>192</v>
      </c>
      <c r="H573" s="10">
        <v>11412436.630000001</v>
      </c>
      <c r="I573" s="10">
        <v>11475131.550000001</v>
      </c>
      <c r="J573" s="10">
        <v>13611266.699999999</v>
      </c>
      <c r="K573" s="10">
        <v>13125301.710000001</v>
      </c>
      <c r="L573" s="10">
        <v>13226431.619999999</v>
      </c>
      <c r="M573" s="10">
        <v>13320818.15</v>
      </c>
      <c r="N573" s="10">
        <v>13493496.98</v>
      </c>
      <c r="O573" s="10">
        <v>13830801.18</v>
      </c>
      <c r="P573" s="10">
        <v>14095608.550000001</v>
      </c>
      <c r="Q573" s="10">
        <v>14359951</v>
      </c>
      <c r="R573" s="11">
        <f t="shared" si="0"/>
        <v>131951244.07000001</v>
      </c>
    </row>
    <row r="574" spans="1:18" ht="12.75" x14ac:dyDescent="0.2">
      <c r="A574" s="9" t="s">
        <v>332</v>
      </c>
      <c r="B574" s="9" t="s">
        <v>17</v>
      </c>
      <c r="C574" s="9" t="s">
        <v>36</v>
      </c>
      <c r="D574" s="9" t="s">
        <v>112</v>
      </c>
      <c r="E574" s="9" t="s">
        <v>123</v>
      </c>
      <c r="F574" s="9" t="s">
        <v>334</v>
      </c>
      <c r="G574" s="9" t="s">
        <v>192</v>
      </c>
      <c r="H574" s="10">
        <v>5085144.72</v>
      </c>
      <c r="I574" s="10">
        <v>5113080.28</v>
      </c>
      <c r="J574" s="10">
        <v>6064897.7300000004</v>
      </c>
      <c r="K574" s="10">
        <v>5848361.8200000003</v>
      </c>
      <c r="L574" s="10">
        <v>5893423.21</v>
      </c>
      <c r="M574" s="10">
        <v>5935479.8899999997</v>
      </c>
      <c r="N574" s="10">
        <v>6012421.9900000002</v>
      </c>
      <c r="O574" s="10">
        <v>6162717.7300000004</v>
      </c>
      <c r="P574" s="10">
        <v>6280710.4000000004</v>
      </c>
      <c r="Q574" s="10">
        <v>6398495.9000000004</v>
      </c>
      <c r="R574" s="11">
        <f t="shared" si="0"/>
        <v>58794733.670000002</v>
      </c>
    </row>
    <row r="575" spans="1:18" ht="12.75" x14ac:dyDescent="0.2">
      <c r="A575" s="9" t="s">
        <v>332</v>
      </c>
      <c r="B575" s="9" t="s">
        <v>17</v>
      </c>
      <c r="C575" s="9" t="s">
        <v>36</v>
      </c>
      <c r="D575" s="9" t="s">
        <v>112</v>
      </c>
      <c r="E575" s="9" t="s">
        <v>124</v>
      </c>
      <c r="F575" s="9" t="s">
        <v>334</v>
      </c>
      <c r="G575" s="9" t="s">
        <v>192</v>
      </c>
      <c r="H575" s="10">
        <v>5548928.1500000004</v>
      </c>
      <c r="I575" s="10">
        <v>5579411.5300000003</v>
      </c>
      <c r="J575" s="10">
        <v>6618038.1500000004</v>
      </c>
      <c r="K575" s="10">
        <v>6381753.3899999997</v>
      </c>
      <c r="L575" s="10">
        <v>6430924.54</v>
      </c>
      <c r="M575" s="10">
        <v>6476816.9400000004</v>
      </c>
      <c r="N575" s="10">
        <v>6560776.4299999997</v>
      </c>
      <c r="O575" s="10">
        <v>6724779.6900000004</v>
      </c>
      <c r="P575" s="10">
        <v>6853533.71</v>
      </c>
      <c r="Q575" s="10">
        <v>6982061.6699999999</v>
      </c>
      <c r="R575" s="11">
        <f t="shared" si="0"/>
        <v>64157024.199999996</v>
      </c>
    </row>
    <row r="576" spans="1:18" ht="12.75" x14ac:dyDescent="0.2">
      <c r="A576" s="9" t="s">
        <v>332</v>
      </c>
      <c r="B576" s="9" t="s">
        <v>17</v>
      </c>
      <c r="C576" s="9" t="s">
        <v>36</v>
      </c>
      <c r="D576" s="9" t="s">
        <v>112</v>
      </c>
      <c r="E576" s="9" t="s">
        <v>206</v>
      </c>
      <c r="F576" s="9" t="s">
        <v>334</v>
      </c>
      <c r="G576" s="9" t="s">
        <v>192</v>
      </c>
      <c r="H576" s="10">
        <v>1696229.46</v>
      </c>
      <c r="I576" s="10">
        <v>1705547.8</v>
      </c>
      <c r="J576" s="10">
        <v>2023041.39</v>
      </c>
      <c r="K576" s="10">
        <v>1950812.45</v>
      </c>
      <c r="L576" s="10">
        <v>1965843.38</v>
      </c>
      <c r="M576" s="10">
        <v>1979872.04</v>
      </c>
      <c r="N576" s="10">
        <v>2005537.28</v>
      </c>
      <c r="O576" s="10">
        <v>2055670.78</v>
      </c>
      <c r="P576" s="10">
        <v>2095029.07</v>
      </c>
      <c r="Q576" s="10">
        <v>2134318.27</v>
      </c>
      <c r="R576" s="11">
        <f t="shared" si="0"/>
        <v>19611901.919999998</v>
      </c>
    </row>
    <row r="577" spans="1:18" ht="12.75" x14ac:dyDescent="0.2">
      <c r="A577" s="9" t="s">
        <v>332</v>
      </c>
      <c r="B577" s="9" t="s">
        <v>17</v>
      </c>
      <c r="C577" s="9" t="s">
        <v>36</v>
      </c>
      <c r="D577" s="9" t="s">
        <v>125</v>
      </c>
      <c r="E577" s="9" t="s">
        <v>126</v>
      </c>
      <c r="F577" s="9" t="s">
        <v>333</v>
      </c>
      <c r="G577" s="9" t="s">
        <v>188</v>
      </c>
      <c r="H577" s="10">
        <v>3348597.1</v>
      </c>
      <c r="I577" s="10">
        <v>3933078.34</v>
      </c>
      <c r="J577" s="10">
        <v>3957456.64</v>
      </c>
      <c r="K577" s="10">
        <v>6744799</v>
      </c>
      <c r="L577" s="10">
        <v>8144457.2000000002</v>
      </c>
      <c r="M577" s="10">
        <v>7867365.1299999999</v>
      </c>
      <c r="N577" s="10">
        <v>7606213.8200000003</v>
      </c>
      <c r="O577" s="10">
        <v>8379982.5499999998</v>
      </c>
      <c r="P577" s="10">
        <v>8343706.5</v>
      </c>
      <c r="Q577" s="10">
        <v>8598529.1699999999</v>
      </c>
      <c r="R577" s="11">
        <f t="shared" si="0"/>
        <v>66924185.449999996</v>
      </c>
    </row>
    <row r="578" spans="1:18" ht="12.75" x14ac:dyDescent="0.2">
      <c r="A578" s="9" t="s">
        <v>332</v>
      </c>
      <c r="B578" s="9" t="s">
        <v>17</v>
      </c>
      <c r="C578" s="9" t="s">
        <v>36</v>
      </c>
      <c r="D578" s="9" t="s">
        <v>125</v>
      </c>
      <c r="E578" s="9" t="s">
        <v>126</v>
      </c>
      <c r="F578" s="9" t="s">
        <v>333</v>
      </c>
      <c r="G578" s="9" t="s">
        <v>189</v>
      </c>
      <c r="H578" s="10">
        <v>19586610.559999999</v>
      </c>
      <c r="I578" s="10">
        <v>24777784.280000001</v>
      </c>
      <c r="J578" s="10">
        <v>30972920.719999999</v>
      </c>
      <c r="K578" s="10">
        <v>28396335.809999999</v>
      </c>
      <c r="L578" s="10">
        <v>29084340.289999999</v>
      </c>
      <c r="M578" s="10">
        <v>28970429.449999999</v>
      </c>
      <c r="N578" s="10">
        <v>29377524.989999998</v>
      </c>
      <c r="O578" s="10">
        <v>30125982.41</v>
      </c>
      <c r="P578" s="10">
        <v>30630454.57</v>
      </c>
      <c r="Q578" s="10">
        <v>31308555.379999999</v>
      </c>
      <c r="R578" s="11">
        <f t="shared" si="0"/>
        <v>283230938.45999998</v>
      </c>
    </row>
    <row r="579" spans="1:18" ht="12.75" x14ac:dyDescent="0.2">
      <c r="A579" s="9" t="s">
        <v>332</v>
      </c>
      <c r="B579" s="9" t="s">
        <v>17</v>
      </c>
      <c r="C579" s="9" t="s">
        <v>36</v>
      </c>
      <c r="D579" s="9" t="s">
        <v>125</v>
      </c>
      <c r="E579" s="9" t="s">
        <v>126</v>
      </c>
      <c r="F579" s="9" t="s">
        <v>333</v>
      </c>
      <c r="G579" s="9" t="s">
        <v>191</v>
      </c>
      <c r="H579" s="10">
        <v>1136754.3600000001</v>
      </c>
      <c r="I579" s="10">
        <v>1188828.17</v>
      </c>
      <c r="J579" s="10">
        <v>1743751.91</v>
      </c>
      <c r="K579" s="10">
        <v>2421847.88</v>
      </c>
      <c r="L579" s="10">
        <v>2417693.98</v>
      </c>
      <c r="M579" s="10">
        <v>2455899.34</v>
      </c>
      <c r="N579" s="10">
        <v>2497439.64</v>
      </c>
      <c r="O579" s="10">
        <v>2558163.4</v>
      </c>
      <c r="P579" s="10">
        <v>2595460.69</v>
      </c>
      <c r="Q579" s="10">
        <v>2649075.3199999998</v>
      </c>
      <c r="R579" s="11">
        <f t="shared" si="0"/>
        <v>21664914.690000001</v>
      </c>
    </row>
    <row r="580" spans="1:18" ht="12.75" x14ac:dyDescent="0.2">
      <c r="A580" s="9" t="s">
        <v>332</v>
      </c>
      <c r="B580" s="9" t="s">
        <v>17</v>
      </c>
      <c r="C580" s="9" t="s">
        <v>36</v>
      </c>
      <c r="D580" s="9" t="s">
        <v>31</v>
      </c>
      <c r="E580" s="9" t="s">
        <v>33</v>
      </c>
      <c r="F580" s="9" t="s">
        <v>333</v>
      </c>
      <c r="G580" s="9" t="s">
        <v>188</v>
      </c>
      <c r="H580" s="10">
        <v>11399027.310000001</v>
      </c>
      <c r="I580" s="10">
        <v>13388671.75</v>
      </c>
      <c r="J580" s="10">
        <v>13471658.42</v>
      </c>
      <c r="K580" s="10">
        <v>8207480.2199999997</v>
      </c>
      <c r="L580" s="10">
        <v>9833814.1199999992</v>
      </c>
      <c r="M580" s="10">
        <v>9407020.7699999996</v>
      </c>
      <c r="N580" s="10">
        <v>9023985.3900000006</v>
      </c>
      <c r="O580" s="10">
        <v>9845270.0099999998</v>
      </c>
      <c r="P580" s="10">
        <v>9802650.8900000006</v>
      </c>
      <c r="Q580" s="10">
        <v>10102030.75</v>
      </c>
      <c r="R580" s="11">
        <f t="shared" si="0"/>
        <v>104481609.63000001</v>
      </c>
    </row>
    <row r="581" spans="1:18" ht="12.75" x14ac:dyDescent="0.2">
      <c r="A581" s="9" t="s">
        <v>332</v>
      </c>
      <c r="B581" s="9" t="s">
        <v>17</v>
      </c>
      <c r="C581" s="9" t="s">
        <v>36</v>
      </c>
      <c r="D581" s="9" t="s">
        <v>130</v>
      </c>
      <c r="E581" s="9" t="s">
        <v>131</v>
      </c>
      <c r="F581" s="9" t="s">
        <v>333</v>
      </c>
      <c r="G581" s="9" t="s">
        <v>188</v>
      </c>
      <c r="H581" s="10">
        <v>406264.35</v>
      </c>
      <c r="I581" s="10">
        <v>477175.8</v>
      </c>
      <c r="J581" s="10">
        <v>466149</v>
      </c>
      <c r="K581" s="10">
        <v>774337.41</v>
      </c>
      <c r="L581" s="10">
        <v>606696.32999999996</v>
      </c>
      <c r="M581" s="10">
        <v>853478.46</v>
      </c>
      <c r="N581" s="10">
        <v>802673.03</v>
      </c>
      <c r="O581" s="10">
        <v>860241.01</v>
      </c>
      <c r="P581" s="10">
        <v>841372.41</v>
      </c>
      <c r="Q581" s="10">
        <v>854086.41</v>
      </c>
      <c r="R581" s="11">
        <f t="shared" si="0"/>
        <v>6942474.21</v>
      </c>
    </row>
    <row r="582" spans="1:18" ht="12.75" x14ac:dyDescent="0.2">
      <c r="A582" s="9" t="s">
        <v>332</v>
      </c>
      <c r="B582" s="9" t="s">
        <v>17</v>
      </c>
      <c r="C582" s="9" t="s">
        <v>36</v>
      </c>
      <c r="D582" s="9" t="s">
        <v>31</v>
      </c>
      <c r="E582" s="9" t="s">
        <v>35</v>
      </c>
      <c r="F582" s="9" t="s">
        <v>333</v>
      </c>
      <c r="G582" s="9" t="s">
        <v>188</v>
      </c>
      <c r="H582" s="10">
        <v>1261367.2</v>
      </c>
      <c r="I582" s="10">
        <v>1481532.67</v>
      </c>
      <c r="J582" s="10">
        <v>1447296.72</v>
      </c>
      <c r="K582" s="10">
        <v>7331795.0300000003</v>
      </c>
      <c r="L582" s="10">
        <v>8784609.5999999996</v>
      </c>
      <c r="M582" s="10">
        <v>8403352.3399999999</v>
      </c>
      <c r="N582" s="10">
        <v>8061184.3600000003</v>
      </c>
      <c r="O582" s="10">
        <v>8794843.2200000007</v>
      </c>
      <c r="P582" s="10">
        <v>8756771.2799999993</v>
      </c>
      <c r="Q582" s="10">
        <v>9024209.2400000002</v>
      </c>
      <c r="R582" s="11">
        <f t="shared" si="0"/>
        <v>63346961.660000004</v>
      </c>
    </row>
    <row r="583" spans="1:18" ht="12.75" x14ac:dyDescent="0.2">
      <c r="A583" s="9" t="s">
        <v>332</v>
      </c>
      <c r="B583" s="9" t="s">
        <v>17</v>
      </c>
      <c r="C583" s="9" t="s">
        <v>36</v>
      </c>
      <c r="D583" s="9" t="s">
        <v>31</v>
      </c>
      <c r="E583" s="9" t="s">
        <v>35</v>
      </c>
      <c r="F583" s="9" t="s">
        <v>333</v>
      </c>
      <c r="G583" s="9" t="s">
        <v>189</v>
      </c>
      <c r="H583" s="9" t="s">
        <v>29</v>
      </c>
      <c r="I583" s="9" t="s">
        <v>29</v>
      </c>
      <c r="J583" s="9" t="s">
        <v>29</v>
      </c>
      <c r="K583" s="10">
        <v>12160812</v>
      </c>
      <c r="L583" s="10">
        <v>8504750.6899999995</v>
      </c>
      <c r="M583" s="10">
        <v>11967034.720000001</v>
      </c>
      <c r="N583" s="10">
        <v>11917854.16</v>
      </c>
      <c r="O583" s="10">
        <v>12024442.77</v>
      </c>
      <c r="P583" s="10">
        <v>12028994.84</v>
      </c>
      <c r="Q583" s="10">
        <v>12127969.890000001</v>
      </c>
      <c r="R583" s="12">
        <f t="shared" si="0"/>
        <v>80731859.069999993</v>
      </c>
    </row>
    <row r="584" spans="1:18" ht="12.75" x14ac:dyDescent="0.2">
      <c r="A584" s="9" t="s">
        <v>332</v>
      </c>
      <c r="B584" s="9" t="s">
        <v>17</v>
      </c>
      <c r="C584" s="9" t="s">
        <v>36</v>
      </c>
      <c r="D584" s="9" t="s">
        <v>31</v>
      </c>
      <c r="E584" s="9" t="s">
        <v>35</v>
      </c>
      <c r="F584" s="9" t="s">
        <v>333</v>
      </c>
      <c r="G584" s="9" t="s">
        <v>192</v>
      </c>
      <c r="H584" s="9" t="s">
        <v>29</v>
      </c>
      <c r="I584" s="9" t="s">
        <v>29</v>
      </c>
      <c r="J584" s="9" t="s">
        <v>29</v>
      </c>
      <c r="K584" s="10">
        <v>2443604.3199999998</v>
      </c>
      <c r="L584" s="10">
        <v>2485291.0299999998</v>
      </c>
      <c r="M584" s="10">
        <v>2533140.41</v>
      </c>
      <c r="N584" s="10">
        <v>2586103.0299999998</v>
      </c>
      <c r="O584" s="10">
        <v>2676788.0299999998</v>
      </c>
      <c r="P584" s="10">
        <v>2728038.36</v>
      </c>
      <c r="Q584" s="10">
        <v>2779198.72</v>
      </c>
      <c r="R584" s="12">
        <f t="shared" si="0"/>
        <v>18232163.899999999</v>
      </c>
    </row>
    <row r="585" spans="1:18" ht="12.75" x14ac:dyDescent="0.2">
      <c r="A585" s="9" t="s">
        <v>332</v>
      </c>
      <c r="B585" s="9" t="s">
        <v>17</v>
      </c>
      <c r="C585" s="9" t="s">
        <v>36</v>
      </c>
      <c r="D585" s="9" t="s">
        <v>134</v>
      </c>
      <c r="E585" s="9" t="s">
        <v>135</v>
      </c>
      <c r="F585" s="9" t="s">
        <v>333</v>
      </c>
      <c r="G585" s="9" t="s">
        <v>189</v>
      </c>
      <c r="H585" s="10">
        <v>6415604.6399999997</v>
      </c>
      <c r="I585" s="10">
        <v>8115976.3300000001</v>
      </c>
      <c r="J585" s="10">
        <v>10145196.539999999</v>
      </c>
      <c r="K585" s="10">
        <v>9301234.7899999991</v>
      </c>
      <c r="L585" s="10">
        <v>9526591.0199999996</v>
      </c>
      <c r="M585" s="10">
        <v>9489279.4700000007</v>
      </c>
      <c r="N585" s="10">
        <v>9622623.8300000001</v>
      </c>
      <c r="O585" s="10">
        <v>9867781.4499999993</v>
      </c>
      <c r="P585" s="10">
        <v>10033021.57</v>
      </c>
      <c r="Q585" s="10">
        <v>10255133.85</v>
      </c>
      <c r="R585" s="11">
        <f t="shared" si="0"/>
        <v>92772443.48999998</v>
      </c>
    </row>
    <row r="586" spans="1:18" ht="12.75" x14ac:dyDescent="0.2">
      <c r="A586" s="9" t="s">
        <v>332</v>
      </c>
      <c r="B586" s="9" t="s">
        <v>17</v>
      </c>
      <c r="C586" s="9" t="s">
        <v>36</v>
      </c>
      <c r="D586" s="9" t="s">
        <v>134</v>
      </c>
      <c r="E586" s="9" t="s">
        <v>136</v>
      </c>
      <c r="F586" s="9" t="s">
        <v>333</v>
      </c>
      <c r="G586" s="9" t="s">
        <v>188</v>
      </c>
      <c r="H586" s="10">
        <v>7560861.7300000004</v>
      </c>
      <c r="I586" s="10">
        <v>8880573.1400000006</v>
      </c>
      <c r="J586" s="10">
        <v>8902218.2200000007</v>
      </c>
      <c r="K586" s="10">
        <v>15124205</v>
      </c>
      <c r="L586" s="10">
        <v>17478580.370000001</v>
      </c>
      <c r="M586" s="10">
        <v>17522609.030000001</v>
      </c>
      <c r="N586" s="10">
        <v>16887282.359999999</v>
      </c>
      <c r="O586" s="10">
        <v>18547673.829999998</v>
      </c>
      <c r="P586" s="10">
        <v>18431212.789999999</v>
      </c>
      <c r="Q586" s="10">
        <v>18963109.780000001</v>
      </c>
      <c r="R586" s="11">
        <f t="shared" si="0"/>
        <v>148298326.25</v>
      </c>
    </row>
    <row r="587" spans="1:18" ht="12.75" x14ac:dyDescent="0.2">
      <c r="A587" s="9" t="s">
        <v>332</v>
      </c>
      <c r="B587" s="9" t="s">
        <v>17</v>
      </c>
      <c r="C587" s="9" t="s">
        <v>36</v>
      </c>
      <c r="D587" s="9" t="s">
        <v>134</v>
      </c>
      <c r="E587" s="9" t="s">
        <v>136</v>
      </c>
      <c r="F587" s="9" t="s">
        <v>333</v>
      </c>
      <c r="G587" s="9" t="s">
        <v>189</v>
      </c>
      <c r="H587" s="10">
        <v>4074775.91</v>
      </c>
      <c r="I587" s="10">
        <v>5154741.72</v>
      </c>
      <c r="J587" s="10">
        <v>6443570.7699999996</v>
      </c>
      <c r="K587" s="10">
        <v>5907541.0099999998</v>
      </c>
      <c r="L587" s="10">
        <v>6050672.6699999999</v>
      </c>
      <c r="M587" s="10">
        <v>6026974.79</v>
      </c>
      <c r="N587" s="10">
        <v>6111666.4800000004</v>
      </c>
      <c r="O587" s="10">
        <v>6267374.7000000002</v>
      </c>
      <c r="P587" s="10">
        <v>6372324.5</v>
      </c>
      <c r="Q587" s="10">
        <v>6513395.8200000003</v>
      </c>
      <c r="R587" s="11">
        <f t="shared" si="0"/>
        <v>58923038.369999997</v>
      </c>
    </row>
    <row r="588" spans="1:18" ht="12.75" x14ac:dyDescent="0.2">
      <c r="A588" s="9" t="s">
        <v>332</v>
      </c>
      <c r="B588" s="9" t="s">
        <v>17</v>
      </c>
      <c r="C588" s="9" t="s">
        <v>36</v>
      </c>
      <c r="D588" s="9" t="s">
        <v>134</v>
      </c>
      <c r="E588" s="9" t="s">
        <v>137</v>
      </c>
      <c r="F588" s="9" t="s">
        <v>333</v>
      </c>
      <c r="G588" s="9" t="s">
        <v>188</v>
      </c>
      <c r="H588" s="10">
        <v>8143793.2999999998</v>
      </c>
      <c r="I588" s="10">
        <v>9565252.5700000003</v>
      </c>
      <c r="J588" s="10">
        <v>9624540.6400000006</v>
      </c>
      <c r="K588" s="10">
        <v>16403361.529999999</v>
      </c>
      <c r="L588" s="10">
        <v>19807332.43</v>
      </c>
      <c r="M588" s="10">
        <v>19133444.079999998</v>
      </c>
      <c r="N588" s="10">
        <v>18498323.690000001</v>
      </c>
      <c r="O588" s="10">
        <v>20380130.449999999</v>
      </c>
      <c r="P588" s="10">
        <v>20291907.030000001</v>
      </c>
      <c r="Q588" s="10">
        <v>20911636.16</v>
      </c>
      <c r="R588" s="11">
        <f t="shared" si="0"/>
        <v>162759721.88</v>
      </c>
    </row>
    <row r="589" spans="1:18" ht="12.75" x14ac:dyDescent="0.2">
      <c r="A589" s="9" t="s">
        <v>332</v>
      </c>
      <c r="B589" s="9" t="s">
        <v>17</v>
      </c>
      <c r="C589" s="9" t="s">
        <v>36</v>
      </c>
      <c r="D589" s="9" t="s">
        <v>134</v>
      </c>
      <c r="E589" s="9" t="s">
        <v>138</v>
      </c>
      <c r="F589" s="9" t="s">
        <v>333</v>
      </c>
      <c r="G589" s="9" t="s">
        <v>188</v>
      </c>
      <c r="H589" s="10">
        <v>21353161.59</v>
      </c>
      <c r="I589" s="10">
        <v>25080251.449999999</v>
      </c>
      <c r="J589" s="10">
        <v>25235705.75</v>
      </c>
      <c r="K589" s="10">
        <v>43009886.990000002</v>
      </c>
      <c r="L589" s="10">
        <v>51935155.340000004</v>
      </c>
      <c r="M589" s="10">
        <v>50168208.869999997</v>
      </c>
      <c r="N589" s="10">
        <v>48502912.640000001</v>
      </c>
      <c r="O589" s="10">
        <v>53437041.270000003</v>
      </c>
      <c r="P589" s="10">
        <v>53205718.020000003</v>
      </c>
      <c r="Q589" s="10">
        <v>54830658.109999999</v>
      </c>
      <c r="R589" s="11">
        <f t="shared" si="0"/>
        <v>426758700.02999997</v>
      </c>
    </row>
    <row r="590" spans="1:18" ht="12.75" x14ac:dyDescent="0.2">
      <c r="A590" s="9" t="s">
        <v>332</v>
      </c>
      <c r="B590" s="9" t="s">
        <v>17</v>
      </c>
      <c r="C590" s="9" t="s">
        <v>36</v>
      </c>
      <c r="D590" s="9" t="s">
        <v>134</v>
      </c>
      <c r="E590" s="9" t="s">
        <v>138</v>
      </c>
      <c r="F590" s="9" t="s">
        <v>333</v>
      </c>
      <c r="G590" s="9" t="s">
        <v>189</v>
      </c>
      <c r="H590" s="10">
        <v>4074775.91</v>
      </c>
      <c r="I590" s="10">
        <v>5154741.72</v>
      </c>
      <c r="J590" s="10">
        <v>6443570.7699999996</v>
      </c>
      <c r="K590" s="10">
        <v>5907541.0099999998</v>
      </c>
      <c r="L590" s="10">
        <v>6050672.6699999999</v>
      </c>
      <c r="M590" s="10">
        <v>6026974.79</v>
      </c>
      <c r="N590" s="10">
        <v>6111666.4800000004</v>
      </c>
      <c r="O590" s="10">
        <v>6267374.7000000002</v>
      </c>
      <c r="P590" s="10">
        <v>6372324.5</v>
      </c>
      <c r="Q590" s="10">
        <v>6513395.8200000003</v>
      </c>
      <c r="R590" s="11">
        <f t="shared" si="0"/>
        <v>58923038.369999997</v>
      </c>
    </row>
    <row r="591" spans="1:18" ht="12.75" x14ac:dyDescent="0.2">
      <c r="A591" s="9" t="s">
        <v>332</v>
      </c>
      <c r="B591" s="9" t="s">
        <v>17</v>
      </c>
      <c r="C591" s="9" t="s">
        <v>36</v>
      </c>
      <c r="D591" s="9" t="s">
        <v>141</v>
      </c>
      <c r="E591" s="9" t="s">
        <v>207</v>
      </c>
      <c r="F591" s="9" t="s">
        <v>333</v>
      </c>
      <c r="G591" s="9" t="s">
        <v>191</v>
      </c>
      <c r="H591" s="10">
        <v>143708.57999999999</v>
      </c>
      <c r="I591" s="10">
        <v>150291.76</v>
      </c>
      <c r="J591" s="10">
        <v>220445.27</v>
      </c>
      <c r="K591" s="10">
        <v>306170.21999999997</v>
      </c>
      <c r="L591" s="10">
        <v>305645.08</v>
      </c>
      <c r="M591" s="10">
        <v>310475.01</v>
      </c>
      <c r="N591" s="10">
        <v>315726.53999999998</v>
      </c>
      <c r="O591" s="10">
        <v>323403.24</v>
      </c>
      <c r="P591" s="10">
        <v>328118.36</v>
      </c>
      <c r="Q591" s="10">
        <v>334896.33</v>
      </c>
      <c r="R591" s="11">
        <f t="shared" si="0"/>
        <v>2738880.39</v>
      </c>
    </row>
    <row r="592" spans="1:18" ht="12.75" x14ac:dyDescent="0.2">
      <c r="A592" s="9" t="s">
        <v>332</v>
      </c>
      <c r="B592" s="9" t="s">
        <v>17</v>
      </c>
      <c r="C592" s="9" t="s">
        <v>36</v>
      </c>
      <c r="D592" s="9" t="s">
        <v>141</v>
      </c>
      <c r="E592" s="9" t="s">
        <v>144</v>
      </c>
      <c r="F592" s="9" t="s">
        <v>333</v>
      </c>
      <c r="G592" s="9" t="s">
        <v>188</v>
      </c>
      <c r="H592" s="10">
        <v>5064680.95</v>
      </c>
      <c r="I592" s="10">
        <v>5948696.2199999997</v>
      </c>
      <c r="J592" s="10">
        <v>5985567.8799999999</v>
      </c>
      <c r="K592" s="10">
        <v>10201363.119999999</v>
      </c>
      <c r="L592" s="10">
        <v>12318315.99</v>
      </c>
      <c r="M592" s="10">
        <v>11899220.199999999</v>
      </c>
      <c r="N592" s="10">
        <v>11504234.470000001</v>
      </c>
      <c r="O592" s="10">
        <v>12674543</v>
      </c>
      <c r="P592" s="10">
        <v>12619676.26</v>
      </c>
      <c r="Q592" s="10">
        <v>13005090.060000001</v>
      </c>
      <c r="R592" s="11">
        <f t="shared" si="0"/>
        <v>101221388.15000001</v>
      </c>
    </row>
    <row r="593" spans="1:18" ht="12.75" x14ac:dyDescent="0.2">
      <c r="A593" s="9" t="s">
        <v>332</v>
      </c>
      <c r="B593" s="9" t="s">
        <v>17</v>
      </c>
      <c r="C593" s="9" t="s">
        <v>36</v>
      </c>
      <c r="D593" s="9" t="s">
        <v>141</v>
      </c>
      <c r="E593" s="9" t="s">
        <v>144</v>
      </c>
      <c r="F593" s="9" t="s">
        <v>333</v>
      </c>
      <c r="G593" s="9" t="s">
        <v>192</v>
      </c>
      <c r="H593" s="10">
        <v>4576829.53</v>
      </c>
      <c r="I593" s="10">
        <v>4601972.63</v>
      </c>
      <c r="J593" s="10">
        <v>5458645.6399999997</v>
      </c>
      <c r="K593" s="10">
        <v>5263754.83</v>
      </c>
      <c r="L593" s="10">
        <v>5304311.8499999996</v>
      </c>
      <c r="M593" s="10">
        <v>5342164.51</v>
      </c>
      <c r="N593" s="10">
        <v>5411415.4100000001</v>
      </c>
      <c r="O593" s="10">
        <v>5546687.4699999997</v>
      </c>
      <c r="P593" s="10">
        <v>5652885.5</v>
      </c>
      <c r="Q593" s="10">
        <v>5758897.0700000003</v>
      </c>
      <c r="R593" s="11">
        <f t="shared" si="0"/>
        <v>52917564.440000005</v>
      </c>
    </row>
    <row r="594" spans="1:18" ht="12.75" x14ac:dyDescent="0.2">
      <c r="A594" s="9" t="s">
        <v>332</v>
      </c>
      <c r="B594" s="9" t="s">
        <v>17</v>
      </c>
      <c r="C594" s="9" t="s">
        <v>36</v>
      </c>
      <c r="D594" s="9" t="s">
        <v>50</v>
      </c>
      <c r="E594" s="9" t="s">
        <v>147</v>
      </c>
      <c r="F594" s="9" t="s">
        <v>333</v>
      </c>
      <c r="G594" s="9" t="s">
        <v>188</v>
      </c>
      <c r="H594" s="10">
        <v>1410173.03</v>
      </c>
      <c r="I594" s="10">
        <v>1656311.83</v>
      </c>
      <c r="J594" s="10">
        <v>1666578.11</v>
      </c>
      <c r="K594" s="10">
        <v>2840393.56</v>
      </c>
      <c r="L594" s="10">
        <v>3429822.56</v>
      </c>
      <c r="M594" s="10">
        <v>3313132.57</v>
      </c>
      <c r="N594" s="10">
        <v>3203155.61</v>
      </c>
      <c r="O594" s="10">
        <v>3529007.83</v>
      </c>
      <c r="P594" s="10">
        <v>3513731.13</v>
      </c>
      <c r="Q594" s="10">
        <v>3621042.95</v>
      </c>
      <c r="R594" s="11">
        <f t="shared" si="0"/>
        <v>28183349.18</v>
      </c>
    </row>
    <row r="595" spans="1:18" ht="12.75" x14ac:dyDescent="0.2">
      <c r="A595" s="9" t="s">
        <v>332</v>
      </c>
      <c r="B595" s="9" t="s">
        <v>17</v>
      </c>
      <c r="C595" s="9" t="s">
        <v>36</v>
      </c>
      <c r="D595" s="9" t="s">
        <v>50</v>
      </c>
      <c r="E595" s="9" t="s">
        <v>147</v>
      </c>
      <c r="F595" s="9" t="s">
        <v>333</v>
      </c>
      <c r="G595" s="9" t="s">
        <v>189</v>
      </c>
      <c r="H595" s="10">
        <v>4087726.59</v>
      </c>
      <c r="I595" s="10">
        <v>5171124.8</v>
      </c>
      <c r="J595" s="10">
        <v>6464050.0800000001</v>
      </c>
      <c r="K595" s="10">
        <v>5926316.6900000004</v>
      </c>
      <c r="L595" s="10">
        <v>6069903.2599999998</v>
      </c>
      <c r="M595" s="10">
        <v>6046130.0599999996</v>
      </c>
      <c r="N595" s="10">
        <v>6131090.9199999999</v>
      </c>
      <c r="O595" s="10">
        <v>6287294.0199999996</v>
      </c>
      <c r="P595" s="10">
        <v>6392577.3799999999</v>
      </c>
      <c r="Q595" s="10">
        <v>6534097.0499999998</v>
      </c>
      <c r="R595" s="11">
        <f t="shared" si="0"/>
        <v>59110310.850000001</v>
      </c>
    </row>
    <row r="596" spans="1:18" ht="12.75" x14ac:dyDescent="0.2">
      <c r="A596" s="9" t="s">
        <v>332</v>
      </c>
      <c r="B596" s="9" t="s">
        <v>17</v>
      </c>
      <c r="C596" s="9" t="s">
        <v>36</v>
      </c>
      <c r="D596" s="9" t="s">
        <v>50</v>
      </c>
      <c r="E596" s="9" t="s">
        <v>147</v>
      </c>
      <c r="F596" s="9" t="s">
        <v>333</v>
      </c>
      <c r="G596" s="9" t="s">
        <v>192</v>
      </c>
      <c r="H596" s="10">
        <v>1673818.04</v>
      </c>
      <c r="I596" s="10">
        <v>1683013.26</v>
      </c>
      <c r="J596" s="10">
        <v>1996311.96</v>
      </c>
      <c r="K596" s="10">
        <v>1925037.35</v>
      </c>
      <c r="L596" s="10">
        <v>1939869.68</v>
      </c>
      <c r="M596" s="10">
        <v>1953712.99</v>
      </c>
      <c r="N596" s="10">
        <v>1979039.13</v>
      </c>
      <c r="O596" s="10">
        <v>2028510.23</v>
      </c>
      <c r="P596" s="10">
        <v>2067348.51</v>
      </c>
      <c r="Q596" s="10">
        <v>2106118.6</v>
      </c>
      <c r="R596" s="11">
        <f t="shared" si="0"/>
        <v>19352779.750000004</v>
      </c>
    </row>
    <row r="597" spans="1:18" ht="12.75" x14ac:dyDescent="0.2">
      <c r="A597" s="9" t="s">
        <v>332</v>
      </c>
      <c r="B597" s="9" t="s">
        <v>17</v>
      </c>
      <c r="C597" s="9" t="s">
        <v>36</v>
      </c>
      <c r="D597" s="9" t="s">
        <v>50</v>
      </c>
      <c r="E597" s="9" t="s">
        <v>148</v>
      </c>
      <c r="F597" s="9" t="s">
        <v>333</v>
      </c>
      <c r="G597" s="9" t="s">
        <v>188</v>
      </c>
      <c r="H597" s="10">
        <v>1261367.2</v>
      </c>
      <c r="I597" s="10">
        <v>1481532.67</v>
      </c>
      <c r="J597" s="10">
        <v>1447296.72</v>
      </c>
      <c r="K597" s="10">
        <v>2404158.3199999998</v>
      </c>
      <c r="L597" s="10">
        <v>1883667.26</v>
      </c>
      <c r="M597" s="10">
        <v>2649874.9700000002</v>
      </c>
      <c r="N597" s="10">
        <v>2492134.58</v>
      </c>
      <c r="O597" s="10">
        <v>2670871.31</v>
      </c>
      <c r="P597" s="10">
        <v>2612288.2000000002</v>
      </c>
      <c r="Q597" s="10">
        <v>2651762.5299999998</v>
      </c>
      <c r="R597" s="11">
        <f t="shared" si="0"/>
        <v>21554953.760000002</v>
      </c>
    </row>
    <row r="598" spans="1:18" ht="12.75" x14ac:dyDescent="0.2">
      <c r="A598" s="9" t="s">
        <v>332</v>
      </c>
      <c r="B598" s="9" t="s">
        <v>17</v>
      </c>
      <c r="C598" s="9" t="s">
        <v>36</v>
      </c>
      <c r="D598" s="9" t="s">
        <v>50</v>
      </c>
      <c r="E598" s="9" t="s">
        <v>148</v>
      </c>
      <c r="F598" s="9" t="s">
        <v>333</v>
      </c>
      <c r="G598" s="9" t="s">
        <v>192</v>
      </c>
      <c r="H598" s="10">
        <v>334631.65000000002</v>
      </c>
      <c r="I598" s="10">
        <v>336469.96</v>
      </c>
      <c r="J598" s="10">
        <v>399105</v>
      </c>
      <c r="K598" s="10">
        <v>384855.7</v>
      </c>
      <c r="L598" s="10">
        <v>387821</v>
      </c>
      <c r="M598" s="10">
        <v>390588.57</v>
      </c>
      <c r="N598" s="10">
        <v>395651.8</v>
      </c>
      <c r="O598" s="10">
        <v>405542.12</v>
      </c>
      <c r="P598" s="10">
        <v>413306.71</v>
      </c>
      <c r="Q598" s="10">
        <v>421057.67</v>
      </c>
      <c r="R598" s="11">
        <f t="shared" si="0"/>
        <v>3869030.1799999997</v>
      </c>
    </row>
    <row r="599" spans="1:18" ht="12.75" x14ac:dyDescent="0.2">
      <c r="A599" s="9" t="s">
        <v>332</v>
      </c>
      <c r="B599" s="9" t="s">
        <v>17</v>
      </c>
      <c r="C599" s="9" t="s">
        <v>36</v>
      </c>
      <c r="D599" s="9" t="s">
        <v>130</v>
      </c>
      <c r="E599" s="9" t="s">
        <v>149</v>
      </c>
      <c r="F599" s="9" t="s">
        <v>333</v>
      </c>
      <c r="G599" s="9" t="s">
        <v>188</v>
      </c>
      <c r="H599" s="10">
        <v>-1654699.75</v>
      </c>
      <c r="I599" s="10">
        <v>-1943519.49</v>
      </c>
      <c r="J599" s="10">
        <v>-1955565.96</v>
      </c>
      <c r="K599" s="10">
        <v>-3332923.27</v>
      </c>
      <c r="L599" s="10">
        <v>-4024560.4</v>
      </c>
      <c r="M599" s="10">
        <v>-3887636.14</v>
      </c>
      <c r="N599" s="10">
        <v>-3758588.96</v>
      </c>
      <c r="O599" s="10">
        <v>-4140944.58</v>
      </c>
      <c r="P599" s="10">
        <v>-4123018.87</v>
      </c>
      <c r="Q599" s="10">
        <v>-4248938.7699999996</v>
      </c>
      <c r="R599" s="11">
        <f t="shared" si="0"/>
        <v>-33070396.190000005</v>
      </c>
    </row>
    <row r="600" spans="1:18" ht="12.75" x14ac:dyDescent="0.2">
      <c r="A600" s="9" t="s">
        <v>332</v>
      </c>
      <c r="B600" s="9" t="s">
        <v>17</v>
      </c>
      <c r="C600" s="9" t="s">
        <v>36</v>
      </c>
      <c r="D600" s="9" t="s">
        <v>130</v>
      </c>
      <c r="E600" s="9" t="s">
        <v>149</v>
      </c>
      <c r="F600" s="9" t="s">
        <v>333</v>
      </c>
      <c r="G600" s="9" t="s">
        <v>188</v>
      </c>
      <c r="H600" s="10">
        <v>2203521.27</v>
      </c>
      <c r="I600" s="10">
        <v>2588135.13</v>
      </c>
      <c r="J600" s="10">
        <v>2604177.1</v>
      </c>
      <c r="K600" s="10">
        <v>4438368.55</v>
      </c>
      <c r="L600" s="10">
        <v>5359403.99</v>
      </c>
      <c r="M600" s="10">
        <v>5177065.46</v>
      </c>
      <c r="N600" s="10">
        <v>5005216.6399999997</v>
      </c>
      <c r="O600" s="10">
        <v>5514389.8300000001</v>
      </c>
      <c r="P600" s="10">
        <v>5490518.6200000001</v>
      </c>
      <c r="Q600" s="10">
        <v>5658202.9299999997</v>
      </c>
      <c r="R600" s="11">
        <f t="shared" si="0"/>
        <v>44038999.519999996</v>
      </c>
    </row>
    <row r="601" spans="1:18" ht="12.75" x14ac:dyDescent="0.2">
      <c r="A601" s="9" t="s">
        <v>332</v>
      </c>
      <c r="B601" s="9" t="s">
        <v>17</v>
      </c>
      <c r="C601" s="9" t="s">
        <v>36</v>
      </c>
      <c r="D601" s="9" t="s">
        <v>130</v>
      </c>
      <c r="E601" s="9" t="s">
        <v>149</v>
      </c>
      <c r="F601" s="9" t="s">
        <v>333</v>
      </c>
      <c r="G601" s="9" t="s">
        <v>189</v>
      </c>
      <c r="H601" s="10">
        <v>4074775.91</v>
      </c>
      <c r="I601" s="10">
        <v>5154741.72</v>
      </c>
      <c r="J601" s="10">
        <v>6443570.7699999996</v>
      </c>
      <c r="K601" s="10">
        <v>5907541.0099999998</v>
      </c>
      <c r="L601" s="10">
        <v>6050672.6699999999</v>
      </c>
      <c r="M601" s="10">
        <v>6026974.79</v>
      </c>
      <c r="N601" s="10">
        <v>6111666.4800000004</v>
      </c>
      <c r="O601" s="10">
        <v>6267374.7000000002</v>
      </c>
      <c r="P601" s="10">
        <v>6372324.5</v>
      </c>
      <c r="Q601" s="10">
        <v>6513395.8200000003</v>
      </c>
      <c r="R601" s="11">
        <f t="shared" si="0"/>
        <v>58923038.369999997</v>
      </c>
    </row>
    <row r="602" spans="1:18" ht="12.75" x14ac:dyDescent="0.2">
      <c r="A602" s="9" t="s">
        <v>332</v>
      </c>
      <c r="B602" s="9" t="s">
        <v>17</v>
      </c>
      <c r="C602" s="9" t="s">
        <v>36</v>
      </c>
      <c r="D602" s="9" t="s">
        <v>130</v>
      </c>
      <c r="E602" s="9" t="s">
        <v>140</v>
      </c>
      <c r="F602" s="9" t="s">
        <v>333</v>
      </c>
      <c r="G602" s="9" t="s">
        <v>188</v>
      </c>
      <c r="H602" s="10">
        <v>11209470.1</v>
      </c>
      <c r="I602" s="10">
        <v>13166028.25</v>
      </c>
      <c r="J602" s="10">
        <v>13247634.92</v>
      </c>
      <c r="K602" s="10">
        <v>22578297.850000001</v>
      </c>
      <c r="L602" s="10">
        <v>27263670.940000001</v>
      </c>
      <c r="M602" s="10">
        <v>26336101.800000001</v>
      </c>
      <c r="N602" s="10">
        <v>25461894.57</v>
      </c>
      <c r="O602" s="10">
        <v>28052094.960000001</v>
      </c>
      <c r="P602" s="10">
        <v>27930660.43</v>
      </c>
      <c r="Q602" s="10">
        <v>28783682.469999999</v>
      </c>
      <c r="R602" s="11">
        <f t="shared" si="0"/>
        <v>224029536.29000002</v>
      </c>
    </row>
    <row r="603" spans="1:18" ht="12.75" x14ac:dyDescent="0.2">
      <c r="A603" s="9" t="s">
        <v>332</v>
      </c>
      <c r="B603" s="9" t="s">
        <v>17</v>
      </c>
      <c r="C603" s="9" t="s">
        <v>36</v>
      </c>
      <c r="D603" s="9" t="s">
        <v>130</v>
      </c>
      <c r="E603" s="9" t="s">
        <v>140</v>
      </c>
      <c r="F603" s="9" t="s">
        <v>333</v>
      </c>
      <c r="G603" s="9" t="s">
        <v>189</v>
      </c>
      <c r="H603" s="10">
        <v>4074775.91</v>
      </c>
      <c r="I603" s="10">
        <v>5154741.72</v>
      </c>
      <c r="J603" s="10">
        <v>6443570.7699999996</v>
      </c>
      <c r="K603" s="10">
        <v>5907541.0099999998</v>
      </c>
      <c r="L603" s="10">
        <v>6050672.6699999999</v>
      </c>
      <c r="M603" s="10">
        <v>6026974.79</v>
      </c>
      <c r="N603" s="10">
        <v>6111666.4800000004</v>
      </c>
      <c r="O603" s="10">
        <v>6267374.7000000002</v>
      </c>
      <c r="P603" s="10">
        <v>6372324.5</v>
      </c>
      <c r="Q603" s="10">
        <v>6513395.8200000003</v>
      </c>
      <c r="R603" s="11">
        <f t="shared" si="0"/>
        <v>58923038.369999997</v>
      </c>
    </row>
    <row r="604" spans="1:18" ht="12.75" x14ac:dyDescent="0.2">
      <c r="A604" s="9" t="s">
        <v>332</v>
      </c>
      <c r="B604" s="9" t="s">
        <v>17</v>
      </c>
      <c r="C604" s="9" t="s">
        <v>36</v>
      </c>
      <c r="D604" s="9" t="s">
        <v>130</v>
      </c>
      <c r="E604" s="9" t="s">
        <v>131</v>
      </c>
      <c r="F604" s="9" t="s">
        <v>333</v>
      </c>
      <c r="G604" s="9" t="s">
        <v>189</v>
      </c>
      <c r="H604" s="10">
        <v>8163838.3099999996</v>
      </c>
      <c r="I604" s="10">
        <v>10327556.369999999</v>
      </c>
      <c r="J604" s="10">
        <v>12909733.210000001</v>
      </c>
      <c r="K604" s="10">
        <v>11835794.33</v>
      </c>
      <c r="L604" s="10">
        <v>12122559.48</v>
      </c>
      <c r="M604" s="10">
        <v>12075080.630000001</v>
      </c>
      <c r="N604" s="10">
        <v>12244760.939999999</v>
      </c>
      <c r="O604" s="10">
        <v>12556723.310000001</v>
      </c>
      <c r="P604" s="10">
        <v>12766990.890000001</v>
      </c>
      <c r="Q604" s="10">
        <v>13049628.119999999</v>
      </c>
      <c r="R604" s="11">
        <f t="shared" si="0"/>
        <v>118052665.59</v>
      </c>
    </row>
    <row r="605" spans="1:18" ht="12.75" x14ac:dyDescent="0.2">
      <c r="A605" s="9" t="s">
        <v>332</v>
      </c>
      <c r="B605" s="9" t="s">
        <v>17</v>
      </c>
      <c r="C605" s="9" t="s">
        <v>36</v>
      </c>
      <c r="D605" s="9" t="s">
        <v>19</v>
      </c>
      <c r="E605" s="9" t="s">
        <v>41</v>
      </c>
      <c r="F605" s="9" t="s">
        <v>333</v>
      </c>
      <c r="G605" s="9" t="s">
        <v>188</v>
      </c>
      <c r="H605" s="10">
        <v>24129963.780000001</v>
      </c>
      <c r="I605" s="10">
        <v>28341730.870000001</v>
      </c>
      <c r="J605" s="10">
        <v>28517400.719999999</v>
      </c>
      <c r="K605" s="9" t="s">
        <v>29</v>
      </c>
      <c r="L605" s="9" t="s">
        <v>29</v>
      </c>
      <c r="M605" s="9" t="s">
        <v>29</v>
      </c>
      <c r="N605" s="9" t="s">
        <v>29</v>
      </c>
      <c r="O605" s="9" t="s">
        <v>29</v>
      </c>
      <c r="P605" s="10">
        <v>259981.6</v>
      </c>
      <c r="Q605" s="10">
        <v>50690.45</v>
      </c>
      <c r="R605" s="11">
        <f t="shared" si="0"/>
        <v>81299767.420000002</v>
      </c>
    </row>
    <row r="606" spans="1:18" ht="12.75" x14ac:dyDescent="0.2">
      <c r="A606" s="9" t="s">
        <v>332</v>
      </c>
      <c r="B606" s="9" t="s">
        <v>17</v>
      </c>
      <c r="C606" s="9" t="s">
        <v>36</v>
      </c>
      <c r="D606" s="9" t="s">
        <v>19</v>
      </c>
      <c r="E606" s="9" t="s">
        <v>41</v>
      </c>
      <c r="F606" s="9" t="s">
        <v>333</v>
      </c>
      <c r="G606" s="9" t="s">
        <v>189</v>
      </c>
      <c r="H606" s="10">
        <v>5139515.07</v>
      </c>
      <c r="I606" s="10">
        <v>6501676</v>
      </c>
      <c r="J606" s="10">
        <v>8127276.1500000004</v>
      </c>
      <c r="K606" s="9" t="s">
        <v>29</v>
      </c>
      <c r="L606" s="9" t="s">
        <v>29</v>
      </c>
      <c r="M606" s="9" t="s">
        <v>29</v>
      </c>
      <c r="N606" s="9" t="s">
        <v>29</v>
      </c>
      <c r="O606" s="9" t="s">
        <v>29</v>
      </c>
      <c r="P606" s="9" t="s">
        <v>29</v>
      </c>
      <c r="Q606" s="9" t="s">
        <v>29</v>
      </c>
      <c r="R606" s="11">
        <f t="shared" si="0"/>
        <v>19768467.219999999</v>
      </c>
    </row>
    <row r="607" spans="1:18" ht="12.75" x14ac:dyDescent="0.2">
      <c r="A607" s="9" t="s">
        <v>332</v>
      </c>
      <c r="B607" s="9" t="s">
        <v>17</v>
      </c>
      <c r="C607" s="9" t="s">
        <v>36</v>
      </c>
      <c r="D607" s="9" t="s">
        <v>19</v>
      </c>
      <c r="E607" s="9" t="s">
        <v>42</v>
      </c>
      <c r="F607" s="9" t="s">
        <v>333</v>
      </c>
      <c r="G607" s="9" t="s">
        <v>188</v>
      </c>
      <c r="H607" s="10">
        <v>7843723.2999999998</v>
      </c>
      <c r="I607" s="10">
        <v>9212806.8200000003</v>
      </c>
      <c r="J607" s="10">
        <v>9269910.3399999999</v>
      </c>
      <c r="K607" s="10">
        <v>2028465.97</v>
      </c>
      <c r="L607" s="10">
        <v>1597639.86</v>
      </c>
      <c r="M607" s="10">
        <v>2253643.96</v>
      </c>
      <c r="N607" s="10">
        <v>2125638.25</v>
      </c>
      <c r="O607" s="10">
        <v>2277107.61</v>
      </c>
      <c r="P607" s="10">
        <v>1872809.69</v>
      </c>
      <c r="Q607" s="10">
        <v>1901109.75</v>
      </c>
      <c r="R607" s="11">
        <f t="shared" si="0"/>
        <v>40382855.549999997</v>
      </c>
    </row>
    <row r="608" spans="1:18" ht="12.75" x14ac:dyDescent="0.2">
      <c r="A608" s="9" t="s">
        <v>332</v>
      </c>
      <c r="B608" s="9" t="s">
        <v>17</v>
      </c>
      <c r="C608" s="9" t="s">
        <v>36</v>
      </c>
      <c r="D608" s="9" t="s">
        <v>19</v>
      </c>
      <c r="E608" s="9" t="s">
        <v>42</v>
      </c>
      <c r="F608" s="9" t="s">
        <v>333</v>
      </c>
      <c r="G608" s="9" t="s">
        <v>189</v>
      </c>
      <c r="H608" s="10">
        <v>-36071089.609999999</v>
      </c>
      <c r="I608" s="10">
        <v>-45631257.850000001</v>
      </c>
      <c r="J608" s="10">
        <v>-57040343.700000003</v>
      </c>
      <c r="K608" s="9" t="s">
        <v>29</v>
      </c>
      <c r="L608" s="9" t="s">
        <v>29</v>
      </c>
      <c r="M608" s="9" t="s">
        <v>29</v>
      </c>
      <c r="N608" s="9" t="s">
        <v>29</v>
      </c>
      <c r="O608" s="9" t="s">
        <v>29</v>
      </c>
      <c r="P608" s="9" t="s">
        <v>29</v>
      </c>
      <c r="Q608" s="9" t="s">
        <v>29</v>
      </c>
      <c r="R608" s="11">
        <f t="shared" si="0"/>
        <v>-138742691.16000003</v>
      </c>
    </row>
    <row r="609" spans="1:18" ht="12.75" x14ac:dyDescent="0.2">
      <c r="A609" s="9" t="s">
        <v>332</v>
      </c>
      <c r="B609" s="9" t="s">
        <v>17</v>
      </c>
      <c r="C609" s="9" t="s">
        <v>36</v>
      </c>
      <c r="D609" s="9" t="s">
        <v>19</v>
      </c>
      <c r="E609" s="9" t="s">
        <v>42</v>
      </c>
      <c r="F609" s="9" t="s">
        <v>333</v>
      </c>
      <c r="G609" s="9" t="s">
        <v>191</v>
      </c>
      <c r="H609" s="10">
        <v>6986077.0800000001</v>
      </c>
      <c r="I609" s="10">
        <v>7306103.7300000004</v>
      </c>
      <c r="J609" s="10">
        <v>10716462.310000001</v>
      </c>
      <c r="K609" s="10">
        <v>146906.09</v>
      </c>
      <c r="L609" s="9" t="s">
        <v>29</v>
      </c>
      <c r="M609" s="10">
        <v>129772.48</v>
      </c>
      <c r="N609" s="10">
        <v>166507.75</v>
      </c>
      <c r="O609" s="9" t="s">
        <v>29</v>
      </c>
      <c r="P609" s="10">
        <v>111918.56</v>
      </c>
      <c r="Q609" s="10">
        <v>25865.93</v>
      </c>
      <c r="R609" s="11">
        <f t="shared" si="0"/>
        <v>25589613.93</v>
      </c>
    </row>
    <row r="610" spans="1:18" ht="12.75" x14ac:dyDescent="0.2">
      <c r="A610" s="9" t="s">
        <v>332</v>
      </c>
      <c r="B610" s="9" t="s">
        <v>17</v>
      </c>
      <c r="C610" s="9" t="s">
        <v>36</v>
      </c>
      <c r="D610" s="9" t="s">
        <v>19</v>
      </c>
      <c r="E610" s="9" t="s">
        <v>44</v>
      </c>
      <c r="F610" s="9" t="s">
        <v>333</v>
      </c>
      <c r="G610" s="9" t="s">
        <v>188</v>
      </c>
      <c r="H610" s="10">
        <v>15412164.050000001</v>
      </c>
      <c r="I610" s="10">
        <v>18102281.859999999</v>
      </c>
      <c r="J610" s="10">
        <v>18214484.780000001</v>
      </c>
      <c r="K610" s="10">
        <v>5150477.9800000004</v>
      </c>
      <c r="L610" s="10">
        <v>1645471.44</v>
      </c>
      <c r="M610" s="10">
        <v>10900803.050000001</v>
      </c>
      <c r="N610" s="10">
        <v>37846496.390000001</v>
      </c>
      <c r="O610" s="10">
        <v>2202176.12</v>
      </c>
      <c r="P610" s="10">
        <v>13768775.48</v>
      </c>
      <c r="Q610" s="10">
        <v>9572131.25</v>
      </c>
      <c r="R610" s="11">
        <f t="shared" si="0"/>
        <v>132815262.40000001</v>
      </c>
    </row>
    <row r="611" spans="1:18" ht="12.75" x14ac:dyDescent="0.2">
      <c r="A611" s="9" t="s">
        <v>332</v>
      </c>
      <c r="B611" s="9" t="s">
        <v>17</v>
      </c>
      <c r="C611" s="9" t="s">
        <v>36</v>
      </c>
      <c r="D611" s="9" t="s">
        <v>19</v>
      </c>
      <c r="E611" s="9" t="s">
        <v>44</v>
      </c>
      <c r="F611" s="9" t="s">
        <v>333</v>
      </c>
      <c r="G611" s="9" t="s">
        <v>189</v>
      </c>
      <c r="H611" s="10">
        <v>4072974.32</v>
      </c>
      <c r="I611" s="10">
        <v>5152462.63</v>
      </c>
      <c r="J611" s="10">
        <v>6440721.8499999996</v>
      </c>
      <c r="K611" s="10">
        <v>14384.76</v>
      </c>
      <c r="L611" s="10">
        <v>317001.03000000003</v>
      </c>
      <c r="M611" s="10">
        <v>261613.61</v>
      </c>
      <c r="N611" s="10">
        <v>1384602.19</v>
      </c>
      <c r="O611" s="9" t="s">
        <v>29</v>
      </c>
      <c r="P611" s="10">
        <v>687247.83</v>
      </c>
      <c r="Q611" s="9" t="s">
        <v>29</v>
      </c>
      <c r="R611" s="11">
        <f t="shared" si="0"/>
        <v>18331008.219999995</v>
      </c>
    </row>
    <row r="612" spans="1:18" ht="12.75" x14ac:dyDescent="0.2">
      <c r="A612" s="9" t="s">
        <v>332</v>
      </c>
      <c r="B612" s="9" t="s">
        <v>17</v>
      </c>
      <c r="C612" s="9" t="s">
        <v>36</v>
      </c>
      <c r="D612" s="9" t="s">
        <v>19</v>
      </c>
      <c r="E612" s="9" t="s">
        <v>150</v>
      </c>
      <c r="F612" s="9" t="s">
        <v>333</v>
      </c>
      <c r="G612" s="9" t="s">
        <v>188</v>
      </c>
      <c r="H612" s="10">
        <v>4808850.93</v>
      </c>
      <c r="I612" s="10">
        <v>5648212.3200000003</v>
      </c>
      <c r="J612" s="10">
        <v>5683221.5</v>
      </c>
      <c r="K612" s="10">
        <v>92467.63</v>
      </c>
      <c r="L612" s="10">
        <v>72448.740000000005</v>
      </c>
      <c r="M612" s="10">
        <v>101918.27</v>
      </c>
      <c r="N612" s="10">
        <v>95851.33</v>
      </c>
      <c r="O612" s="10">
        <v>102725.82</v>
      </c>
      <c r="P612" s="10">
        <v>100472.62</v>
      </c>
      <c r="Q612" s="10">
        <v>101990.87</v>
      </c>
      <c r="R612" s="11">
        <f t="shared" si="0"/>
        <v>16808160.030000001</v>
      </c>
    </row>
    <row r="613" spans="1:18" ht="12.75" x14ac:dyDescent="0.2">
      <c r="A613" s="9" t="s">
        <v>332</v>
      </c>
      <c r="B613" s="9" t="s">
        <v>17</v>
      </c>
      <c r="C613" s="9" t="s">
        <v>36</v>
      </c>
      <c r="D613" s="9" t="s">
        <v>31</v>
      </c>
      <c r="E613" s="9" t="s">
        <v>127</v>
      </c>
      <c r="F613" s="9" t="s">
        <v>333</v>
      </c>
      <c r="G613" s="9" t="s">
        <v>188</v>
      </c>
      <c r="H613" s="10">
        <v>11737769.91</v>
      </c>
      <c r="I613" s="10">
        <v>13786540.199999999</v>
      </c>
      <c r="J613" s="10">
        <v>13741736.27</v>
      </c>
      <c r="K613" s="9" t="s">
        <v>29</v>
      </c>
      <c r="L613" s="9" t="s">
        <v>29</v>
      </c>
      <c r="M613" s="9" t="s">
        <v>29</v>
      </c>
      <c r="N613" s="9" t="s">
        <v>29</v>
      </c>
      <c r="O613" s="9" t="s">
        <v>29</v>
      </c>
      <c r="P613" s="10">
        <v>310916.77</v>
      </c>
      <c r="Q613" s="9" t="s">
        <v>29</v>
      </c>
      <c r="R613" s="11">
        <f t="shared" si="0"/>
        <v>39576963.149999999</v>
      </c>
    </row>
    <row r="614" spans="1:18" ht="12.75" x14ac:dyDescent="0.2">
      <c r="A614" s="9" t="s">
        <v>332</v>
      </c>
      <c r="B614" s="9" t="s">
        <v>17</v>
      </c>
      <c r="C614" s="9" t="s">
        <v>36</v>
      </c>
      <c r="D614" s="9" t="s">
        <v>31</v>
      </c>
      <c r="E614" s="9" t="s">
        <v>127</v>
      </c>
      <c r="F614" s="9" t="s">
        <v>333</v>
      </c>
      <c r="G614" s="9" t="s">
        <v>189</v>
      </c>
      <c r="H614" s="10">
        <v>9970196.3900000006</v>
      </c>
      <c r="I614" s="10">
        <v>12612665.9</v>
      </c>
      <c r="J614" s="10">
        <v>15766183.800000001</v>
      </c>
      <c r="K614" s="10">
        <v>3592200.38</v>
      </c>
      <c r="L614" s="10">
        <v>2461534.2200000002</v>
      </c>
      <c r="M614" s="10">
        <v>3558413.23</v>
      </c>
      <c r="N614" s="10">
        <v>3538996.39</v>
      </c>
      <c r="O614" s="10">
        <v>3679817.14</v>
      </c>
      <c r="P614" s="10">
        <v>3571890.68</v>
      </c>
      <c r="Q614" s="10">
        <v>3574035</v>
      </c>
      <c r="R614" s="11">
        <f t="shared" si="0"/>
        <v>62325933.130000003</v>
      </c>
    </row>
    <row r="615" spans="1:18" ht="12.75" x14ac:dyDescent="0.2">
      <c r="A615" s="9" t="s">
        <v>332</v>
      </c>
      <c r="B615" s="9" t="s">
        <v>17</v>
      </c>
      <c r="C615" s="9" t="s">
        <v>36</v>
      </c>
      <c r="D615" s="9" t="s">
        <v>31</v>
      </c>
      <c r="E615" s="9" t="s">
        <v>127</v>
      </c>
      <c r="F615" s="9" t="s">
        <v>333</v>
      </c>
      <c r="G615" s="9" t="s">
        <v>192</v>
      </c>
      <c r="H615" s="10">
        <v>10646836.17</v>
      </c>
      <c r="I615" s="10">
        <v>10705325.220000001</v>
      </c>
      <c r="J615" s="10">
        <v>12698158.27</v>
      </c>
      <c r="K615" s="9" t="s">
        <v>29</v>
      </c>
      <c r="L615" s="10">
        <v>152941.64000000001</v>
      </c>
      <c r="M615" s="10">
        <v>30390.47</v>
      </c>
      <c r="N615" s="10">
        <v>5724343.2999999998</v>
      </c>
      <c r="O615" s="9" t="s">
        <v>29</v>
      </c>
      <c r="P615" s="9" t="s">
        <v>29</v>
      </c>
      <c r="Q615" s="9" t="s">
        <v>29</v>
      </c>
      <c r="R615" s="11">
        <f t="shared" si="0"/>
        <v>39957995.069999993</v>
      </c>
    </row>
    <row r="616" spans="1:18" ht="12.75" x14ac:dyDescent="0.2">
      <c r="A616" s="9" t="s">
        <v>332</v>
      </c>
      <c r="B616" s="9" t="s">
        <v>17</v>
      </c>
      <c r="C616" s="9" t="s">
        <v>36</v>
      </c>
      <c r="D616" s="9" t="s">
        <v>31</v>
      </c>
      <c r="E616" s="9" t="s">
        <v>127</v>
      </c>
      <c r="F616" s="9" t="s">
        <v>333</v>
      </c>
      <c r="G616" s="9" t="s">
        <v>192</v>
      </c>
      <c r="H616" s="10">
        <v>685885.1</v>
      </c>
      <c r="I616" s="10">
        <v>689653.06</v>
      </c>
      <c r="J616" s="10">
        <v>794208.1</v>
      </c>
      <c r="K616" s="10">
        <v>93955.4</v>
      </c>
      <c r="L616" s="10">
        <v>112424.44</v>
      </c>
      <c r="M616" s="10">
        <v>141065.60000000001</v>
      </c>
      <c r="N616" s="10">
        <v>61633.89</v>
      </c>
      <c r="O616" s="10">
        <v>62057.55</v>
      </c>
      <c r="P616" s="10">
        <v>149052.39000000001</v>
      </c>
      <c r="Q616" s="10">
        <v>131112.26999999999</v>
      </c>
      <c r="R616" s="11">
        <f t="shared" si="0"/>
        <v>2921047.8000000003</v>
      </c>
    </row>
    <row r="617" spans="1:18" ht="12.75" x14ac:dyDescent="0.2">
      <c r="A617" s="9" t="s">
        <v>332</v>
      </c>
      <c r="B617" s="9" t="s">
        <v>17</v>
      </c>
      <c r="C617" s="9" t="s">
        <v>36</v>
      </c>
      <c r="D617" s="9" t="s">
        <v>31</v>
      </c>
      <c r="E617" s="9" t="s">
        <v>128</v>
      </c>
      <c r="F617" s="9" t="s">
        <v>333</v>
      </c>
      <c r="G617" s="9" t="s">
        <v>188</v>
      </c>
      <c r="H617" s="10">
        <v>7636630.8700000001</v>
      </c>
      <c r="I617" s="10">
        <v>8969567.4100000001</v>
      </c>
      <c r="J617" s="10">
        <v>9011803.5999999996</v>
      </c>
      <c r="K617" s="9" t="s">
        <v>29</v>
      </c>
      <c r="L617" s="9" t="s">
        <v>29</v>
      </c>
      <c r="M617" s="9" t="s">
        <v>29</v>
      </c>
      <c r="N617" s="9" t="s">
        <v>29</v>
      </c>
      <c r="O617" s="9" t="s">
        <v>29</v>
      </c>
      <c r="P617" s="9" t="s">
        <v>29</v>
      </c>
      <c r="Q617" s="9" t="s">
        <v>29</v>
      </c>
      <c r="R617" s="11">
        <f t="shared" si="0"/>
        <v>25618001.880000003</v>
      </c>
    </row>
    <row r="618" spans="1:18" ht="12.75" x14ac:dyDescent="0.2">
      <c r="A618" s="9" t="s">
        <v>332</v>
      </c>
      <c r="B618" s="9" t="s">
        <v>17</v>
      </c>
      <c r="C618" s="9" t="s">
        <v>36</v>
      </c>
      <c r="D618" s="9" t="s">
        <v>31</v>
      </c>
      <c r="E618" s="9" t="s">
        <v>128</v>
      </c>
      <c r="F618" s="9" t="s">
        <v>333</v>
      </c>
      <c r="G618" s="9" t="s">
        <v>189</v>
      </c>
      <c r="H618" s="10">
        <v>4074775.91</v>
      </c>
      <c r="I618" s="10">
        <v>5154741.72</v>
      </c>
      <c r="J618" s="10">
        <v>6443570.7699999996</v>
      </c>
      <c r="K618" s="10">
        <v>811982.08</v>
      </c>
      <c r="L618" s="10">
        <v>543841.49</v>
      </c>
      <c r="M618" s="10">
        <v>796634.55</v>
      </c>
      <c r="N618" s="10">
        <v>791989.16</v>
      </c>
      <c r="O618" s="10">
        <v>797806.32</v>
      </c>
      <c r="P618" s="10">
        <v>796823.11</v>
      </c>
      <c r="Q618" s="10">
        <v>802268.79</v>
      </c>
      <c r="R618" s="11">
        <f t="shared" si="0"/>
        <v>21014433.899999999</v>
      </c>
    </row>
    <row r="619" spans="1:18" ht="12.75" x14ac:dyDescent="0.2">
      <c r="A619" s="9" t="s">
        <v>332</v>
      </c>
      <c r="B619" s="9" t="s">
        <v>17</v>
      </c>
      <c r="C619" s="9" t="s">
        <v>36</v>
      </c>
      <c r="D619" s="9" t="s">
        <v>31</v>
      </c>
      <c r="E619" s="9" t="s">
        <v>128</v>
      </c>
      <c r="F619" s="9" t="s">
        <v>333</v>
      </c>
      <c r="G619" s="9" t="s">
        <v>192</v>
      </c>
      <c r="H619" s="10">
        <v>663002.27</v>
      </c>
      <c r="I619" s="10">
        <v>666644.51</v>
      </c>
      <c r="J619" s="10">
        <v>790742.68</v>
      </c>
      <c r="K619" s="9" t="s">
        <v>29</v>
      </c>
      <c r="L619" s="9" t="s">
        <v>29</v>
      </c>
      <c r="M619" s="9" t="s">
        <v>29</v>
      </c>
      <c r="N619" s="10">
        <v>56682.62</v>
      </c>
      <c r="O619" s="9" t="s">
        <v>29</v>
      </c>
      <c r="P619" s="9" t="s">
        <v>29</v>
      </c>
      <c r="Q619" s="9" t="s">
        <v>29</v>
      </c>
      <c r="R619" s="11">
        <f t="shared" si="0"/>
        <v>2177072.08</v>
      </c>
    </row>
    <row r="620" spans="1:18" ht="12.75" x14ac:dyDescent="0.2">
      <c r="A620" s="9" t="s">
        <v>332</v>
      </c>
      <c r="B620" s="9" t="s">
        <v>17</v>
      </c>
      <c r="C620" s="9" t="s">
        <v>36</v>
      </c>
      <c r="D620" s="9" t="s">
        <v>31</v>
      </c>
      <c r="E620" s="9" t="s">
        <v>129</v>
      </c>
      <c r="F620" s="9" t="s">
        <v>333</v>
      </c>
      <c r="G620" s="9" t="s">
        <v>188</v>
      </c>
      <c r="H620" s="10">
        <v>28245696.899999999</v>
      </c>
      <c r="I620" s="10">
        <v>33175845.07</v>
      </c>
      <c r="J620" s="10">
        <v>33355386.670000002</v>
      </c>
      <c r="K620" s="10">
        <v>739741.02</v>
      </c>
      <c r="L620" s="10">
        <v>579589.92000000004</v>
      </c>
      <c r="M620" s="10">
        <v>815346.15</v>
      </c>
      <c r="N620" s="10">
        <v>766810.64</v>
      </c>
      <c r="O620" s="10">
        <v>821806.56</v>
      </c>
      <c r="P620" s="10">
        <v>803780.98</v>
      </c>
      <c r="Q620" s="10">
        <v>815926.93</v>
      </c>
      <c r="R620" s="11">
        <f t="shared" si="0"/>
        <v>100119930.84000002</v>
      </c>
    </row>
    <row r="621" spans="1:18" ht="12.75" x14ac:dyDescent="0.2">
      <c r="A621" s="9" t="s">
        <v>332</v>
      </c>
      <c r="B621" s="9" t="s">
        <v>17</v>
      </c>
      <c r="C621" s="9" t="s">
        <v>36</v>
      </c>
      <c r="D621" s="9" t="s">
        <v>31</v>
      </c>
      <c r="E621" s="9" t="s">
        <v>129</v>
      </c>
      <c r="F621" s="9" t="s">
        <v>333</v>
      </c>
      <c r="G621" s="9" t="s">
        <v>189</v>
      </c>
      <c r="H621" s="10">
        <v>4074775.91</v>
      </c>
      <c r="I621" s="10">
        <v>5154741.72</v>
      </c>
      <c r="J621" s="10">
        <v>6443570.7699999996</v>
      </c>
      <c r="K621" s="10">
        <v>66474.19</v>
      </c>
      <c r="L621" s="9" t="s">
        <v>29</v>
      </c>
      <c r="M621" s="9" t="s">
        <v>29</v>
      </c>
      <c r="N621" s="10">
        <v>12994.73</v>
      </c>
      <c r="O621" s="9" t="s">
        <v>29</v>
      </c>
      <c r="P621" s="10">
        <v>12416.62</v>
      </c>
      <c r="Q621" s="9" t="s">
        <v>29</v>
      </c>
      <c r="R621" s="11">
        <f t="shared" si="0"/>
        <v>15764973.939999998</v>
      </c>
    </row>
    <row r="622" spans="1:18" ht="12.75" x14ac:dyDescent="0.2">
      <c r="A622" s="9" t="s">
        <v>332</v>
      </c>
      <c r="B622" s="9" t="s">
        <v>17</v>
      </c>
      <c r="C622" s="9" t="s">
        <v>36</v>
      </c>
      <c r="D622" s="9" t="s">
        <v>31</v>
      </c>
      <c r="E622" s="9" t="s">
        <v>32</v>
      </c>
      <c r="F622" s="9" t="s">
        <v>333</v>
      </c>
      <c r="G622" s="9" t="s">
        <v>188</v>
      </c>
      <c r="H622" s="10">
        <v>12699990.699999999</v>
      </c>
      <c r="I622" s="10">
        <v>14916711.92</v>
      </c>
      <c r="J622" s="10">
        <v>15009169.810000001</v>
      </c>
      <c r="K622" s="10">
        <v>1272354.56</v>
      </c>
      <c r="L622" s="10">
        <v>996894.67</v>
      </c>
      <c r="M622" s="10">
        <v>1402395.37</v>
      </c>
      <c r="N622" s="10">
        <v>1318914.3</v>
      </c>
      <c r="O622" s="10">
        <v>1413507.28</v>
      </c>
      <c r="P622" s="10">
        <v>1382503.29</v>
      </c>
      <c r="Q622" s="10">
        <v>1403394.32</v>
      </c>
      <c r="R622" s="11">
        <f t="shared" si="0"/>
        <v>51815836.219999999</v>
      </c>
    </row>
    <row r="623" spans="1:18" ht="12.75" x14ac:dyDescent="0.2">
      <c r="A623" s="9" t="s">
        <v>332</v>
      </c>
      <c r="B623" s="9" t="s">
        <v>17</v>
      </c>
      <c r="C623" s="9" t="s">
        <v>36</v>
      </c>
      <c r="D623" s="9" t="s">
        <v>31</v>
      </c>
      <c r="E623" s="9" t="s">
        <v>32</v>
      </c>
      <c r="F623" s="9" t="s">
        <v>333</v>
      </c>
      <c r="G623" s="9" t="s">
        <v>189</v>
      </c>
      <c r="H623" s="10">
        <v>3096838.1</v>
      </c>
      <c r="I623" s="10">
        <v>3917614.34</v>
      </c>
      <c r="J623" s="10">
        <v>4897127.08</v>
      </c>
      <c r="K623" s="9" t="s">
        <v>29</v>
      </c>
      <c r="L623" s="9" t="s">
        <v>29</v>
      </c>
      <c r="M623" s="9" t="s">
        <v>29</v>
      </c>
      <c r="N623" s="9" t="s">
        <v>29</v>
      </c>
      <c r="O623" s="9" t="s">
        <v>29</v>
      </c>
      <c r="P623" s="9" t="s">
        <v>29</v>
      </c>
      <c r="Q623" s="9" t="s">
        <v>29</v>
      </c>
      <c r="R623" s="11">
        <f t="shared" si="0"/>
        <v>11911579.52</v>
      </c>
    </row>
    <row r="624" spans="1:18" ht="12.75" x14ac:dyDescent="0.2">
      <c r="A624" s="9" t="s">
        <v>332</v>
      </c>
      <c r="B624" s="9" t="s">
        <v>17</v>
      </c>
      <c r="C624" s="9" t="s">
        <v>36</v>
      </c>
      <c r="D624" s="9" t="s">
        <v>31</v>
      </c>
      <c r="E624" s="9" t="s">
        <v>132</v>
      </c>
      <c r="F624" s="9" t="s">
        <v>333</v>
      </c>
      <c r="G624" s="9" t="s">
        <v>188</v>
      </c>
      <c r="H624" s="10">
        <v>9844186.0600000005</v>
      </c>
      <c r="I624" s="10">
        <v>11562440.57</v>
      </c>
      <c r="J624" s="10">
        <v>11547269.949999999</v>
      </c>
      <c r="K624" s="9" t="s">
        <v>29</v>
      </c>
      <c r="L624" s="9" t="s">
        <v>29</v>
      </c>
      <c r="M624" s="9" t="s">
        <v>29</v>
      </c>
      <c r="N624" s="9" t="s">
        <v>29</v>
      </c>
      <c r="O624" s="9" t="s">
        <v>29</v>
      </c>
      <c r="P624" s="9" t="s">
        <v>29</v>
      </c>
      <c r="Q624" s="9" t="s">
        <v>29</v>
      </c>
      <c r="R624" s="11">
        <f t="shared" si="0"/>
        <v>32953896.580000002</v>
      </c>
    </row>
    <row r="625" spans="1:18" ht="12.75" x14ac:dyDescent="0.2">
      <c r="A625" s="9" t="s">
        <v>332</v>
      </c>
      <c r="B625" s="9" t="s">
        <v>17</v>
      </c>
      <c r="C625" s="9" t="s">
        <v>36</v>
      </c>
      <c r="D625" s="9" t="s">
        <v>31</v>
      </c>
      <c r="E625" s="9" t="s">
        <v>132</v>
      </c>
      <c r="F625" s="9" t="s">
        <v>333</v>
      </c>
      <c r="G625" s="9" t="s">
        <v>189</v>
      </c>
      <c r="H625" s="10">
        <v>4074775.91</v>
      </c>
      <c r="I625" s="10">
        <v>5154741.72</v>
      </c>
      <c r="J625" s="10">
        <v>6443570.7699999996</v>
      </c>
      <c r="K625" s="10">
        <v>479202.54</v>
      </c>
      <c r="L625" s="10">
        <v>320955.63</v>
      </c>
      <c r="M625" s="10">
        <v>470144.98</v>
      </c>
      <c r="N625" s="10">
        <v>467403.44</v>
      </c>
      <c r="O625" s="10">
        <v>470836.52</v>
      </c>
      <c r="P625" s="10">
        <v>470256.26</v>
      </c>
      <c r="Q625" s="10">
        <v>473470.11</v>
      </c>
      <c r="R625" s="11">
        <f t="shared" si="0"/>
        <v>18825357.879999999</v>
      </c>
    </row>
    <row r="626" spans="1:18" ht="12.75" x14ac:dyDescent="0.2">
      <c r="A626" s="9" t="s">
        <v>332</v>
      </c>
      <c r="B626" s="9" t="s">
        <v>17</v>
      </c>
      <c r="C626" s="9" t="s">
        <v>36</v>
      </c>
      <c r="D626" s="9" t="s">
        <v>31</v>
      </c>
      <c r="E626" s="9" t="s">
        <v>133</v>
      </c>
      <c r="F626" s="9" t="s">
        <v>333</v>
      </c>
      <c r="G626" s="9" t="s">
        <v>188</v>
      </c>
      <c r="H626" s="10">
        <v>10551887.9</v>
      </c>
      <c r="I626" s="10">
        <v>12393668.300000001</v>
      </c>
      <c r="J626" s="10">
        <v>12383649.859999999</v>
      </c>
      <c r="K626" s="10">
        <v>17146272.199999999</v>
      </c>
      <c r="L626" s="10">
        <v>13434169.970000001</v>
      </c>
      <c r="M626" s="10">
        <v>18898704.48</v>
      </c>
      <c r="N626" s="10">
        <v>18080703.359999999</v>
      </c>
      <c r="O626" s="10">
        <v>19155634.32</v>
      </c>
      <c r="P626" s="10">
        <v>19253954.309999999</v>
      </c>
      <c r="Q626" s="10">
        <v>18990603.199999999</v>
      </c>
      <c r="R626" s="11">
        <f t="shared" si="0"/>
        <v>160289247.90000001</v>
      </c>
    </row>
    <row r="627" spans="1:18" ht="12.75" x14ac:dyDescent="0.2">
      <c r="A627" s="9" t="s">
        <v>332</v>
      </c>
      <c r="B627" s="9" t="s">
        <v>17</v>
      </c>
      <c r="C627" s="9" t="s">
        <v>36</v>
      </c>
      <c r="D627" s="9" t="s">
        <v>31</v>
      </c>
      <c r="E627" s="9" t="s">
        <v>133</v>
      </c>
      <c r="F627" s="9" t="s">
        <v>333</v>
      </c>
      <c r="G627" s="9" t="s">
        <v>189</v>
      </c>
      <c r="H627" s="10">
        <v>3640023.61</v>
      </c>
      <c r="I627" s="10">
        <v>4604764.03</v>
      </c>
      <c r="J627" s="10">
        <v>5756083.3300000001</v>
      </c>
      <c r="K627" s="10">
        <v>798670.9</v>
      </c>
      <c r="L627" s="10">
        <v>534926.05000000005</v>
      </c>
      <c r="M627" s="10">
        <v>783574.97</v>
      </c>
      <c r="N627" s="10">
        <v>779005.73</v>
      </c>
      <c r="O627" s="10">
        <v>784727.53</v>
      </c>
      <c r="P627" s="10">
        <v>783760.43</v>
      </c>
      <c r="Q627" s="10">
        <v>789116.84</v>
      </c>
      <c r="R627" s="11">
        <f t="shared" si="0"/>
        <v>19254653.420000002</v>
      </c>
    </row>
    <row r="628" spans="1:18" ht="12.75" x14ac:dyDescent="0.2">
      <c r="A628" s="9" t="s">
        <v>332</v>
      </c>
      <c r="B628" s="9" t="s">
        <v>17</v>
      </c>
      <c r="C628" s="9" t="s">
        <v>36</v>
      </c>
      <c r="D628" s="9" t="s">
        <v>31</v>
      </c>
      <c r="E628" s="9" t="s">
        <v>133</v>
      </c>
      <c r="F628" s="9" t="s">
        <v>333</v>
      </c>
      <c r="G628" s="9" t="s">
        <v>192</v>
      </c>
      <c r="H628" s="10">
        <v>8824371.4399999995</v>
      </c>
      <c r="I628" s="10">
        <v>8872848.6600000001</v>
      </c>
      <c r="J628" s="10">
        <v>10242443.84</v>
      </c>
      <c r="K628" s="10">
        <v>210538.32</v>
      </c>
      <c r="L628" s="10">
        <v>36173.25</v>
      </c>
      <c r="M628" s="10">
        <v>69898.070000000007</v>
      </c>
      <c r="N628" s="9" t="s">
        <v>29</v>
      </c>
      <c r="O628" s="10">
        <v>693506.32</v>
      </c>
      <c r="P628" s="10">
        <v>164040.91</v>
      </c>
      <c r="Q628" s="9" t="s">
        <v>29</v>
      </c>
      <c r="R628" s="11">
        <f t="shared" si="0"/>
        <v>29113820.810000002</v>
      </c>
    </row>
    <row r="629" spans="1:18" ht="12.75" x14ac:dyDescent="0.2">
      <c r="A629" s="9" t="s">
        <v>332</v>
      </c>
      <c r="B629" s="9" t="s">
        <v>17</v>
      </c>
      <c r="C629" s="9" t="s">
        <v>36</v>
      </c>
      <c r="D629" s="9" t="s">
        <v>19</v>
      </c>
      <c r="E629" s="9" t="s">
        <v>19</v>
      </c>
      <c r="F629" s="9" t="s">
        <v>333</v>
      </c>
      <c r="G629" s="9" t="s">
        <v>188</v>
      </c>
      <c r="H629" s="10">
        <v>1851074.07</v>
      </c>
      <c r="I629" s="10">
        <v>2174169.9900000002</v>
      </c>
      <c r="J629" s="10">
        <v>2187646.1</v>
      </c>
      <c r="K629" s="10">
        <v>22238938.199999999</v>
      </c>
      <c r="L629" s="10">
        <v>16141579.4</v>
      </c>
      <c r="M629" s="10">
        <v>22707390.16</v>
      </c>
      <c r="N629" s="10">
        <v>21355676.359999999</v>
      </c>
      <c r="O629" s="10">
        <v>22887312.57</v>
      </c>
      <c r="P629" s="10">
        <v>22385300.43</v>
      </c>
      <c r="Q629" s="10">
        <v>22723565.079999998</v>
      </c>
      <c r="R629" s="11">
        <f t="shared" si="0"/>
        <v>156652652.36000001</v>
      </c>
    </row>
    <row r="630" spans="1:18" ht="12.75" x14ac:dyDescent="0.2">
      <c r="A630" s="9" t="s">
        <v>332</v>
      </c>
      <c r="B630" s="9" t="s">
        <v>17</v>
      </c>
      <c r="C630" s="9" t="s">
        <v>36</v>
      </c>
      <c r="D630" s="9" t="s">
        <v>19</v>
      </c>
      <c r="E630" s="9" t="s">
        <v>19</v>
      </c>
      <c r="F630" s="9" t="s">
        <v>333</v>
      </c>
      <c r="G630" s="9" t="s">
        <v>189</v>
      </c>
      <c r="H630" s="10">
        <v>5895420.4699999997</v>
      </c>
      <c r="I630" s="10">
        <v>7457924.1900000004</v>
      </c>
      <c r="J630" s="10">
        <v>9322613.0299999993</v>
      </c>
      <c r="K630" s="9" t="s">
        <v>29</v>
      </c>
      <c r="L630" s="9" t="s">
        <v>29</v>
      </c>
      <c r="M630" s="9" t="s">
        <v>29</v>
      </c>
      <c r="N630" s="9" t="s">
        <v>29</v>
      </c>
      <c r="O630" s="9" t="s">
        <v>29</v>
      </c>
      <c r="P630" s="9" t="s">
        <v>29</v>
      </c>
      <c r="Q630" s="9" t="s">
        <v>29</v>
      </c>
      <c r="R630" s="11">
        <f t="shared" si="0"/>
        <v>22675957.689999998</v>
      </c>
    </row>
    <row r="631" spans="1:18" ht="12.75" x14ac:dyDescent="0.2">
      <c r="A631" s="9" t="s">
        <v>332</v>
      </c>
      <c r="B631" s="9" t="s">
        <v>17</v>
      </c>
      <c r="C631" s="9" t="s">
        <v>36</v>
      </c>
      <c r="D631" s="9" t="s">
        <v>31</v>
      </c>
      <c r="E631" s="9" t="s">
        <v>151</v>
      </c>
      <c r="F631" s="9" t="s">
        <v>333</v>
      </c>
      <c r="G631" s="9" t="s">
        <v>188</v>
      </c>
      <c r="H631" s="10">
        <v>2124711.5</v>
      </c>
      <c r="I631" s="10">
        <v>2495569.4900000002</v>
      </c>
      <c r="J631" s="10">
        <v>2511037.7200000002</v>
      </c>
      <c r="K631" s="10">
        <v>405008.21</v>
      </c>
      <c r="L631" s="10">
        <v>317325.48</v>
      </c>
      <c r="M631" s="10">
        <v>1433255.27</v>
      </c>
      <c r="N631" s="10">
        <v>419828.83</v>
      </c>
      <c r="O631" s="10">
        <v>449939.09</v>
      </c>
      <c r="P631" s="10">
        <v>440070.09</v>
      </c>
      <c r="Q631" s="10">
        <v>446720</v>
      </c>
      <c r="R631" s="11">
        <f t="shared" si="0"/>
        <v>11043465.68</v>
      </c>
    </row>
    <row r="632" spans="1:18" ht="12.75" x14ac:dyDescent="0.2">
      <c r="A632" s="9" t="s">
        <v>332</v>
      </c>
      <c r="B632" s="9" t="s">
        <v>17</v>
      </c>
      <c r="C632" s="9" t="s">
        <v>36</v>
      </c>
      <c r="D632" s="9" t="s">
        <v>31</v>
      </c>
      <c r="E632" s="9" t="s">
        <v>151</v>
      </c>
      <c r="F632" s="9" t="s">
        <v>333</v>
      </c>
      <c r="G632" s="9" t="s">
        <v>188</v>
      </c>
      <c r="H632" s="10">
        <v>232867.79</v>
      </c>
      <c r="I632" s="10">
        <v>273513.71999999997</v>
      </c>
      <c r="J632" s="10">
        <v>267193.24</v>
      </c>
      <c r="K632" s="9" t="s">
        <v>29</v>
      </c>
      <c r="L632" s="10">
        <v>464533.75</v>
      </c>
      <c r="M632" s="9" t="s">
        <v>29</v>
      </c>
      <c r="N632" s="9" t="s">
        <v>29</v>
      </c>
      <c r="O632" s="9" t="s">
        <v>29</v>
      </c>
      <c r="P632" s="9" t="s">
        <v>29</v>
      </c>
      <c r="Q632" s="9" t="s">
        <v>29</v>
      </c>
      <c r="R632" s="11">
        <f t="shared" si="0"/>
        <v>1238108.5</v>
      </c>
    </row>
    <row r="633" spans="1:18" ht="12.75" x14ac:dyDescent="0.2">
      <c r="A633" s="9" t="s">
        <v>332</v>
      </c>
      <c r="B633" s="9" t="s">
        <v>17</v>
      </c>
      <c r="C633" s="9" t="s">
        <v>36</v>
      </c>
      <c r="D633" s="9" t="s">
        <v>31</v>
      </c>
      <c r="E633" s="9" t="s">
        <v>151</v>
      </c>
      <c r="F633" s="9" t="s">
        <v>333</v>
      </c>
      <c r="G633" s="9" t="s">
        <v>189</v>
      </c>
      <c r="H633" s="10">
        <v>4069279.28</v>
      </c>
      <c r="I633" s="10">
        <v>5147788.28</v>
      </c>
      <c r="J633" s="10">
        <v>6434878.7800000003</v>
      </c>
      <c r="K633" s="10">
        <v>1244907.8600000001</v>
      </c>
      <c r="L633" s="9" t="s">
        <v>29</v>
      </c>
      <c r="M633" s="9" t="s">
        <v>29</v>
      </c>
      <c r="N633" s="9" t="s">
        <v>29</v>
      </c>
      <c r="O633" s="9" t="s">
        <v>29</v>
      </c>
      <c r="P633" s="9" t="s">
        <v>29</v>
      </c>
      <c r="Q633" s="9" t="s">
        <v>29</v>
      </c>
      <c r="R633" s="11">
        <f t="shared" si="0"/>
        <v>16896854.199999999</v>
      </c>
    </row>
    <row r="634" spans="1:18" ht="12.75" x14ac:dyDescent="0.2">
      <c r="A634" s="9" t="s">
        <v>332</v>
      </c>
      <c r="B634" s="9" t="s">
        <v>17</v>
      </c>
      <c r="C634" s="9" t="s">
        <v>36</v>
      </c>
      <c r="D634" s="9" t="s">
        <v>31</v>
      </c>
      <c r="E634" s="9" t="s">
        <v>151</v>
      </c>
      <c r="F634" s="9" t="s">
        <v>333</v>
      </c>
      <c r="G634" s="9" t="s">
        <v>192</v>
      </c>
      <c r="H634" s="9" t="s">
        <v>29</v>
      </c>
      <c r="I634" s="9" t="s">
        <v>29</v>
      </c>
      <c r="J634" s="9" t="s">
        <v>29</v>
      </c>
      <c r="K634" s="10">
        <v>105595.28</v>
      </c>
      <c r="L634" s="10">
        <v>69684.929999999993</v>
      </c>
      <c r="M634" s="10">
        <v>103436.76</v>
      </c>
      <c r="N634" s="10">
        <v>102723.16</v>
      </c>
      <c r="O634" s="10">
        <v>103429.26</v>
      </c>
      <c r="P634" s="10">
        <v>103545.71</v>
      </c>
      <c r="Q634" s="10">
        <v>103908.16</v>
      </c>
      <c r="R634" s="12">
        <f t="shared" si="0"/>
        <v>692323.26</v>
      </c>
    </row>
    <row r="635" spans="1:18" ht="12.75" x14ac:dyDescent="0.2">
      <c r="A635" s="9" t="s">
        <v>332</v>
      </c>
      <c r="B635" s="9" t="s">
        <v>17</v>
      </c>
      <c r="C635" s="9" t="s">
        <v>36</v>
      </c>
      <c r="D635" s="9" t="s">
        <v>31</v>
      </c>
      <c r="E635" s="9" t="s">
        <v>151</v>
      </c>
      <c r="F635" s="9" t="s">
        <v>333</v>
      </c>
      <c r="G635" s="9" t="s">
        <v>192</v>
      </c>
      <c r="H635" s="10">
        <v>536886.56000000006</v>
      </c>
      <c r="I635" s="10">
        <v>539835.98</v>
      </c>
      <c r="J635" s="10">
        <v>640328.30000000005</v>
      </c>
      <c r="K635" s="9" t="s">
        <v>29</v>
      </c>
      <c r="L635" s="9" t="s">
        <v>29</v>
      </c>
      <c r="M635" s="9" t="s">
        <v>29</v>
      </c>
      <c r="N635" s="9" t="s">
        <v>29</v>
      </c>
      <c r="O635" s="9" t="s">
        <v>29</v>
      </c>
      <c r="P635" s="9" t="s">
        <v>29</v>
      </c>
      <c r="Q635" s="9" t="s">
        <v>29</v>
      </c>
      <c r="R635" s="11">
        <f t="shared" si="0"/>
        <v>1717050.84</v>
      </c>
    </row>
    <row r="636" spans="1:18" ht="12.75" x14ac:dyDescent="0.2">
      <c r="A636" s="9" t="s">
        <v>335</v>
      </c>
      <c r="B636" s="9" t="s">
        <v>17</v>
      </c>
      <c r="C636" s="9" t="s">
        <v>36</v>
      </c>
      <c r="D636" s="9" t="s">
        <v>19</v>
      </c>
      <c r="E636" s="9" t="s">
        <v>19</v>
      </c>
      <c r="F636" s="9" t="s">
        <v>333</v>
      </c>
      <c r="G636" s="9" t="s">
        <v>189</v>
      </c>
      <c r="H636" s="10">
        <v>5846563.4100000001</v>
      </c>
      <c r="I636" s="10">
        <v>7396118.2000000002</v>
      </c>
      <c r="J636" s="10">
        <v>9245353.8200000003</v>
      </c>
      <c r="K636" s="10">
        <v>8476248.4700000007</v>
      </c>
      <c r="L636" s="10">
        <v>8681616.4100000001</v>
      </c>
      <c r="M636" s="10">
        <v>8647614.2599999998</v>
      </c>
      <c r="N636" s="10">
        <v>8769131.4499999993</v>
      </c>
      <c r="O636" s="10">
        <v>8992544.4600000009</v>
      </c>
      <c r="P636" s="10">
        <v>9143128.3800000008</v>
      </c>
      <c r="Q636" s="10">
        <v>9345540.0899999999</v>
      </c>
      <c r="R636" s="11">
        <f t="shared" si="0"/>
        <v>84543858.950000003</v>
      </c>
    </row>
    <row r="637" spans="1:18" ht="12.75" x14ac:dyDescent="0.2">
      <c r="A637" s="9" t="s">
        <v>335</v>
      </c>
      <c r="B637" s="9" t="s">
        <v>17</v>
      </c>
      <c r="C637" s="9" t="s">
        <v>36</v>
      </c>
      <c r="D637" s="9" t="s">
        <v>19</v>
      </c>
      <c r="E637" s="9" t="s">
        <v>19</v>
      </c>
      <c r="F637" s="9" t="s">
        <v>333</v>
      </c>
      <c r="G637" s="9" t="s">
        <v>192</v>
      </c>
      <c r="H637" s="10">
        <v>-9424897.6799999997</v>
      </c>
      <c r="I637" s="10">
        <v>-9476673.9299999997</v>
      </c>
      <c r="J637" s="10">
        <v>-11240789.33</v>
      </c>
      <c r="K637" s="10">
        <v>-10839457.83</v>
      </c>
      <c r="L637" s="10">
        <v>-10922975.4</v>
      </c>
      <c r="M637" s="10">
        <v>-11000924</v>
      </c>
      <c r="N637" s="10">
        <v>-11143529.85</v>
      </c>
      <c r="O637" s="10">
        <v>-11422090.66</v>
      </c>
      <c r="P637" s="10">
        <v>-11640780.369999999</v>
      </c>
      <c r="Q637" s="10">
        <v>-11859086.109999999</v>
      </c>
      <c r="R637" s="11">
        <f t="shared" si="0"/>
        <v>-108971205.16</v>
      </c>
    </row>
    <row r="638" spans="1:18" ht="12.75" x14ac:dyDescent="0.2">
      <c r="A638" s="9" t="s">
        <v>335</v>
      </c>
      <c r="B638" s="9" t="s">
        <v>17</v>
      </c>
      <c r="C638" s="9" t="s">
        <v>36</v>
      </c>
      <c r="D638" s="9" t="s">
        <v>156</v>
      </c>
      <c r="E638" s="9" t="s">
        <v>208</v>
      </c>
      <c r="F638" s="9" t="s">
        <v>333</v>
      </c>
      <c r="G638" s="9" t="s">
        <v>188</v>
      </c>
      <c r="H638" s="10">
        <v>3580544.58</v>
      </c>
      <c r="I638" s="10">
        <v>4205511.1100000003</v>
      </c>
      <c r="J638" s="10">
        <v>4231578.03</v>
      </c>
      <c r="K638" s="10">
        <v>7211991.3899999997</v>
      </c>
      <c r="L638" s="10">
        <v>8708599.8000000007</v>
      </c>
      <c r="M638" s="10">
        <v>8412314.3699999992</v>
      </c>
      <c r="N638" s="10">
        <v>8133073.8799999999</v>
      </c>
      <c r="O638" s="10">
        <v>8960439.3000000007</v>
      </c>
      <c r="P638" s="10">
        <v>8921650.5199999996</v>
      </c>
      <c r="Q638" s="10">
        <v>9194124</v>
      </c>
      <c r="R638" s="11">
        <f t="shared" si="0"/>
        <v>71559826.980000004</v>
      </c>
    </row>
    <row r="639" spans="1:18" ht="12.75" x14ac:dyDescent="0.2">
      <c r="A639" s="9" t="s">
        <v>335</v>
      </c>
      <c r="B639" s="9" t="s">
        <v>17</v>
      </c>
      <c r="C639" s="9" t="s">
        <v>36</v>
      </c>
      <c r="D639" s="9" t="s">
        <v>19</v>
      </c>
      <c r="E639" s="9" t="s">
        <v>153</v>
      </c>
      <c r="F639" s="9" t="s">
        <v>333</v>
      </c>
      <c r="G639" s="9" t="s">
        <v>188</v>
      </c>
      <c r="H639" s="10">
        <v>5062245.37</v>
      </c>
      <c r="I639" s="10">
        <v>5945835.5199999996</v>
      </c>
      <c r="J639" s="10">
        <v>5982689.4500000002</v>
      </c>
      <c r="K639" s="10">
        <v>10196457.34</v>
      </c>
      <c r="L639" s="10">
        <v>12312392.17</v>
      </c>
      <c r="M639" s="10">
        <v>11893497.92</v>
      </c>
      <c r="N639" s="10">
        <v>11498702.140000001</v>
      </c>
      <c r="O639" s="10">
        <v>12668447.880000001</v>
      </c>
      <c r="P639" s="10">
        <v>12613607.52</v>
      </c>
      <c r="Q639" s="10">
        <v>12998835.98</v>
      </c>
      <c r="R639" s="11">
        <f t="shared" si="0"/>
        <v>101172711.29000001</v>
      </c>
    </row>
    <row r="640" spans="1:18" ht="12.75" x14ac:dyDescent="0.2">
      <c r="A640" s="9" t="s">
        <v>335</v>
      </c>
      <c r="B640" s="9" t="s">
        <v>17</v>
      </c>
      <c r="C640" s="9" t="s">
        <v>36</v>
      </c>
      <c r="D640" s="9" t="s">
        <v>19</v>
      </c>
      <c r="E640" s="9" t="s">
        <v>41</v>
      </c>
      <c r="F640" s="9" t="s">
        <v>333</v>
      </c>
      <c r="G640" s="9" t="s">
        <v>188</v>
      </c>
      <c r="H640" s="10">
        <v>9366953.4499999993</v>
      </c>
      <c r="I640" s="10">
        <v>11001909.33</v>
      </c>
      <c r="J640" s="10">
        <v>11070102.189999999</v>
      </c>
      <c r="K640" s="10">
        <v>18867070.690000001</v>
      </c>
      <c r="L640" s="10">
        <v>22782302.289999999</v>
      </c>
      <c r="M640" s="10">
        <v>22007199.02</v>
      </c>
      <c r="N640" s="10">
        <v>21276686.48</v>
      </c>
      <c r="O640" s="10">
        <v>23441131.920000002</v>
      </c>
      <c r="P640" s="10">
        <v>23339657.760000002</v>
      </c>
      <c r="Q640" s="10">
        <v>24052467.350000001</v>
      </c>
      <c r="R640" s="11">
        <f t="shared" si="0"/>
        <v>187205480.47999999</v>
      </c>
    </row>
    <row r="641" spans="1:18" ht="12.75" x14ac:dyDescent="0.2">
      <c r="A641" s="9" t="s">
        <v>335</v>
      </c>
      <c r="B641" s="9" t="s">
        <v>17</v>
      </c>
      <c r="C641" s="9" t="s">
        <v>36</v>
      </c>
      <c r="D641" s="9" t="s">
        <v>19</v>
      </c>
      <c r="E641" s="9" t="s">
        <v>154</v>
      </c>
      <c r="F641" s="9" t="s">
        <v>333</v>
      </c>
      <c r="G641" s="9" t="s">
        <v>188</v>
      </c>
      <c r="H641" s="10">
        <v>8961054.4199999999</v>
      </c>
      <c r="I641" s="10">
        <v>10525162.609999999</v>
      </c>
      <c r="J641" s="10">
        <v>10590400.470000001</v>
      </c>
      <c r="K641" s="10">
        <v>18049502.23</v>
      </c>
      <c r="L641" s="10">
        <v>21795074.760000002</v>
      </c>
      <c r="M641" s="10">
        <v>21053559.109999999</v>
      </c>
      <c r="N641" s="10">
        <v>20354701.93</v>
      </c>
      <c r="O641" s="10">
        <v>22425355.27</v>
      </c>
      <c r="P641" s="10">
        <v>22328278.289999999</v>
      </c>
      <c r="Q641" s="10">
        <v>23010199.640000001</v>
      </c>
      <c r="R641" s="11">
        <f t="shared" si="0"/>
        <v>179093288.73000002</v>
      </c>
    </row>
    <row r="642" spans="1:18" ht="12.75" x14ac:dyDescent="0.2">
      <c r="A642" s="9" t="s">
        <v>335</v>
      </c>
      <c r="B642" s="9" t="s">
        <v>17</v>
      </c>
      <c r="C642" s="9" t="s">
        <v>36</v>
      </c>
      <c r="D642" s="9" t="s">
        <v>156</v>
      </c>
      <c r="E642" s="9" t="s">
        <v>209</v>
      </c>
      <c r="F642" s="9" t="s">
        <v>333</v>
      </c>
      <c r="G642" s="9" t="s">
        <v>192</v>
      </c>
      <c r="H642" s="10">
        <v>4447399.99</v>
      </c>
      <c r="I642" s="10">
        <v>4471832.0599999996</v>
      </c>
      <c r="J642" s="10">
        <v>5280685.0199999996</v>
      </c>
      <c r="K642" s="10">
        <v>5072929.63</v>
      </c>
      <c r="L642" s="10">
        <v>4854948.63</v>
      </c>
      <c r="M642" s="10">
        <v>5122376.3600000003</v>
      </c>
      <c r="N642" s="10">
        <v>5174396.8899999997</v>
      </c>
      <c r="O642" s="10">
        <v>5290711.99</v>
      </c>
      <c r="P642" s="10">
        <v>5378962.29</v>
      </c>
      <c r="Q642" s="10">
        <v>5468781</v>
      </c>
      <c r="R642" s="11">
        <f t="shared" si="0"/>
        <v>50563023.859999999</v>
      </c>
    </row>
    <row r="643" spans="1:18" ht="12.75" x14ac:dyDescent="0.2">
      <c r="A643" s="9" t="s">
        <v>335</v>
      </c>
      <c r="B643" s="9" t="s">
        <v>17</v>
      </c>
      <c r="C643" s="9" t="s">
        <v>36</v>
      </c>
      <c r="D643" s="9" t="s">
        <v>19</v>
      </c>
      <c r="E643" s="9" t="s">
        <v>42</v>
      </c>
      <c r="F643" s="9" t="s">
        <v>333</v>
      </c>
      <c r="G643" s="9" t="s">
        <v>188</v>
      </c>
      <c r="H643" s="10">
        <v>1360188.91</v>
      </c>
      <c r="I643" s="10">
        <v>1597603.23</v>
      </c>
      <c r="J643" s="10">
        <v>1607505.61</v>
      </c>
      <c r="K643" s="10">
        <v>2739714.72</v>
      </c>
      <c r="L643" s="10">
        <v>3308251.19</v>
      </c>
      <c r="M643" s="10">
        <v>3195697.32</v>
      </c>
      <c r="N643" s="10">
        <v>3089618.53</v>
      </c>
      <c r="O643" s="10">
        <v>3403920.8</v>
      </c>
      <c r="P643" s="10">
        <v>3389185.59</v>
      </c>
      <c r="Q643" s="10">
        <v>3492693.7</v>
      </c>
      <c r="R643" s="11">
        <f t="shared" si="0"/>
        <v>27184379.600000001</v>
      </c>
    </row>
    <row r="644" spans="1:18" ht="12.75" x14ac:dyDescent="0.2">
      <c r="A644" s="9" t="s">
        <v>335</v>
      </c>
      <c r="B644" s="9" t="s">
        <v>17</v>
      </c>
      <c r="C644" s="9" t="s">
        <v>36</v>
      </c>
      <c r="D644" s="9" t="s">
        <v>19</v>
      </c>
      <c r="E644" s="9" t="s">
        <v>42</v>
      </c>
      <c r="F644" s="9" t="s">
        <v>333</v>
      </c>
      <c r="G644" s="9" t="s">
        <v>191</v>
      </c>
      <c r="H644" s="10">
        <v>6523671.4699999997</v>
      </c>
      <c r="I644" s="10">
        <v>6822515.6900000004</v>
      </c>
      <c r="J644" s="10">
        <v>10007144.01</v>
      </c>
      <c r="K644" s="10">
        <v>13898640.26</v>
      </c>
      <c r="L644" s="10">
        <v>13874801.66</v>
      </c>
      <c r="M644" s="10">
        <v>14094056.800000001</v>
      </c>
      <c r="N644" s="10">
        <v>14332450.65</v>
      </c>
      <c r="O644" s="10">
        <v>14680935.640000001</v>
      </c>
      <c r="P644" s="10">
        <v>14894979.48</v>
      </c>
      <c r="Q644" s="10">
        <v>15202666.25</v>
      </c>
      <c r="R644" s="11">
        <f t="shared" si="0"/>
        <v>124331861.91000001</v>
      </c>
    </row>
    <row r="645" spans="1:18" ht="12.75" x14ac:dyDescent="0.2">
      <c r="A645" s="9" t="s">
        <v>335</v>
      </c>
      <c r="B645" s="9" t="s">
        <v>17</v>
      </c>
      <c r="C645" s="9" t="s">
        <v>36</v>
      </c>
      <c r="D645" s="9" t="s">
        <v>156</v>
      </c>
      <c r="E645" s="9" t="s">
        <v>157</v>
      </c>
      <c r="F645" s="9" t="s">
        <v>333</v>
      </c>
      <c r="G645" s="9" t="s">
        <v>188</v>
      </c>
      <c r="H645" s="10">
        <v>11509940.220000001</v>
      </c>
      <c r="I645" s="10">
        <v>13518943.960000001</v>
      </c>
      <c r="J645" s="10">
        <v>13602738.1</v>
      </c>
      <c r="K645" s="10">
        <v>23183509.670000002</v>
      </c>
      <c r="L645" s="10">
        <v>27994474.300000001</v>
      </c>
      <c r="M645" s="10">
        <v>27042041.649999999</v>
      </c>
      <c r="N645" s="10">
        <v>26144401.27</v>
      </c>
      <c r="O645" s="10">
        <v>28804032.039999999</v>
      </c>
      <c r="P645" s="10">
        <v>28679342.460000001</v>
      </c>
      <c r="Q645" s="10">
        <v>29555229.77</v>
      </c>
      <c r="R645" s="11">
        <f t="shared" si="0"/>
        <v>230034653.44000003</v>
      </c>
    </row>
    <row r="646" spans="1:18" ht="12.75" x14ac:dyDescent="0.2">
      <c r="A646" s="9" t="s">
        <v>335</v>
      </c>
      <c r="B646" s="9" t="s">
        <v>17</v>
      </c>
      <c r="C646" s="9" t="s">
        <v>36</v>
      </c>
      <c r="D646" s="9" t="s">
        <v>156</v>
      </c>
      <c r="E646" s="9" t="s">
        <v>157</v>
      </c>
      <c r="F646" s="9" t="s">
        <v>333</v>
      </c>
      <c r="G646" s="9" t="s">
        <v>189</v>
      </c>
      <c r="H646" s="10">
        <v>4041511.78</v>
      </c>
      <c r="I646" s="10">
        <v>5112661.37</v>
      </c>
      <c r="J646" s="10">
        <v>6390969.1600000001</v>
      </c>
      <c r="K646" s="10">
        <v>5859315.2400000002</v>
      </c>
      <c r="L646" s="10">
        <v>6001278.4500000002</v>
      </c>
      <c r="M646" s="10">
        <v>5977774.0300000003</v>
      </c>
      <c r="N646" s="10">
        <v>6061774.3399999999</v>
      </c>
      <c r="O646" s="10">
        <v>6216211.4500000002</v>
      </c>
      <c r="P646" s="10">
        <v>6320304.5099999998</v>
      </c>
      <c r="Q646" s="10">
        <v>6460224.1900000004</v>
      </c>
      <c r="R646" s="11">
        <f t="shared" si="0"/>
        <v>58442024.520000003</v>
      </c>
    </row>
    <row r="647" spans="1:18" ht="12.75" x14ac:dyDescent="0.2">
      <c r="A647" s="9" t="s">
        <v>335</v>
      </c>
      <c r="B647" s="9" t="s">
        <v>17</v>
      </c>
      <c r="C647" s="9" t="s">
        <v>36</v>
      </c>
      <c r="D647" s="9" t="s">
        <v>156</v>
      </c>
      <c r="E647" s="9" t="s">
        <v>210</v>
      </c>
      <c r="F647" s="9" t="s">
        <v>333</v>
      </c>
      <c r="G647" s="9" t="s">
        <v>188</v>
      </c>
      <c r="H647" s="10">
        <v>2005576.44</v>
      </c>
      <c r="I647" s="10">
        <v>2355639.9900000002</v>
      </c>
      <c r="J647" s="10">
        <v>2370240.9</v>
      </c>
      <c r="K647" s="10">
        <v>4039664.84</v>
      </c>
      <c r="L647" s="10">
        <v>4877962.62</v>
      </c>
      <c r="M647" s="10">
        <v>4712003.7699999996</v>
      </c>
      <c r="N647" s="10">
        <v>4555592.32</v>
      </c>
      <c r="O647" s="10">
        <v>5019025.9000000004</v>
      </c>
      <c r="P647" s="10">
        <v>4997299.07</v>
      </c>
      <c r="Q647" s="10">
        <v>5149920.1100000003</v>
      </c>
      <c r="R647" s="11">
        <f t="shared" si="0"/>
        <v>40082925.960000001</v>
      </c>
    </row>
    <row r="648" spans="1:18" ht="12.75" x14ac:dyDescent="0.2">
      <c r="A648" s="9" t="s">
        <v>335</v>
      </c>
      <c r="B648" s="9" t="s">
        <v>17</v>
      </c>
      <c r="C648" s="9" t="s">
        <v>36</v>
      </c>
      <c r="D648" s="9" t="s">
        <v>336</v>
      </c>
      <c r="E648" s="9" t="s">
        <v>152</v>
      </c>
      <c r="F648" s="9" t="s">
        <v>333</v>
      </c>
      <c r="G648" s="9" t="s">
        <v>188</v>
      </c>
      <c r="H648" s="10">
        <v>17963.259999999998</v>
      </c>
      <c r="I648" s="10">
        <v>21098.66</v>
      </c>
      <c r="J648" s="10">
        <v>21229.439999999999</v>
      </c>
      <c r="K648" s="10">
        <v>36181.89</v>
      </c>
      <c r="L648" s="10">
        <v>43690.239999999998</v>
      </c>
      <c r="M648" s="10">
        <v>42203.8</v>
      </c>
      <c r="N648" s="10">
        <v>40802.879999999997</v>
      </c>
      <c r="O648" s="10">
        <v>44953.7</v>
      </c>
      <c r="P648" s="10">
        <v>44759.1</v>
      </c>
      <c r="Q648" s="10">
        <v>46126.07</v>
      </c>
      <c r="R648" s="11">
        <f t="shared" si="0"/>
        <v>359009.04</v>
      </c>
    </row>
    <row r="649" spans="1:18" ht="12.75" x14ac:dyDescent="0.2">
      <c r="A649" s="9" t="s">
        <v>335</v>
      </c>
      <c r="B649" s="9" t="s">
        <v>17</v>
      </c>
      <c r="C649" s="9" t="s">
        <v>36</v>
      </c>
      <c r="D649" s="9" t="s">
        <v>336</v>
      </c>
      <c r="E649" s="9" t="s">
        <v>152</v>
      </c>
      <c r="F649" s="9" t="s">
        <v>333</v>
      </c>
      <c r="G649" s="9" t="s">
        <v>192</v>
      </c>
      <c r="H649" s="10">
        <v>117853.71</v>
      </c>
      <c r="I649" s="10">
        <v>118501.15</v>
      </c>
      <c r="J649" s="10">
        <v>140560.54</v>
      </c>
      <c r="K649" s="10">
        <v>135542.09</v>
      </c>
      <c r="L649" s="10">
        <v>136586.44</v>
      </c>
      <c r="M649" s="10">
        <v>137561.15</v>
      </c>
      <c r="N649" s="10">
        <v>139344.35999999999</v>
      </c>
      <c r="O649" s="10">
        <v>142827.63</v>
      </c>
      <c r="P649" s="10">
        <v>145562.23000000001</v>
      </c>
      <c r="Q649" s="10">
        <v>148292.04</v>
      </c>
      <c r="R649" s="11">
        <f t="shared" si="0"/>
        <v>1362631.3399999999</v>
      </c>
    </row>
    <row r="650" spans="1:18" ht="12.75" x14ac:dyDescent="0.2">
      <c r="A650" s="9" t="s">
        <v>335</v>
      </c>
      <c r="B650" s="9" t="s">
        <v>17</v>
      </c>
      <c r="C650" s="9" t="s">
        <v>36</v>
      </c>
      <c r="D650" s="9" t="s">
        <v>74</v>
      </c>
      <c r="E650" s="9" t="s">
        <v>339</v>
      </c>
      <c r="F650" s="9" t="s">
        <v>334</v>
      </c>
      <c r="G650" s="9" t="s">
        <v>192</v>
      </c>
      <c r="H650" s="10">
        <v>15474787.58</v>
      </c>
      <c r="I650" s="10">
        <v>15559799.279999999</v>
      </c>
      <c r="J650" s="10">
        <v>18456309.350000001</v>
      </c>
      <c r="K650" s="10">
        <v>17797361.109999999</v>
      </c>
      <c r="L650" s="10">
        <v>17934489.050000001</v>
      </c>
      <c r="M650" s="10">
        <v>18062473.239999998</v>
      </c>
      <c r="N650" s="10">
        <v>18296618.52</v>
      </c>
      <c r="O650" s="10">
        <v>18753988.940000001</v>
      </c>
      <c r="P650" s="10">
        <v>19113056.68</v>
      </c>
      <c r="Q650" s="10">
        <v>19471494</v>
      </c>
      <c r="R650" s="11">
        <f t="shared" si="0"/>
        <v>178920377.75</v>
      </c>
    </row>
    <row r="651" spans="1:18" ht="12.75" x14ac:dyDescent="0.2">
      <c r="A651" s="9" t="s">
        <v>335</v>
      </c>
      <c r="B651" s="9" t="s">
        <v>17</v>
      </c>
      <c r="C651" s="9" t="s">
        <v>36</v>
      </c>
      <c r="D651" s="9" t="s">
        <v>74</v>
      </c>
      <c r="E651" s="9" t="s">
        <v>340</v>
      </c>
      <c r="F651" s="9" t="s">
        <v>334</v>
      </c>
      <c r="G651" s="9" t="s">
        <v>192</v>
      </c>
      <c r="H651" s="10">
        <v>20833858.34</v>
      </c>
      <c r="I651" s="10">
        <v>20948310.41</v>
      </c>
      <c r="J651" s="10">
        <v>24847910.34</v>
      </c>
      <c r="K651" s="10">
        <v>23960761.859999999</v>
      </c>
      <c r="L651" s="10">
        <v>24145378.550000001</v>
      </c>
      <c r="M651" s="10">
        <v>24317684.93</v>
      </c>
      <c r="N651" s="10">
        <v>24632917.010000002</v>
      </c>
      <c r="O651" s="10">
        <v>25248679.289999999</v>
      </c>
      <c r="P651" s="10">
        <v>25732095.710000001</v>
      </c>
      <c r="Q651" s="10">
        <v>26214663.390000001</v>
      </c>
      <c r="R651" s="11">
        <f t="shared" si="0"/>
        <v>240882259.82999998</v>
      </c>
    </row>
    <row r="652" spans="1:18" ht="12.75" x14ac:dyDescent="0.2">
      <c r="A652" s="9" t="s">
        <v>335</v>
      </c>
      <c r="B652" s="9" t="s">
        <v>17</v>
      </c>
      <c r="C652" s="9" t="s">
        <v>36</v>
      </c>
      <c r="D652" s="9" t="s">
        <v>74</v>
      </c>
      <c r="E652" s="9" t="s">
        <v>341</v>
      </c>
      <c r="F652" s="9" t="s">
        <v>334</v>
      </c>
      <c r="G652" s="9" t="s">
        <v>192</v>
      </c>
      <c r="H652" s="10">
        <v>8376533.8600000003</v>
      </c>
      <c r="I652" s="10">
        <v>8422550.8599999994</v>
      </c>
      <c r="J652" s="10">
        <v>9990437.6300000008</v>
      </c>
      <c r="K652" s="10">
        <v>9633747.6199999992</v>
      </c>
      <c r="L652" s="10">
        <v>9707975.25</v>
      </c>
      <c r="M652" s="10">
        <v>9777253.3499999996</v>
      </c>
      <c r="N652" s="10">
        <v>9903996.6600000001</v>
      </c>
      <c r="O652" s="10">
        <v>10151572.199999999</v>
      </c>
      <c r="P652" s="10">
        <v>10345936.289999999</v>
      </c>
      <c r="Q652" s="10">
        <v>10539959.140000001</v>
      </c>
      <c r="R652" s="11">
        <f t="shared" si="0"/>
        <v>96849962.859999999</v>
      </c>
    </row>
    <row r="653" spans="1:18" ht="12.75" x14ac:dyDescent="0.2">
      <c r="A653" s="9" t="s">
        <v>335</v>
      </c>
      <c r="B653" s="9" t="s">
        <v>17</v>
      </c>
      <c r="C653" s="9" t="s">
        <v>36</v>
      </c>
      <c r="D653" s="9" t="s">
        <v>52</v>
      </c>
      <c r="E653" s="9" t="s">
        <v>342</v>
      </c>
      <c r="F653" s="9" t="s">
        <v>334</v>
      </c>
      <c r="G653" s="9" t="s">
        <v>192</v>
      </c>
      <c r="H653" s="10">
        <v>28166686.25</v>
      </c>
      <c r="I653" s="10">
        <v>28321421.670000002</v>
      </c>
      <c r="J653" s="10">
        <v>33593551.579999998</v>
      </c>
      <c r="K653" s="10">
        <v>32394156.23</v>
      </c>
      <c r="L653" s="10">
        <v>32643751.870000001</v>
      </c>
      <c r="M653" s="10">
        <v>32876704.390000001</v>
      </c>
      <c r="N653" s="10">
        <v>33302887.719999999</v>
      </c>
      <c r="O653" s="10">
        <v>34135377.920000002</v>
      </c>
      <c r="P653" s="10">
        <v>34788940.899999999</v>
      </c>
      <c r="Q653" s="10">
        <v>35441356.43</v>
      </c>
      <c r="R653" s="11">
        <f t="shared" si="0"/>
        <v>325664834.95999998</v>
      </c>
    </row>
    <row r="654" spans="1:18" ht="12.75" x14ac:dyDescent="0.2">
      <c r="A654" s="9" t="s">
        <v>335</v>
      </c>
      <c r="B654" s="9" t="s">
        <v>17</v>
      </c>
      <c r="C654" s="9" t="s">
        <v>36</v>
      </c>
      <c r="D654" s="9" t="s">
        <v>52</v>
      </c>
      <c r="E654" s="9" t="s">
        <v>193</v>
      </c>
      <c r="F654" s="9" t="s">
        <v>334</v>
      </c>
      <c r="G654" s="9" t="s">
        <v>192</v>
      </c>
      <c r="H654" s="10">
        <v>2794352.91</v>
      </c>
      <c r="I654" s="10">
        <v>2809703.86</v>
      </c>
      <c r="J654" s="10">
        <v>3255216.95</v>
      </c>
      <c r="K654" s="10">
        <v>3075849.5</v>
      </c>
      <c r="L654" s="10">
        <v>2254897.75</v>
      </c>
      <c r="M654" s="10">
        <v>3035843.71</v>
      </c>
      <c r="N654" s="10">
        <v>3027944.94</v>
      </c>
      <c r="O654" s="10">
        <v>3060816.4</v>
      </c>
      <c r="P654" s="10">
        <v>3076551.49</v>
      </c>
      <c r="Q654" s="10">
        <v>3097921.41</v>
      </c>
      <c r="R654" s="11">
        <f t="shared" si="0"/>
        <v>29489098.919999998</v>
      </c>
    </row>
    <row r="655" spans="1:18" ht="12.75" x14ac:dyDescent="0.2">
      <c r="A655" s="9" t="s">
        <v>335</v>
      </c>
      <c r="B655" s="9" t="s">
        <v>17</v>
      </c>
      <c r="C655" s="9" t="s">
        <v>36</v>
      </c>
      <c r="D655" s="9" t="s">
        <v>87</v>
      </c>
      <c r="E655" s="9" t="s">
        <v>343</v>
      </c>
      <c r="F655" s="9" t="s">
        <v>334</v>
      </c>
      <c r="G655" s="9" t="s">
        <v>192</v>
      </c>
      <c r="H655" s="10">
        <v>20918915.879999999</v>
      </c>
      <c r="I655" s="10">
        <v>21033835.23</v>
      </c>
      <c r="J655" s="10">
        <v>24949355.890000001</v>
      </c>
      <c r="K655" s="10">
        <v>24058585.489999998</v>
      </c>
      <c r="L655" s="10">
        <v>24243955.899999999</v>
      </c>
      <c r="M655" s="10">
        <v>24416965.75</v>
      </c>
      <c r="N655" s="10">
        <v>24733484.82</v>
      </c>
      <c r="O655" s="10">
        <v>25351761.050000001</v>
      </c>
      <c r="P655" s="10">
        <v>25837151.09</v>
      </c>
      <c r="Q655" s="10">
        <v>26321688.93</v>
      </c>
      <c r="R655" s="11">
        <f t="shared" si="0"/>
        <v>241865700.03</v>
      </c>
    </row>
    <row r="656" spans="1:18" ht="12.75" x14ac:dyDescent="0.2">
      <c r="A656" s="9" t="s">
        <v>335</v>
      </c>
      <c r="B656" s="9" t="s">
        <v>17</v>
      </c>
      <c r="C656" s="9" t="s">
        <v>36</v>
      </c>
      <c r="D656" s="9" t="s">
        <v>87</v>
      </c>
      <c r="E656" s="9" t="s">
        <v>350</v>
      </c>
      <c r="F656" s="9" t="s">
        <v>334</v>
      </c>
      <c r="G656" s="9" t="s">
        <v>192</v>
      </c>
      <c r="H656" s="10">
        <v>4089749.54</v>
      </c>
      <c r="I656" s="10">
        <v>4112216.83</v>
      </c>
      <c r="J656" s="10">
        <v>4877720.12</v>
      </c>
      <c r="K656" s="10">
        <v>4703570.18</v>
      </c>
      <c r="L656" s="10">
        <v>4739810.99</v>
      </c>
      <c r="M656" s="10">
        <v>4773635.26</v>
      </c>
      <c r="N656" s="10">
        <v>4835516.2699999996</v>
      </c>
      <c r="O656" s="10">
        <v>4956392.2699999996</v>
      </c>
      <c r="P656" s="10">
        <v>5051288.38</v>
      </c>
      <c r="Q656" s="10">
        <v>5146017.88</v>
      </c>
      <c r="R656" s="11">
        <f t="shared" si="0"/>
        <v>47285917.720000006</v>
      </c>
    </row>
    <row r="657" spans="1:18" ht="12.75" x14ac:dyDescent="0.2">
      <c r="A657" s="9" t="s">
        <v>335</v>
      </c>
      <c r="B657" s="9" t="s">
        <v>17</v>
      </c>
      <c r="C657" s="9" t="s">
        <v>36</v>
      </c>
      <c r="D657" s="9" t="s">
        <v>87</v>
      </c>
      <c r="E657" s="9" t="s">
        <v>344</v>
      </c>
      <c r="F657" s="9" t="s">
        <v>334</v>
      </c>
      <c r="G657" s="9" t="s">
        <v>192</v>
      </c>
      <c r="H657" s="10">
        <v>6976487.8799999999</v>
      </c>
      <c r="I657" s="10">
        <v>7014813.6399999997</v>
      </c>
      <c r="J657" s="10">
        <v>8320645.29</v>
      </c>
      <c r="K657" s="10">
        <v>8023572.1100000003</v>
      </c>
      <c r="L657" s="10">
        <v>8085393.4000000004</v>
      </c>
      <c r="M657" s="10">
        <v>8143092.4299999997</v>
      </c>
      <c r="N657" s="10">
        <v>8248651.9900000002</v>
      </c>
      <c r="O657" s="10">
        <v>8454847.9800000004</v>
      </c>
      <c r="P657" s="10">
        <v>8616726.2400000002</v>
      </c>
      <c r="Q657" s="10">
        <v>8778320.2899999991</v>
      </c>
      <c r="R657" s="11">
        <f t="shared" si="0"/>
        <v>80662551.25</v>
      </c>
    </row>
    <row r="658" spans="1:18" ht="12.75" x14ac:dyDescent="0.2">
      <c r="A658" s="9" t="s">
        <v>335</v>
      </c>
      <c r="B658" s="9" t="s">
        <v>17</v>
      </c>
      <c r="C658" s="9" t="s">
        <v>36</v>
      </c>
      <c r="D658" s="9" t="s">
        <v>87</v>
      </c>
      <c r="E658" s="9" t="s">
        <v>351</v>
      </c>
      <c r="F658" s="9" t="s">
        <v>334</v>
      </c>
      <c r="G658" s="9" t="s">
        <v>192</v>
      </c>
      <c r="H658" s="10">
        <v>218567.76</v>
      </c>
      <c r="I658" s="10">
        <v>219768.47</v>
      </c>
      <c r="J658" s="10">
        <v>260679.13</v>
      </c>
      <c r="K658" s="10">
        <v>251372.07</v>
      </c>
      <c r="L658" s="10">
        <v>253308.88</v>
      </c>
      <c r="M658" s="10">
        <v>255116.54</v>
      </c>
      <c r="N658" s="10">
        <v>258423.64</v>
      </c>
      <c r="O658" s="10">
        <v>264883.59000000003</v>
      </c>
      <c r="P658" s="10">
        <v>269955.11</v>
      </c>
      <c r="Q658" s="10">
        <v>275017.71999999997</v>
      </c>
      <c r="R658" s="11">
        <f t="shared" si="0"/>
        <v>2527092.91</v>
      </c>
    </row>
    <row r="659" spans="1:18" ht="12.75" x14ac:dyDescent="0.2">
      <c r="A659" s="9" t="s">
        <v>335</v>
      </c>
      <c r="B659" s="9" t="s">
        <v>17</v>
      </c>
      <c r="C659" s="9" t="s">
        <v>36</v>
      </c>
      <c r="D659" s="9" t="s">
        <v>87</v>
      </c>
      <c r="E659" s="9" t="s">
        <v>94</v>
      </c>
      <c r="F659" s="9" t="s">
        <v>334</v>
      </c>
      <c r="G659" s="9" t="s">
        <v>192</v>
      </c>
      <c r="H659" s="10">
        <v>2619762.65</v>
      </c>
      <c r="I659" s="10">
        <v>2634154.48</v>
      </c>
      <c r="J659" s="10">
        <v>3033506.19</v>
      </c>
      <c r="K659" s="10">
        <v>2851072.6</v>
      </c>
      <c r="L659" s="10">
        <v>1881493.12</v>
      </c>
      <c r="M659" s="10">
        <v>2792792.57</v>
      </c>
      <c r="N659" s="10">
        <v>2773525.26</v>
      </c>
      <c r="O659" s="10">
        <v>2792589.94</v>
      </c>
      <c r="P659" s="10">
        <v>2795734.23</v>
      </c>
      <c r="Q659" s="10">
        <v>2805520.21</v>
      </c>
      <c r="R659" s="11">
        <f t="shared" si="0"/>
        <v>26980151.25</v>
      </c>
    </row>
    <row r="660" spans="1:18" ht="12.75" x14ac:dyDescent="0.2">
      <c r="A660" s="9" t="s">
        <v>335</v>
      </c>
      <c r="B660" s="9" t="s">
        <v>17</v>
      </c>
      <c r="C660" s="9" t="s">
        <v>36</v>
      </c>
      <c r="D660" s="9" t="s">
        <v>112</v>
      </c>
      <c r="E660" s="9" t="s">
        <v>345</v>
      </c>
      <c r="F660" s="9" t="s">
        <v>334</v>
      </c>
      <c r="G660" s="9" t="s">
        <v>192</v>
      </c>
      <c r="H660" s="10">
        <v>7421686.2199999997</v>
      </c>
      <c r="I660" s="10">
        <v>7462457.71</v>
      </c>
      <c r="J660" s="10">
        <v>8851619.8399999999</v>
      </c>
      <c r="K660" s="10">
        <v>8535589.1999999993</v>
      </c>
      <c r="L660" s="10">
        <v>8601355.5600000005</v>
      </c>
      <c r="M660" s="10">
        <v>8662736.5999999996</v>
      </c>
      <c r="N660" s="10">
        <v>8775032.3499999996</v>
      </c>
      <c r="O660" s="10">
        <v>8994386.5500000007</v>
      </c>
      <c r="P660" s="10">
        <v>9166594.9299999997</v>
      </c>
      <c r="Q660" s="10">
        <v>9338500.9600000009</v>
      </c>
      <c r="R660" s="11">
        <f t="shared" si="0"/>
        <v>85809959.920000017</v>
      </c>
    </row>
    <row r="661" spans="1:18" ht="12.75" x14ac:dyDescent="0.2">
      <c r="A661" s="9" t="s">
        <v>335</v>
      </c>
      <c r="B661" s="9" t="s">
        <v>17</v>
      </c>
      <c r="C661" s="9" t="s">
        <v>36</v>
      </c>
      <c r="D661" s="9" t="s">
        <v>112</v>
      </c>
      <c r="E661" s="9" t="s">
        <v>346</v>
      </c>
      <c r="F661" s="9" t="s">
        <v>334</v>
      </c>
      <c r="G661" s="9" t="s">
        <v>192</v>
      </c>
      <c r="H661" s="10">
        <v>14987761.68</v>
      </c>
      <c r="I661" s="10">
        <v>15070097.869999999</v>
      </c>
      <c r="J661" s="10">
        <v>17875448.350000001</v>
      </c>
      <c r="K661" s="10">
        <v>17237238.670000002</v>
      </c>
      <c r="L661" s="10">
        <v>17370050.879999999</v>
      </c>
      <c r="M661" s="10">
        <v>17494007.129999999</v>
      </c>
      <c r="N661" s="10">
        <v>17720783.34</v>
      </c>
      <c r="O661" s="10">
        <v>18163759.300000001</v>
      </c>
      <c r="P661" s="10">
        <v>18511526.370000001</v>
      </c>
      <c r="Q661" s="10">
        <v>18858682.879999999</v>
      </c>
      <c r="R661" s="11">
        <f t="shared" si="0"/>
        <v>173289356.47</v>
      </c>
    </row>
    <row r="662" spans="1:18" ht="12.75" x14ac:dyDescent="0.2">
      <c r="A662" s="9" t="s">
        <v>335</v>
      </c>
      <c r="B662" s="9" t="s">
        <v>17</v>
      </c>
      <c r="C662" s="9" t="s">
        <v>36</v>
      </c>
      <c r="D662" s="9" t="s">
        <v>112</v>
      </c>
      <c r="E662" s="9" t="s">
        <v>352</v>
      </c>
      <c r="F662" s="9" t="s">
        <v>334</v>
      </c>
      <c r="G662" s="9" t="s">
        <v>192</v>
      </c>
      <c r="H662" s="10">
        <v>4212889.87</v>
      </c>
      <c r="I662" s="10">
        <v>4236033.6399999997</v>
      </c>
      <c r="J662" s="10">
        <v>5024585.8499999996</v>
      </c>
      <c r="K662" s="10">
        <v>4845192.34</v>
      </c>
      <c r="L662" s="10">
        <v>4882524.3499999996</v>
      </c>
      <c r="M662" s="10">
        <v>4917367.05</v>
      </c>
      <c r="N662" s="10">
        <v>4981111.2699999996</v>
      </c>
      <c r="O662" s="10">
        <v>5105626.79</v>
      </c>
      <c r="P662" s="10">
        <v>5203380.17</v>
      </c>
      <c r="Q662" s="10">
        <v>5300961.93</v>
      </c>
      <c r="R662" s="11">
        <f t="shared" si="0"/>
        <v>48709673.259999998</v>
      </c>
    </row>
    <row r="663" spans="1:18" ht="12.75" x14ac:dyDescent="0.2">
      <c r="A663" s="9" t="s">
        <v>335</v>
      </c>
      <c r="B663" s="9" t="s">
        <v>17</v>
      </c>
      <c r="C663" s="9" t="s">
        <v>36</v>
      </c>
      <c r="D663" s="9" t="s">
        <v>112</v>
      </c>
      <c r="E663" s="9" t="s">
        <v>114</v>
      </c>
      <c r="F663" s="9" t="s">
        <v>334</v>
      </c>
      <c r="G663" s="9" t="s">
        <v>192</v>
      </c>
      <c r="H663" s="10">
        <v>15964149.470000001</v>
      </c>
      <c r="I663" s="10">
        <v>16051849.5</v>
      </c>
      <c r="J663" s="10">
        <v>19011643.690000001</v>
      </c>
      <c r="K663" s="10">
        <v>18309806.260000002</v>
      </c>
      <c r="L663" s="10">
        <v>18142401.309999999</v>
      </c>
      <c r="M663" s="10">
        <v>18551207.399999999</v>
      </c>
      <c r="N663" s="10">
        <v>18774430.690000001</v>
      </c>
      <c r="O663" s="10">
        <v>19228106.73</v>
      </c>
      <c r="P663" s="10">
        <v>19580595.91</v>
      </c>
      <c r="Q663" s="10">
        <v>19934534.25</v>
      </c>
      <c r="R663" s="11">
        <f t="shared" si="0"/>
        <v>183548725.20999998</v>
      </c>
    </row>
    <row r="664" spans="1:18" ht="12.75" x14ac:dyDescent="0.2">
      <c r="A664" s="9" t="s">
        <v>335</v>
      </c>
      <c r="B664" s="9" t="s">
        <v>17</v>
      </c>
      <c r="C664" s="9" t="s">
        <v>36</v>
      </c>
      <c r="D664" s="9" t="s">
        <v>347</v>
      </c>
      <c r="E664" s="9" t="s">
        <v>215</v>
      </c>
      <c r="F664" s="9" t="s">
        <v>334</v>
      </c>
      <c r="G664" s="9" t="s">
        <v>192</v>
      </c>
      <c r="H664" s="10">
        <v>2161331.91</v>
      </c>
      <c r="I664" s="10">
        <v>2173205.3199999998</v>
      </c>
      <c r="J664" s="10">
        <v>2510343.7000000002</v>
      </c>
      <c r="K664" s="10">
        <v>2365807</v>
      </c>
      <c r="L664" s="10">
        <v>1649556.27</v>
      </c>
      <c r="M664" s="10">
        <v>2326418.75</v>
      </c>
      <c r="N664" s="10">
        <v>2315487.04</v>
      </c>
      <c r="O664" s="10">
        <v>2336133.9900000002</v>
      </c>
      <c r="P664" s="10">
        <v>2343585.63</v>
      </c>
      <c r="Q664" s="10">
        <v>2355948.06</v>
      </c>
      <c r="R664" s="11">
        <f t="shared" si="0"/>
        <v>22537817.669999994</v>
      </c>
    </row>
    <row r="665" spans="1:18" ht="12.75" x14ac:dyDescent="0.2">
      <c r="A665" s="9" t="s">
        <v>335</v>
      </c>
      <c r="B665" s="9" t="s">
        <v>17</v>
      </c>
      <c r="C665" s="9" t="s">
        <v>36</v>
      </c>
      <c r="D665" s="9" t="s">
        <v>347</v>
      </c>
      <c r="E665" s="9" t="s">
        <v>216</v>
      </c>
      <c r="F665" s="9" t="s">
        <v>334</v>
      </c>
      <c r="G665" s="9" t="s">
        <v>192</v>
      </c>
      <c r="H665" s="10">
        <v>6003279.4500000002</v>
      </c>
      <c r="I665" s="10">
        <v>6036258.8399999999</v>
      </c>
      <c r="J665" s="10">
        <v>7159929.1500000004</v>
      </c>
      <c r="K665" s="10">
        <v>6904297.1799999997</v>
      </c>
      <c r="L665" s="10">
        <v>6957494.5099999998</v>
      </c>
      <c r="M665" s="10">
        <v>7007144.6200000001</v>
      </c>
      <c r="N665" s="10">
        <v>7097978.79</v>
      </c>
      <c r="O665" s="10">
        <v>7275410.7800000003</v>
      </c>
      <c r="P665" s="10">
        <v>7414707.2999999998</v>
      </c>
      <c r="Q665" s="10">
        <v>7553759.25</v>
      </c>
      <c r="R665" s="11">
        <f t="shared" si="0"/>
        <v>69410259.86999999</v>
      </c>
    </row>
    <row r="666" spans="1:18" ht="12.75" x14ac:dyDescent="0.2">
      <c r="A666" s="9" t="s">
        <v>335</v>
      </c>
      <c r="B666" s="9" t="s">
        <v>17</v>
      </c>
      <c r="C666" s="9" t="s">
        <v>36</v>
      </c>
      <c r="D666" s="9" t="s">
        <v>347</v>
      </c>
      <c r="E666" s="9" t="s">
        <v>217</v>
      </c>
      <c r="F666" s="9" t="s">
        <v>334</v>
      </c>
      <c r="G666" s="9" t="s">
        <v>192</v>
      </c>
      <c r="H666" s="10">
        <v>224035.69</v>
      </c>
      <c r="I666" s="10">
        <v>225266.45</v>
      </c>
      <c r="J666" s="10">
        <v>267200.57</v>
      </c>
      <c r="K666" s="10">
        <v>257660.67</v>
      </c>
      <c r="L666" s="10">
        <v>259645.93</v>
      </c>
      <c r="M666" s="10">
        <v>261498.82</v>
      </c>
      <c r="N666" s="10">
        <v>264888.65000000002</v>
      </c>
      <c r="O666" s="10">
        <v>271510.21999999997</v>
      </c>
      <c r="P666" s="10">
        <v>276708.61</v>
      </c>
      <c r="Q666" s="10">
        <v>281897.87</v>
      </c>
      <c r="R666" s="11">
        <f t="shared" si="0"/>
        <v>2590313.4800000004</v>
      </c>
    </row>
    <row r="667" spans="1:18" ht="12.75" x14ac:dyDescent="0.2">
      <c r="A667" s="9" t="s">
        <v>335</v>
      </c>
      <c r="B667" s="9" t="s">
        <v>17</v>
      </c>
      <c r="C667" s="9" t="s">
        <v>36</v>
      </c>
      <c r="D667" s="9" t="s">
        <v>347</v>
      </c>
      <c r="E667" s="9" t="s">
        <v>218</v>
      </c>
      <c r="F667" s="9" t="s">
        <v>334</v>
      </c>
      <c r="G667" s="9" t="s">
        <v>192</v>
      </c>
      <c r="H667" s="10">
        <v>635760.12</v>
      </c>
      <c r="I667" s="10">
        <v>639252.69999999995</v>
      </c>
      <c r="J667" s="10">
        <v>758251.79</v>
      </c>
      <c r="K667" s="10">
        <v>731179.82</v>
      </c>
      <c r="L667" s="10">
        <v>736813.53</v>
      </c>
      <c r="M667" s="10">
        <v>742071.58</v>
      </c>
      <c r="N667" s="10">
        <v>751691.12</v>
      </c>
      <c r="O667" s="10">
        <v>770481.54</v>
      </c>
      <c r="P667" s="10">
        <v>785233.34</v>
      </c>
      <c r="Q667" s="10">
        <v>799959.24</v>
      </c>
      <c r="R667" s="11">
        <f t="shared" si="0"/>
        <v>7350694.7800000003</v>
      </c>
    </row>
    <row r="668" spans="1:18" ht="12.75" x14ac:dyDescent="0.2">
      <c r="A668" s="9" t="s">
        <v>335</v>
      </c>
      <c r="B668" s="9" t="s">
        <v>17</v>
      </c>
      <c r="C668" s="9" t="s">
        <v>36</v>
      </c>
      <c r="D668" s="9" t="s">
        <v>347</v>
      </c>
      <c r="E668" s="9" t="s">
        <v>219</v>
      </c>
      <c r="F668" s="9" t="s">
        <v>334</v>
      </c>
      <c r="G668" s="9" t="s">
        <v>192</v>
      </c>
      <c r="H668" s="10">
        <v>1508325.07</v>
      </c>
      <c r="I668" s="10">
        <v>1516611.15</v>
      </c>
      <c r="J668" s="10">
        <v>1798933.52</v>
      </c>
      <c r="K668" s="10">
        <v>1734705.94</v>
      </c>
      <c r="L668" s="10">
        <v>1748071.78</v>
      </c>
      <c r="M668" s="10">
        <v>1760546.38</v>
      </c>
      <c r="N668" s="10">
        <v>1783368.48</v>
      </c>
      <c r="O668" s="10">
        <v>1827948.3</v>
      </c>
      <c r="P668" s="10">
        <v>1862946.58</v>
      </c>
      <c r="Q668" s="10">
        <v>1897883.41</v>
      </c>
      <c r="R668" s="11">
        <f t="shared" si="0"/>
        <v>17439340.609999999</v>
      </c>
    </row>
    <row r="669" spans="1:18" ht="12.75" x14ac:dyDescent="0.2">
      <c r="A669" s="9" t="s">
        <v>335</v>
      </c>
      <c r="B669" s="9" t="s">
        <v>17</v>
      </c>
      <c r="C669" s="9" t="s">
        <v>36</v>
      </c>
      <c r="D669" s="9" t="s">
        <v>347</v>
      </c>
      <c r="E669" s="9" t="s">
        <v>220</v>
      </c>
      <c r="F669" s="9" t="s">
        <v>334</v>
      </c>
      <c r="G669" s="9" t="s">
        <v>192</v>
      </c>
      <c r="H669" s="10">
        <v>1825437.45</v>
      </c>
      <c r="I669" s="10">
        <v>1835465.6</v>
      </c>
      <c r="J669" s="10">
        <v>2177143.83</v>
      </c>
      <c r="K669" s="10">
        <v>2099412.9500000002</v>
      </c>
      <c r="L669" s="10">
        <v>2115588.84</v>
      </c>
      <c r="M669" s="10">
        <v>2130686.12</v>
      </c>
      <c r="N669" s="10">
        <v>2158306.37</v>
      </c>
      <c r="O669" s="10">
        <v>2212258.7200000002</v>
      </c>
      <c r="P669" s="10">
        <v>2254615.08</v>
      </c>
      <c r="Q669" s="10">
        <v>2296897.0699999998</v>
      </c>
      <c r="R669" s="11">
        <f t="shared" si="0"/>
        <v>21105812.030000001</v>
      </c>
    </row>
    <row r="670" spans="1:18" ht="12.75" x14ac:dyDescent="0.2">
      <c r="A670" s="9" t="s">
        <v>349</v>
      </c>
      <c r="B670" s="9" t="s">
        <v>17</v>
      </c>
      <c r="C670" s="9" t="s">
        <v>36</v>
      </c>
      <c r="D670" s="9" t="s">
        <v>238</v>
      </c>
      <c r="E670" s="9" t="s">
        <v>238</v>
      </c>
      <c r="F670" s="9" t="s">
        <v>333</v>
      </c>
      <c r="G670" s="9" t="s">
        <v>188</v>
      </c>
      <c r="H670" s="10">
        <v>7654141.7800000003</v>
      </c>
      <c r="I670" s="10">
        <v>8990134.7699999996</v>
      </c>
      <c r="J670" s="10">
        <v>9045858.0999999996</v>
      </c>
      <c r="K670" s="10">
        <v>15417097.43</v>
      </c>
      <c r="L670" s="10">
        <v>18616402.09</v>
      </c>
      <c r="M670" s="10">
        <v>17983031.77</v>
      </c>
      <c r="N670" s="10">
        <v>17386098.460000001</v>
      </c>
      <c r="O670" s="10">
        <v>19154760.210000001</v>
      </c>
      <c r="P670" s="10">
        <v>19071841.289999999</v>
      </c>
      <c r="Q670" s="10">
        <v>19654308.760000002</v>
      </c>
      <c r="R670" s="11">
        <f t="shared" si="0"/>
        <v>152973674.66</v>
      </c>
    </row>
    <row r="671" spans="1:18" ht="12.75" x14ac:dyDescent="0.2">
      <c r="A671" s="9" t="s">
        <v>349</v>
      </c>
      <c r="B671" s="9" t="s">
        <v>17</v>
      </c>
      <c r="C671" s="9" t="s">
        <v>36</v>
      </c>
      <c r="D671" s="9" t="s">
        <v>238</v>
      </c>
      <c r="E671" s="9" t="s">
        <v>238</v>
      </c>
      <c r="F671" s="9" t="s">
        <v>333</v>
      </c>
      <c r="G671" s="9" t="s">
        <v>189</v>
      </c>
      <c r="H671" s="10">
        <v>6512705.6900000004</v>
      </c>
      <c r="I671" s="10">
        <v>8238812.7400000002</v>
      </c>
      <c r="J671" s="10">
        <v>10298745.470000001</v>
      </c>
      <c r="K671" s="10">
        <v>9442010.25</v>
      </c>
      <c r="L671" s="10">
        <v>9670777.2799999993</v>
      </c>
      <c r="M671" s="10">
        <v>9632901.0099999998</v>
      </c>
      <c r="N671" s="10">
        <v>9768263.5500000007</v>
      </c>
      <c r="O671" s="10">
        <v>10017131.67</v>
      </c>
      <c r="P671" s="10">
        <v>10184872.720000001</v>
      </c>
      <c r="Q671" s="10">
        <v>10410346.699999999</v>
      </c>
      <c r="R671" s="11">
        <f t="shared" si="0"/>
        <v>94176567.079999998</v>
      </c>
    </row>
    <row r="672" spans="1:18" ht="12.75" x14ac:dyDescent="0.2">
      <c r="A672" s="9" t="s">
        <v>349</v>
      </c>
      <c r="B672" s="9" t="s">
        <v>17</v>
      </c>
      <c r="C672" s="9" t="s">
        <v>36</v>
      </c>
      <c r="D672" s="9" t="s">
        <v>238</v>
      </c>
      <c r="E672" s="9" t="s">
        <v>238</v>
      </c>
      <c r="F672" s="9" t="s">
        <v>333</v>
      </c>
      <c r="G672" s="9" t="s">
        <v>192</v>
      </c>
      <c r="H672" s="10">
        <v>30287128.899999999</v>
      </c>
      <c r="I672" s="10">
        <v>30453513.09</v>
      </c>
      <c r="J672" s="10">
        <v>36122539.149999999</v>
      </c>
      <c r="K672" s="10">
        <v>34832850.990000002</v>
      </c>
      <c r="L672" s="10">
        <v>35101236.670000002</v>
      </c>
      <c r="M672" s="10">
        <v>35351726.310000002</v>
      </c>
      <c r="N672" s="10">
        <v>35809993.549999997</v>
      </c>
      <c r="O672" s="10">
        <v>36705155.229999997</v>
      </c>
      <c r="P672" s="10">
        <v>37407919.689999998</v>
      </c>
      <c r="Q672" s="10">
        <v>38109450.32</v>
      </c>
      <c r="R672" s="11">
        <f t="shared" si="0"/>
        <v>350181513.90000004</v>
      </c>
    </row>
    <row r="673" spans="1:18" ht="12.75" x14ac:dyDescent="0.2">
      <c r="A673" s="9" t="s">
        <v>332</v>
      </c>
      <c r="B673" s="9" t="s">
        <v>17</v>
      </c>
      <c r="C673" s="9" t="s">
        <v>18</v>
      </c>
      <c r="D673" s="9" t="s">
        <v>74</v>
      </c>
      <c r="E673" s="9" t="s">
        <v>75</v>
      </c>
      <c r="F673" s="9" t="s">
        <v>334</v>
      </c>
      <c r="G673" s="9" t="s">
        <v>221</v>
      </c>
      <c r="H673" s="10">
        <v>214432.42</v>
      </c>
      <c r="I673" s="10">
        <v>1316560.1399999999</v>
      </c>
      <c r="J673" s="10">
        <v>1528481.96</v>
      </c>
      <c r="K673" s="10">
        <v>1435754.37</v>
      </c>
      <c r="L673" s="10">
        <v>1423726.89</v>
      </c>
      <c r="M673" s="10">
        <v>1450787.14</v>
      </c>
      <c r="N673" s="10">
        <v>1474021.78</v>
      </c>
      <c r="O673" s="10">
        <v>1503495.32</v>
      </c>
      <c r="P673" s="10">
        <v>1529064.69</v>
      </c>
      <c r="Q673" s="10">
        <v>1556587.86</v>
      </c>
      <c r="R673" s="11">
        <f t="shared" si="0"/>
        <v>13432912.569999998</v>
      </c>
    </row>
    <row r="674" spans="1:18" ht="12.75" x14ac:dyDescent="0.2">
      <c r="A674" s="9" t="s">
        <v>335</v>
      </c>
      <c r="B674" s="9" t="s">
        <v>17</v>
      </c>
      <c r="C674" s="9" t="s">
        <v>18</v>
      </c>
      <c r="D674" s="9" t="s">
        <v>19</v>
      </c>
      <c r="E674" s="9" t="s">
        <v>19</v>
      </c>
      <c r="F674" s="9" t="s">
        <v>333</v>
      </c>
      <c r="G674" s="9" t="s">
        <v>222</v>
      </c>
      <c r="H674" s="10">
        <v>152305.24</v>
      </c>
      <c r="I674" s="10">
        <v>962207.98</v>
      </c>
      <c r="J674" s="10">
        <v>1117091.04</v>
      </c>
      <c r="K674" s="10">
        <v>1049321.08</v>
      </c>
      <c r="L674" s="10">
        <v>1040530.8</v>
      </c>
      <c r="M674" s="10">
        <v>1060307.78</v>
      </c>
      <c r="N674" s="10">
        <v>1077288.81</v>
      </c>
      <c r="O674" s="10">
        <v>1098829.56</v>
      </c>
      <c r="P674" s="10">
        <v>1117516.93</v>
      </c>
      <c r="Q674" s="10">
        <v>1137632.24</v>
      </c>
      <c r="R674" s="11">
        <f t="shared" si="0"/>
        <v>9813031.4600000009</v>
      </c>
    </row>
    <row r="675" spans="1:18" ht="12.75" x14ac:dyDescent="0.2">
      <c r="A675" s="9" t="s">
        <v>332</v>
      </c>
      <c r="B675" s="9" t="s">
        <v>17</v>
      </c>
      <c r="C675" s="9" t="s">
        <v>18</v>
      </c>
      <c r="D675" s="9" t="s">
        <v>141</v>
      </c>
      <c r="E675" s="9" t="s">
        <v>144</v>
      </c>
      <c r="F675" s="9" t="s">
        <v>333</v>
      </c>
      <c r="G675" s="9" t="s">
        <v>223</v>
      </c>
      <c r="H675" s="10">
        <v>2645936.02</v>
      </c>
      <c r="I675" s="10">
        <v>2748582.93</v>
      </c>
      <c r="J675" s="10">
        <v>3191012.16</v>
      </c>
      <c r="K675" s="10">
        <v>2997424.74</v>
      </c>
      <c r="L675" s="10">
        <v>2972314.98</v>
      </c>
      <c r="M675" s="10">
        <v>3028808.67</v>
      </c>
      <c r="N675" s="10">
        <v>3077315.63</v>
      </c>
      <c r="O675" s="10">
        <v>3138847.56</v>
      </c>
      <c r="P675" s="10">
        <v>3192228.75</v>
      </c>
      <c r="Q675" s="10">
        <v>3249688.86</v>
      </c>
      <c r="R675" s="11">
        <f t="shared" si="0"/>
        <v>30242160.299999997</v>
      </c>
    </row>
    <row r="676" spans="1:18" ht="12.75" x14ac:dyDescent="0.2">
      <c r="A676" s="9" t="s">
        <v>332</v>
      </c>
      <c r="B676" s="9" t="s">
        <v>17</v>
      </c>
      <c r="C676" s="9" t="s">
        <v>18</v>
      </c>
      <c r="D676" s="9" t="s">
        <v>134</v>
      </c>
      <c r="E676" s="9" t="s">
        <v>138</v>
      </c>
      <c r="F676" s="9" t="s">
        <v>333</v>
      </c>
      <c r="G676" s="9" t="s">
        <v>224</v>
      </c>
      <c r="H676" s="10">
        <v>4234690.1100000003</v>
      </c>
      <c r="I676" s="10">
        <v>5848124.54</v>
      </c>
      <c r="J676" s="10">
        <v>6789475.5099999998</v>
      </c>
      <c r="K676" s="10">
        <v>6377582.0499999998</v>
      </c>
      <c r="L676" s="10">
        <v>6324156.3499999996</v>
      </c>
      <c r="M676" s="10">
        <v>6444357.25</v>
      </c>
      <c r="N676" s="10">
        <v>6547564.8700000001</v>
      </c>
      <c r="O676" s="10">
        <v>6678485.5599999996</v>
      </c>
      <c r="P676" s="10">
        <v>6792064.0199999996</v>
      </c>
      <c r="Q676" s="10">
        <v>6914321.1799999997</v>
      </c>
      <c r="R676" s="11">
        <f t="shared" si="0"/>
        <v>62950821.440000005</v>
      </c>
    </row>
    <row r="677" spans="1:18" ht="12.75" x14ac:dyDescent="0.2">
      <c r="A677" s="9" t="s">
        <v>332</v>
      </c>
      <c r="B677" s="9" t="s">
        <v>17</v>
      </c>
      <c r="C677" s="9" t="s">
        <v>18</v>
      </c>
      <c r="D677" s="9" t="s">
        <v>141</v>
      </c>
      <c r="E677" s="9" t="s">
        <v>144</v>
      </c>
      <c r="F677" s="9" t="s">
        <v>333</v>
      </c>
      <c r="G677" s="9" t="s">
        <v>225</v>
      </c>
      <c r="H677" s="10">
        <v>2774157.88</v>
      </c>
      <c r="I677" s="10">
        <v>282595.71000000002</v>
      </c>
      <c r="J677" s="10">
        <v>328084.09999999998</v>
      </c>
      <c r="K677" s="10">
        <v>308180.39</v>
      </c>
      <c r="L677" s="10">
        <v>305598.73</v>
      </c>
      <c r="M677" s="10">
        <v>311407.13</v>
      </c>
      <c r="N677" s="10">
        <v>316394.38</v>
      </c>
      <c r="O677" s="10">
        <v>322720.78999999998</v>
      </c>
      <c r="P677" s="10">
        <v>328209.18</v>
      </c>
      <c r="Q677" s="10">
        <v>334116.95</v>
      </c>
      <c r="R677" s="11">
        <f t="shared" si="0"/>
        <v>5611465.2400000002</v>
      </c>
    </row>
    <row r="678" spans="1:18" ht="12.75" x14ac:dyDescent="0.2">
      <c r="A678" s="9" t="s">
        <v>332</v>
      </c>
      <c r="B678" s="9" t="s">
        <v>17</v>
      </c>
      <c r="C678" s="9" t="s">
        <v>18</v>
      </c>
      <c r="D678" s="9" t="s">
        <v>141</v>
      </c>
      <c r="E678" s="9" t="s">
        <v>144</v>
      </c>
      <c r="F678" s="9" t="s">
        <v>333</v>
      </c>
      <c r="G678" s="9" t="s">
        <v>226</v>
      </c>
      <c r="H678" s="9">
        <v>694.72224340000002</v>
      </c>
      <c r="I678" s="10">
        <v>12891.68</v>
      </c>
      <c r="J678" s="10">
        <v>14966.81</v>
      </c>
      <c r="K678" s="10">
        <v>14058.83</v>
      </c>
      <c r="L678" s="10">
        <v>13941.05</v>
      </c>
      <c r="M678" s="10">
        <v>14206.02</v>
      </c>
      <c r="N678" s="10">
        <v>14433.53</v>
      </c>
      <c r="O678" s="10">
        <v>14722.14</v>
      </c>
      <c r="P678" s="10">
        <v>14972.51</v>
      </c>
      <c r="Q678" s="10">
        <v>15242.02</v>
      </c>
      <c r="R678" s="12">
        <f t="shared" si="0"/>
        <v>130129.3122434</v>
      </c>
    </row>
    <row r="679" spans="1:18" ht="12.75" x14ac:dyDescent="0.2">
      <c r="A679" s="9" t="s">
        <v>332</v>
      </c>
      <c r="B679" s="9" t="s">
        <v>17</v>
      </c>
      <c r="C679" s="9" t="s">
        <v>18</v>
      </c>
      <c r="D679" s="9" t="s">
        <v>141</v>
      </c>
      <c r="E679" s="9" t="s">
        <v>144</v>
      </c>
      <c r="F679" s="9" t="s">
        <v>333</v>
      </c>
      <c r="G679" s="9" t="s">
        <v>227</v>
      </c>
      <c r="H679" s="10">
        <v>873254.22</v>
      </c>
      <c r="I679" s="10">
        <v>1241313.79</v>
      </c>
      <c r="J679" s="10">
        <v>1441123.47</v>
      </c>
      <c r="K679" s="10">
        <v>1353695.61</v>
      </c>
      <c r="L679" s="10">
        <v>1342355.56</v>
      </c>
      <c r="M679" s="10">
        <v>1367869.22</v>
      </c>
      <c r="N679" s="10">
        <v>1389775.9</v>
      </c>
      <c r="O679" s="10">
        <v>1417564.93</v>
      </c>
      <c r="P679" s="10">
        <v>1441672.92</v>
      </c>
      <c r="Q679" s="10">
        <v>1467623.02</v>
      </c>
      <c r="R679" s="11">
        <f t="shared" si="0"/>
        <v>13336248.639999999</v>
      </c>
    </row>
    <row r="680" spans="1:18" ht="12.75" x14ac:dyDescent="0.2">
      <c r="A680" s="9" t="s">
        <v>332</v>
      </c>
      <c r="B680" s="9" t="s">
        <v>228</v>
      </c>
      <c r="C680" s="9" t="s">
        <v>228</v>
      </c>
      <c r="D680" s="9" t="s">
        <v>19</v>
      </c>
      <c r="E680" s="9" t="s">
        <v>23</v>
      </c>
      <c r="F680" s="9" t="s">
        <v>333</v>
      </c>
      <c r="G680" s="9" t="s">
        <v>229</v>
      </c>
      <c r="H680" s="10">
        <v>5522724.5700000003</v>
      </c>
      <c r="I680" s="10">
        <v>9881639.0399999991</v>
      </c>
      <c r="J680" s="10">
        <v>14950222.789999999</v>
      </c>
      <c r="K680" s="10">
        <v>13530460.24</v>
      </c>
      <c r="L680" s="10">
        <v>16576968.48</v>
      </c>
      <c r="M680" s="10">
        <v>16782893.440000001</v>
      </c>
      <c r="N680" s="10">
        <v>13224054.24</v>
      </c>
      <c r="O680" s="10">
        <v>16677021.310000001</v>
      </c>
      <c r="P680" s="10">
        <v>13673757.66</v>
      </c>
      <c r="Q680" s="10">
        <v>14203990.300000001</v>
      </c>
      <c r="R680" s="10">
        <f t="shared" si="0"/>
        <v>135023732.06999999</v>
      </c>
    </row>
    <row r="681" spans="1:18" ht="12.75" x14ac:dyDescent="0.2">
      <c r="A681" s="9" t="s">
        <v>332</v>
      </c>
      <c r="B681" s="9" t="s">
        <v>228</v>
      </c>
      <c r="C681" s="9" t="s">
        <v>228</v>
      </c>
      <c r="D681" s="9" t="s">
        <v>19</v>
      </c>
      <c r="E681" s="9" t="s">
        <v>23</v>
      </c>
      <c r="F681" s="9" t="s">
        <v>333</v>
      </c>
      <c r="G681" s="9" t="s">
        <v>230</v>
      </c>
      <c r="H681" s="10">
        <v>381968.82</v>
      </c>
      <c r="I681" s="10">
        <v>1634224.41</v>
      </c>
      <c r="J681" s="10">
        <v>2024043.9</v>
      </c>
      <c r="K681" s="10">
        <v>942836.27</v>
      </c>
      <c r="L681" s="10">
        <v>673292.49</v>
      </c>
      <c r="M681" s="10">
        <v>710153.82</v>
      </c>
      <c r="N681" s="10">
        <v>1007927.46</v>
      </c>
      <c r="O681" s="10">
        <v>1718952.99</v>
      </c>
      <c r="P681" s="10">
        <v>3125486.14</v>
      </c>
      <c r="Q681" s="10">
        <v>1419815.76</v>
      </c>
      <c r="R681" s="10">
        <f t="shared" si="0"/>
        <v>13638702.060000001</v>
      </c>
    </row>
    <row r="682" spans="1:18" ht="12.75" x14ac:dyDescent="0.2">
      <c r="A682" s="9" t="s">
        <v>332</v>
      </c>
      <c r="B682" s="9" t="s">
        <v>228</v>
      </c>
      <c r="C682" s="9" t="s">
        <v>228</v>
      </c>
      <c r="D682" s="9" t="s">
        <v>31</v>
      </c>
      <c r="E682" s="9" t="s">
        <v>33</v>
      </c>
      <c r="F682" s="9" t="s">
        <v>333</v>
      </c>
      <c r="G682" s="9" t="s">
        <v>229</v>
      </c>
      <c r="H682" s="10">
        <v>143019.28</v>
      </c>
      <c r="I682" s="10">
        <v>255899.94</v>
      </c>
      <c r="J682" s="10">
        <v>387158.55</v>
      </c>
      <c r="K682" s="10">
        <v>350391.66</v>
      </c>
      <c r="L682" s="10">
        <v>429285.59</v>
      </c>
      <c r="M682" s="10">
        <v>434618.32</v>
      </c>
      <c r="N682" s="10">
        <v>342456.82</v>
      </c>
      <c r="O682" s="10">
        <v>431876.61</v>
      </c>
      <c r="P682" s="10">
        <v>354102.57</v>
      </c>
      <c r="Q682" s="10">
        <v>367833.74</v>
      </c>
      <c r="R682" s="10">
        <f t="shared" si="0"/>
        <v>3496643.08</v>
      </c>
    </row>
    <row r="683" spans="1:18" ht="12.75" x14ac:dyDescent="0.2">
      <c r="A683" s="9" t="s">
        <v>332</v>
      </c>
      <c r="B683" s="9" t="s">
        <v>228</v>
      </c>
      <c r="C683" s="9" t="s">
        <v>228</v>
      </c>
      <c r="D683" s="9" t="s">
        <v>31</v>
      </c>
      <c r="E683" s="9" t="s">
        <v>33</v>
      </c>
      <c r="F683" s="9" t="s">
        <v>333</v>
      </c>
      <c r="G683" s="9" t="s">
        <v>230</v>
      </c>
      <c r="H683" s="10">
        <v>577834.02</v>
      </c>
      <c r="I683" s="10">
        <v>2472218.73</v>
      </c>
      <c r="J683" s="10">
        <v>3061929.07</v>
      </c>
      <c r="K683" s="10">
        <v>1426301.95</v>
      </c>
      <c r="L683" s="10">
        <v>1018542.06</v>
      </c>
      <c r="M683" s="10">
        <v>1074305.07</v>
      </c>
      <c r="N683" s="10">
        <v>1524770.48</v>
      </c>
      <c r="O683" s="10">
        <v>2600394.2599999998</v>
      </c>
      <c r="P683" s="10">
        <v>4728166.6500000004</v>
      </c>
      <c r="Q683" s="10">
        <v>2147866.04</v>
      </c>
      <c r="R683" s="10">
        <f t="shared" si="0"/>
        <v>20632328.329999998</v>
      </c>
    </row>
    <row r="684" spans="1:18" ht="12.75" x14ac:dyDescent="0.2">
      <c r="A684" s="9" t="s">
        <v>332</v>
      </c>
      <c r="B684" s="9" t="s">
        <v>228</v>
      </c>
      <c r="C684" s="9" t="s">
        <v>228</v>
      </c>
      <c r="D684" s="9" t="s">
        <v>31</v>
      </c>
      <c r="E684" s="9" t="s">
        <v>35</v>
      </c>
      <c r="F684" s="9" t="s">
        <v>333</v>
      </c>
      <c r="G684" s="9" t="s">
        <v>229</v>
      </c>
      <c r="H684" s="10">
        <v>1453195.85</v>
      </c>
      <c r="I684" s="10">
        <v>2600158.08</v>
      </c>
      <c r="J684" s="10">
        <v>3933855.75</v>
      </c>
      <c r="K684" s="10">
        <v>3560273.28</v>
      </c>
      <c r="L684" s="10">
        <v>4361901.7300000004</v>
      </c>
      <c r="M684" s="10">
        <v>4416086.82</v>
      </c>
      <c r="N684" s="10">
        <v>3479648.6</v>
      </c>
      <c r="O684" s="10">
        <v>4388228.66</v>
      </c>
      <c r="P684" s="10">
        <v>3597979.17</v>
      </c>
      <c r="Q684" s="10">
        <v>3737499.41</v>
      </c>
      <c r="R684" s="10">
        <f t="shared" si="0"/>
        <v>35528827.349999994</v>
      </c>
    </row>
    <row r="685" spans="1:18" ht="12.75" x14ac:dyDescent="0.2">
      <c r="A685" s="9" t="s">
        <v>332</v>
      </c>
      <c r="B685" s="9" t="s">
        <v>228</v>
      </c>
      <c r="C685" s="9" t="s">
        <v>228</v>
      </c>
      <c r="D685" s="9" t="s">
        <v>31</v>
      </c>
      <c r="E685" s="9" t="s">
        <v>35</v>
      </c>
      <c r="F685" s="9" t="s">
        <v>333</v>
      </c>
      <c r="G685" s="9" t="s">
        <v>231</v>
      </c>
      <c r="H685" s="10">
        <v>0</v>
      </c>
      <c r="I685" s="10">
        <v>0</v>
      </c>
      <c r="J685" s="10">
        <v>3879546.24</v>
      </c>
      <c r="K685" s="10">
        <v>499005.05</v>
      </c>
      <c r="L685" s="10">
        <v>437828.38</v>
      </c>
      <c r="M685" s="10">
        <v>437828.38</v>
      </c>
      <c r="N685" s="10">
        <v>437828.38</v>
      </c>
      <c r="O685" s="10">
        <v>595350.02</v>
      </c>
      <c r="P685" s="10">
        <v>437828.38</v>
      </c>
      <c r="Q685" s="10">
        <v>1155099.6100000001</v>
      </c>
      <c r="R685" s="10">
        <f t="shared" si="0"/>
        <v>7880314.4399999995</v>
      </c>
    </row>
    <row r="686" spans="1:18" ht="12.75" x14ac:dyDescent="0.2">
      <c r="A686" s="9" t="s">
        <v>332</v>
      </c>
      <c r="B686" s="9" t="s">
        <v>228</v>
      </c>
      <c r="C686" s="9" t="s">
        <v>228</v>
      </c>
      <c r="D686" s="9" t="s">
        <v>19</v>
      </c>
      <c r="E686" s="9" t="s">
        <v>39</v>
      </c>
      <c r="F686" s="9" t="s">
        <v>333</v>
      </c>
      <c r="G686" s="9" t="s">
        <v>229</v>
      </c>
      <c r="H686" s="10">
        <v>17090.54</v>
      </c>
      <c r="I686" s="10">
        <v>30579.57</v>
      </c>
      <c r="J686" s="10">
        <v>46264.73</v>
      </c>
      <c r="K686" s="10">
        <v>41871.15</v>
      </c>
      <c r="L686" s="10">
        <v>51298.83</v>
      </c>
      <c r="M686" s="10">
        <v>51936.08</v>
      </c>
      <c r="N686" s="10">
        <v>40922.949999999997</v>
      </c>
      <c r="O686" s="10">
        <v>51608.45</v>
      </c>
      <c r="P686" s="10">
        <v>42314.6</v>
      </c>
      <c r="Q686" s="10">
        <v>43955.45</v>
      </c>
      <c r="R686" s="10">
        <f t="shared" si="0"/>
        <v>417842.35000000003</v>
      </c>
    </row>
    <row r="687" spans="1:18" ht="12.75" x14ac:dyDescent="0.2">
      <c r="A687" s="9" t="s">
        <v>332</v>
      </c>
      <c r="B687" s="9" t="s">
        <v>228</v>
      </c>
      <c r="C687" s="9" t="s">
        <v>228</v>
      </c>
      <c r="D687" s="9" t="s">
        <v>19</v>
      </c>
      <c r="E687" s="9" t="s">
        <v>40</v>
      </c>
      <c r="F687" s="9" t="s">
        <v>333</v>
      </c>
      <c r="G687" s="9" t="s">
        <v>232</v>
      </c>
      <c r="H687" s="10">
        <v>0</v>
      </c>
      <c r="I687" s="10">
        <v>2325.41</v>
      </c>
      <c r="J687" s="10">
        <v>24439.42</v>
      </c>
      <c r="K687" s="10">
        <v>24439.42</v>
      </c>
      <c r="L687" s="10">
        <v>24439.42</v>
      </c>
      <c r="M687" s="10">
        <v>24439.42</v>
      </c>
      <c r="N687" s="10">
        <v>24439.42</v>
      </c>
      <c r="O687" s="10">
        <v>25390.92</v>
      </c>
      <c r="P687" s="10">
        <v>24439.42</v>
      </c>
      <c r="Q687" s="10">
        <v>24439.42</v>
      </c>
      <c r="R687" s="10">
        <f t="shared" si="0"/>
        <v>198792.26999999996</v>
      </c>
    </row>
    <row r="688" spans="1:18" ht="12.75" x14ac:dyDescent="0.2">
      <c r="A688" s="9" t="s">
        <v>332</v>
      </c>
      <c r="B688" s="9" t="s">
        <v>228</v>
      </c>
      <c r="C688" s="9" t="s">
        <v>228</v>
      </c>
      <c r="D688" s="9" t="s">
        <v>19</v>
      </c>
      <c r="E688" s="9" t="s">
        <v>41</v>
      </c>
      <c r="F688" s="9" t="s">
        <v>333</v>
      </c>
      <c r="G688" s="9" t="s">
        <v>229</v>
      </c>
      <c r="H688" s="10">
        <v>325439.65000000002</v>
      </c>
      <c r="I688" s="10">
        <v>582299.02</v>
      </c>
      <c r="J688" s="10">
        <v>880977.34</v>
      </c>
      <c r="K688" s="10">
        <v>797314.46</v>
      </c>
      <c r="L688" s="10">
        <v>976837.19</v>
      </c>
      <c r="M688" s="10">
        <v>988971.8</v>
      </c>
      <c r="N688" s="10">
        <v>779258.76</v>
      </c>
      <c r="O688" s="10">
        <v>982733.04</v>
      </c>
      <c r="P688" s="10">
        <v>805758.6</v>
      </c>
      <c r="Q688" s="10">
        <v>837003.82</v>
      </c>
      <c r="R688" s="10">
        <f t="shared" si="0"/>
        <v>7956593.6799999997</v>
      </c>
    </row>
    <row r="689" spans="1:18" ht="12.75" x14ac:dyDescent="0.2">
      <c r="A689" s="9" t="s">
        <v>332</v>
      </c>
      <c r="B689" s="9" t="s">
        <v>228</v>
      </c>
      <c r="C689" s="9" t="s">
        <v>228</v>
      </c>
      <c r="D689" s="9" t="s">
        <v>19</v>
      </c>
      <c r="E689" s="9" t="s">
        <v>41</v>
      </c>
      <c r="F689" s="9" t="s">
        <v>333</v>
      </c>
      <c r="G689" s="9" t="s">
        <v>231</v>
      </c>
      <c r="H689" s="10">
        <v>0</v>
      </c>
      <c r="I689" s="10">
        <v>0</v>
      </c>
      <c r="J689" s="10">
        <v>62820.35</v>
      </c>
      <c r="K689" s="10">
        <v>8080.24</v>
      </c>
      <c r="L689" s="10">
        <v>7089.63</v>
      </c>
      <c r="M689" s="10">
        <v>7089.63</v>
      </c>
      <c r="N689" s="10">
        <v>7089.63</v>
      </c>
      <c r="O689" s="10">
        <v>9640.33</v>
      </c>
      <c r="P689" s="10">
        <v>7089.63</v>
      </c>
      <c r="Q689" s="10">
        <v>18704.189999999999</v>
      </c>
      <c r="R689" s="10">
        <f t="shared" si="0"/>
        <v>127603.63000000002</v>
      </c>
    </row>
    <row r="690" spans="1:18" ht="12.75" x14ac:dyDescent="0.2">
      <c r="A690" s="9" t="s">
        <v>332</v>
      </c>
      <c r="B690" s="9" t="s">
        <v>228</v>
      </c>
      <c r="C690" s="9" t="s">
        <v>228</v>
      </c>
      <c r="D690" s="9" t="s">
        <v>19</v>
      </c>
      <c r="E690" s="9" t="s">
        <v>41</v>
      </c>
      <c r="F690" s="9" t="s">
        <v>333</v>
      </c>
      <c r="G690" s="9" t="s">
        <v>230</v>
      </c>
      <c r="H690" s="10">
        <v>6201.13</v>
      </c>
      <c r="I690" s="10">
        <v>26531.08</v>
      </c>
      <c r="J690" s="10">
        <v>32859.67</v>
      </c>
      <c r="K690" s="10">
        <v>15306.63</v>
      </c>
      <c r="L690" s="10">
        <v>10930.68</v>
      </c>
      <c r="M690" s="10">
        <v>11529.11</v>
      </c>
      <c r="N690" s="10">
        <v>16363.36</v>
      </c>
      <c r="O690" s="10">
        <v>27906.62</v>
      </c>
      <c r="P690" s="10">
        <v>50741.21</v>
      </c>
      <c r="Q690" s="10">
        <v>23050.23</v>
      </c>
      <c r="R690" s="10">
        <f t="shared" si="0"/>
        <v>221419.72</v>
      </c>
    </row>
    <row r="691" spans="1:18" ht="12.75" x14ac:dyDescent="0.2">
      <c r="A691" s="9" t="s">
        <v>332</v>
      </c>
      <c r="B691" s="9" t="s">
        <v>228</v>
      </c>
      <c r="C691" s="9" t="s">
        <v>228</v>
      </c>
      <c r="D691" s="9" t="s">
        <v>19</v>
      </c>
      <c r="E691" s="9" t="s">
        <v>42</v>
      </c>
      <c r="F691" s="9" t="s">
        <v>333</v>
      </c>
      <c r="G691" s="9" t="s">
        <v>229</v>
      </c>
      <c r="H691" s="10">
        <v>193308.92</v>
      </c>
      <c r="I691" s="10">
        <v>345881.63</v>
      </c>
      <c r="J691" s="10">
        <v>523294.51</v>
      </c>
      <c r="K691" s="10">
        <v>473599.34</v>
      </c>
      <c r="L691" s="10">
        <v>580234.61</v>
      </c>
      <c r="M691" s="10">
        <v>587442.48</v>
      </c>
      <c r="N691" s="10">
        <v>462874.37</v>
      </c>
      <c r="O691" s="10">
        <v>583736.69999999995</v>
      </c>
      <c r="P691" s="10">
        <v>478615.1</v>
      </c>
      <c r="Q691" s="10">
        <v>497174.54</v>
      </c>
      <c r="R691" s="10">
        <f t="shared" si="0"/>
        <v>4726162.2</v>
      </c>
    </row>
    <row r="692" spans="1:18" ht="12.75" x14ac:dyDescent="0.2">
      <c r="A692" s="9" t="s">
        <v>332</v>
      </c>
      <c r="B692" s="9" t="s">
        <v>228</v>
      </c>
      <c r="C692" s="9" t="s">
        <v>228</v>
      </c>
      <c r="D692" s="9" t="s">
        <v>19</v>
      </c>
      <c r="E692" s="9" t="s">
        <v>42</v>
      </c>
      <c r="F692" s="9" t="s">
        <v>333</v>
      </c>
      <c r="G692" s="9" t="s">
        <v>230</v>
      </c>
      <c r="H692" s="10">
        <v>30798.19</v>
      </c>
      <c r="I692" s="10">
        <v>131767.71</v>
      </c>
      <c r="J692" s="10">
        <v>163198.9</v>
      </c>
      <c r="K692" s="10">
        <v>76021</v>
      </c>
      <c r="L692" s="10">
        <v>54287.65</v>
      </c>
      <c r="M692" s="10">
        <v>57259.79</v>
      </c>
      <c r="N692" s="10">
        <v>81269.31</v>
      </c>
      <c r="O692" s="10">
        <v>138599.38</v>
      </c>
      <c r="P692" s="10">
        <v>252008.32000000001</v>
      </c>
      <c r="Q692" s="10">
        <v>114479.91</v>
      </c>
      <c r="R692" s="10">
        <f t="shared" si="0"/>
        <v>1099690.1599999999</v>
      </c>
    </row>
    <row r="693" spans="1:18" ht="12.75" x14ac:dyDescent="0.2">
      <c r="A693" s="9" t="s">
        <v>332</v>
      </c>
      <c r="B693" s="9" t="s">
        <v>228</v>
      </c>
      <c r="C693" s="9" t="s">
        <v>228</v>
      </c>
      <c r="D693" s="9" t="s">
        <v>19</v>
      </c>
      <c r="E693" s="9" t="s">
        <v>44</v>
      </c>
      <c r="F693" s="9" t="s">
        <v>333</v>
      </c>
      <c r="G693" s="9" t="s">
        <v>229</v>
      </c>
      <c r="H693" s="10">
        <v>5524.76</v>
      </c>
      <c r="I693" s="10">
        <v>9885.2900000000009</v>
      </c>
      <c r="J693" s="10">
        <v>14955.74</v>
      </c>
      <c r="K693" s="10">
        <v>13535.46</v>
      </c>
      <c r="L693" s="10">
        <v>16583.09</v>
      </c>
      <c r="M693" s="10">
        <v>16789.09</v>
      </c>
      <c r="N693" s="10">
        <v>13228.94</v>
      </c>
      <c r="O693" s="10">
        <v>16683.18</v>
      </c>
      <c r="P693" s="10">
        <v>13678.81</v>
      </c>
      <c r="Q693" s="10">
        <v>14209.23</v>
      </c>
      <c r="R693" s="10">
        <f t="shared" si="0"/>
        <v>135073.59</v>
      </c>
    </row>
    <row r="694" spans="1:18" ht="12.75" x14ac:dyDescent="0.2">
      <c r="A694" s="9" t="s">
        <v>332</v>
      </c>
      <c r="B694" s="9" t="s">
        <v>228</v>
      </c>
      <c r="C694" s="9" t="s">
        <v>228</v>
      </c>
      <c r="D694" s="9" t="s">
        <v>19</v>
      </c>
      <c r="E694" s="9" t="s">
        <v>44</v>
      </c>
      <c r="F694" s="9" t="s">
        <v>333</v>
      </c>
      <c r="G694" s="9" t="s">
        <v>230</v>
      </c>
      <c r="H694" s="10">
        <v>2547907.58</v>
      </c>
      <c r="I694" s="10">
        <v>10901028.029999999</v>
      </c>
      <c r="J694" s="10">
        <v>13501303.220000001</v>
      </c>
      <c r="K694" s="10">
        <v>6289151.29</v>
      </c>
      <c r="L694" s="10">
        <v>4491170.41</v>
      </c>
      <c r="M694" s="10">
        <v>4737052.4000000004</v>
      </c>
      <c r="N694" s="10">
        <v>6723339.5</v>
      </c>
      <c r="O694" s="10">
        <v>11466206.619999999</v>
      </c>
      <c r="P694" s="10">
        <v>20848429.23</v>
      </c>
      <c r="Q694" s="10">
        <v>9470823.7899999991</v>
      </c>
      <c r="R694" s="10">
        <f t="shared" si="0"/>
        <v>90976412.069999993</v>
      </c>
    </row>
    <row r="695" spans="1:18" ht="12.75" x14ac:dyDescent="0.2">
      <c r="A695" s="9" t="s">
        <v>332</v>
      </c>
      <c r="B695" s="9" t="s">
        <v>228</v>
      </c>
      <c r="C695" s="9" t="s">
        <v>228</v>
      </c>
      <c r="D695" s="9" t="s">
        <v>31</v>
      </c>
      <c r="E695" s="9" t="s">
        <v>35</v>
      </c>
      <c r="F695" s="9" t="s">
        <v>333</v>
      </c>
      <c r="G695" s="9" t="s">
        <v>230</v>
      </c>
      <c r="H695" s="10">
        <v>776.64</v>
      </c>
      <c r="I695" s="10">
        <v>3322.79</v>
      </c>
      <c r="J695" s="10">
        <v>4115.3900000000003</v>
      </c>
      <c r="K695" s="10">
        <v>1917.02</v>
      </c>
      <c r="L695" s="10">
        <v>1368.97</v>
      </c>
      <c r="M695" s="10">
        <v>1443.92</v>
      </c>
      <c r="N695" s="10">
        <v>2049.37</v>
      </c>
      <c r="O695" s="10">
        <v>3495.06</v>
      </c>
      <c r="P695" s="10">
        <v>6354.89</v>
      </c>
      <c r="Q695" s="10">
        <v>2886.84</v>
      </c>
      <c r="R695" s="10">
        <f t="shared" si="0"/>
        <v>27730.89</v>
      </c>
    </row>
    <row r="696" spans="1:18" ht="12.75" x14ac:dyDescent="0.2">
      <c r="A696" s="9" t="s">
        <v>332</v>
      </c>
      <c r="B696" s="9" t="s">
        <v>228</v>
      </c>
      <c r="C696" s="9" t="s">
        <v>228</v>
      </c>
      <c r="D696" s="9" t="s">
        <v>31</v>
      </c>
      <c r="E696" s="9" t="s">
        <v>127</v>
      </c>
      <c r="F696" s="9" t="s">
        <v>333</v>
      </c>
      <c r="G696" s="9" t="s">
        <v>229</v>
      </c>
      <c r="H696" s="10">
        <v>20098.97</v>
      </c>
      <c r="I696" s="10">
        <v>35962.449999999997</v>
      </c>
      <c r="J696" s="10">
        <v>54408.65</v>
      </c>
      <c r="K696" s="10">
        <v>49241.68</v>
      </c>
      <c r="L696" s="10">
        <v>60328.9</v>
      </c>
      <c r="M696" s="10">
        <v>61078.33</v>
      </c>
      <c r="N696" s="10">
        <v>48126.57</v>
      </c>
      <c r="O696" s="10">
        <v>60693.03</v>
      </c>
      <c r="P696" s="10">
        <v>49763.19</v>
      </c>
      <c r="Q696" s="10">
        <v>51692.88</v>
      </c>
      <c r="R696" s="10">
        <f t="shared" si="0"/>
        <v>491394.64999999997</v>
      </c>
    </row>
    <row r="697" spans="1:18" ht="12.75" x14ac:dyDescent="0.2">
      <c r="A697" s="9" t="s">
        <v>332</v>
      </c>
      <c r="B697" s="9" t="s">
        <v>228</v>
      </c>
      <c r="C697" s="9" t="s">
        <v>228</v>
      </c>
      <c r="D697" s="9" t="s">
        <v>31</v>
      </c>
      <c r="E697" s="9" t="s">
        <v>127</v>
      </c>
      <c r="F697" s="9" t="s">
        <v>333</v>
      </c>
      <c r="G697" s="9" t="s">
        <v>232</v>
      </c>
      <c r="H697" s="10">
        <v>0</v>
      </c>
      <c r="I697" s="10">
        <v>43007.77</v>
      </c>
      <c r="J697" s="10">
        <v>452000.46</v>
      </c>
      <c r="K697" s="10">
        <v>452000.46</v>
      </c>
      <c r="L697" s="10">
        <v>452000.46</v>
      </c>
      <c r="M697" s="10">
        <v>452000.46</v>
      </c>
      <c r="N697" s="10">
        <v>452000.46</v>
      </c>
      <c r="O697" s="10">
        <v>469598.16</v>
      </c>
      <c r="P697" s="10">
        <v>452000.46</v>
      </c>
      <c r="Q697" s="10">
        <v>452000.46</v>
      </c>
      <c r="R697" s="10">
        <f t="shared" si="0"/>
        <v>3676609.1500000004</v>
      </c>
    </row>
    <row r="698" spans="1:18" ht="12.75" x14ac:dyDescent="0.2">
      <c r="A698" s="9" t="s">
        <v>332</v>
      </c>
      <c r="B698" s="9" t="s">
        <v>228</v>
      </c>
      <c r="C698" s="9" t="s">
        <v>228</v>
      </c>
      <c r="D698" s="9" t="s">
        <v>31</v>
      </c>
      <c r="E698" s="9" t="s">
        <v>128</v>
      </c>
      <c r="F698" s="9" t="s">
        <v>333</v>
      </c>
      <c r="G698" s="9" t="s">
        <v>229</v>
      </c>
      <c r="H698" s="10">
        <v>2439.52</v>
      </c>
      <c r="I698" s="10">
        <v>4364.97</v>
      </c>
      <c r="J698" s="10">
        <v>6603.89</v>
      </c>
      <c r="K698" s="10">
        <v>5976.74</v>
      </c>
      <c r="L698" s="10">
        <v>7322.46</v>
      </c>
      <c r="M698" s="10">
        <v>7413.42</v>
      </c>
      <c r="N698" s="10">
        <v>5841.39</v>
      </c>
      <c r="O698" s="10">
        <v>7366.66</v>
      </c>
      <c r="P698" s="10">
        <v>6040.04</v>
      </c>
      <c r="Q698" s="10">
        <v>6274.26</v>
      </c>
      <c r="R698" s="10">
        <f t="shared" si="0"/>
        <v>59643.350000000006</v>
      </c>
    </row>
    <row r="699" spans="1:18" ht="12.75" x14ac:dyDescent="0.2">
      <c r="A699" s="9" t="s">
        <v>332</v>
      </c>
      <c r="B699" s="9" t="s">
        <v>228</v>
      </c>
      <c r="C699" s="9" t="s">
        <v>228</v>
      </c>
      <c r="D699" s="9" t="s">
        <v>31</v>
      </c>
      <c r="E699" s="9" t="s">
        <v>129</v>
      </c>
      <c r="F699" s="9" t="s">
        <v>333</v>
      </c>
      <c r="G699" s="9" t="s">
        <v>229</v>
      </c>
      <c r="H699" s="10">
        <v>14139.33</v>
      </c>
      <c r="I699" s="10">
        <v>25299.07</v>
      </c>
      <c r="J699" s="10">
        <v>38275.71</v>
      </c>
      <c r="K699" s="10">
        <v>34640.82</v>
      </c>
      <c r="L699" s="10">
        <v>42440.52</v>
      </c>
      <c r="M699" s="10">
        <v>42967.73</v>
      </c>
      <c r="N699" s="10">
        <v>33856.36</v>
      </c>
      <c r="O699" s="10">
        <v>42696.68</v>
      </c>
      <c r="P699" s="10">
        <v>35007.69</v>
      </c>
      <c r="Q699" s="10">
        <v>36365.199999999997</v>
      </c>
      <c r="R699" s="10">
        <f t="shared" si="0"/>
        <v>345689.11</v>
      </c>
    </row>
    <row r="700" spans="1:18" ht="12.75" x14ac:dyDescent="0.2">
      <c r="A700" s="9" t="s">
        <v>332</v>
      </c>
      <c r="B700" s="9" t="s">
        <v>228</v>
      </c>
      <c r="C700" s="9" t="s">
        <v>228</v>
      </c>
      <c r="D700" s="9" t="s">
        <v>31</v>
      </c>
      <c r="E700" s="9" t="s">
        <v>129</v>
      </c>
      <c r="F700" s="9" t="s">
        <v>333</v>
      </c>
      <c r="G700" s="9" t="s">
        <v>230</v>
      </c>
      <c r="H700" s="10">
        <v>23684.89</v>
      </c>
      <c r="I700" s="10">
        <v>101333.99</v>
      </c>
      <c r="J700" s="10">
        <v>125505.68</v>
      </c>
      <c r="K700" s="10">
        <v>58462.82</v>
      </c>
      <c r="L700" s="10">
        <v>41749.11</v>
      </c>
      <c r="M700" s="10">
        <v>44034.79</v>
      </c>
      <c r="N700" s="10">
        <v>62498.95</v>
      </c>
      <c r="O700" s="10">
        <v>106587.79</v>
      </c>
      <c r="P700" s="10">
        <v>193803.24</v>
      </c>
      <c r="Q700" s="10">
        <v>88039.07</v>
      </c>
      <c r="R700" s="10">
        <f t="shared" si="0"/>
        <v>845700.33000000007</v>
      </c>
    </row>
    <row r="701" spans="1:18" ht="12.75" x14ac:dyDescent="0.2">
      <c r="A701" s="9" t="s">
        <v>332</v>
      </c>
      <c r="B701" s="9" t="s">
        <v>228</v>
      </c>
      <c r="C701" s="9" t="s">
        <v>228</v>
      </c>
      <c r="D701" s="9" t="s">
        <v>31</v>
      </c>
      <c r="E701" s="9" t="s">
        <v>32</v>
      </c>
      <c r="F701" s="9" t="s">
        <v>333</v>
      </c>
      <c r="G701" s="9" t="s">
        <v>233</v>
      </c>
      <c r="H701" s="10">
        <v>69056.58</v>
      </c>
      <c r="I701" s="10">
        <v>182037.01</v>
      </c>
      <c r="J701" s="10">
        <v>1571751.74</v>
      </c>
      <c r="K701" s="10">
        <v>1737759.74</v>
      </c>
      <c r="L701" s="10">
        <v>1423404.05</v>
      </c>
      <c r="M701" s="10">
        <v>1584061.4399999999</v>
      </c>
      <c r="N701" s="10">
        <v>1499806.75</v>
      </c>
      <c r="O701" s="10">
        <v>1837888.22</v>
      </c>
      <c r="P701" s="10">
        <v>1576626.86</v>
      </c>
      <c r="Q701" s="10">
        <v>1465099.29</v>
      </c>
      <c r="R701" s="10">
        <f t="shared" si="0"/>
        <v>12947491.68</v>
      </c>
    </row>
    <row r="702" spans="1:18" ht="12.75" x14ac:dyDescent="0.2">
      <c r="A702" s="9" t="s">
        <v>332</v>
      </c>
      <c r="B702" s="9" t="s">
        <v>228</v>
      </c>
      <c r="C702" s="9" t="s">
        <v>228</v>
      </c>
      <c r="D702" s="9" t="s">
        <v>31</v>
      </c>
      <c r="E702" s="9" t="s">
        <v>32</v>
      </c>
      <c r="F702" s="9" t="s">
        <v>333</v>
      </c>
      <c r="G702" s="9" t="s">
        <v>229</v>
      </c>
      <c r="H702" s="10">
        <v>948.46</v>
      </c>
      <c r="I702" s="10">
        <v>1697.05</v>
      </c>
      <c r="J702" s="10">
        <v>2567.5100000000002</v>
      </c>
      <c r="K702" s="10">
        <v>2323.69</v>
      </c>
      <c r="L702" s="10">
        <v>2846.89</v>
      </c>
      <c r="M702" s="10">
        <v>2882.25</v>
      </c>
      <c r="N702" s="10">
        <v>2271.0700000000002</v>
      </c>
      <c r="O702" s="10">
        <v>2864.07</v>
      </c>
      <c r="P702" s="10">
        <v>2348.3000000000002</v>
      </c>
      <c r="Q702" s="10">
        <v>2439.36</v>
      </c>
      <c r="R702" s="10">
        <f t="shared" si="0"/>
        <v>23188.65</v>
      </c>
    </row>
    <row r="703" spans="1:18" ht="12.75" x14ac:dyDescent="0.2">
      <c r="A703" s="9" t="s">
        <v>332</v>
      </c>
      <c r="B703" s="9" t="s">
        <v>228</v>
      </c>
      <c r="C703" s="9" t="s">
        <v>228</v>
      </c>
      <c r="D703" s="9" t="s">
        <v>31</v>
      </c>
      <c r="E703" s="9" t="s">
        <v>32</v>
      </c>
      <c r="F703" s="9" t="s">
        <v>333</v>
      </c>
      <c r="G703" s="9" t="s">
        <v>230</v>
      </c>
      <c r="H703" s="10">
        <v>8225.2000000000007</v>
      </c>
      <c r="I703" s="10">
        <v>35190.870000000003</v>
      </c>
      <c r="J703" s="10">
        <v>43585.120000000003</v>
      </c>
      <c r="K703" s="10">
        <v>20302.740000000002</v>
      </c>
      <c r="L703" s="10">
        <v>14498.47</v>
      </c>
      <c r="M703" s="10">
        <v>15292.23</v>
      </c>
      <c r="N703" s="10">
        <v>21704.39</v>
      </c>
      <c r="O703" s="10">
        <v>37015.39</v>
      </c>
      <c r="P703" s="10">
        <v>67303.23</v>
      </c>
      <c r="Q703" s="10">
        <v>30573.86</v>
      </c>
      <c r="R703" s="10">
        <f t="shared" si="0"/>
        <v>293691.5</v>
      </c>
    </row>
    <row r="704" spans="1:18" ht="12.75" x14ac:dyDescent="0.2">
      <c r="A704" s="9" t="s">
        <v>332</v>
      </c>
      <c r="B704" s="9" t="s">
        <v>228</v>
      </c>
      <c r="C704" s="9" t="s">
        <v>228</v>
      </c>
      <c r="D704" s="9" t="s">
        <v>31</v>
      </c>
      <c r="E704" s="9" t="s">
        <v>132</v>
      </c>
      <c r="F704" s="9" t="s">
        <v>333</v>
      </c>
      <c r="G704" s="9" t="s">
        <v>229</v>
      </c>
      <c r="H704" s="10">
        <v>42372.75</v>
      </c>
      <c r="I704" s="10">
        <v>75816.25</v>
      </c>
      <c r="J704" s="10">
        <v>114704.63</v>
      </c>
      <c r="K704" s="10">
        <v>103811.59</v>
      </c>
      <c r="L704" s="10">
        <v>127185.73</v>
      </c>
      <c r="M704" s="10">
        <v>128765.68</v>
      </c>
      <c r="N704" s="10">
        <v>101460.71</v>
      </c>
      <c r="O704" s="10">
        <v>127953.38</v>
      </c>
      <c r="P704" s="10">
        <v>104911.03</v>
      </c>
      <c r="Q704" s="10">
        <v>108979.21</v>
      </c>
      <c r="R704" s="10">
        <f t="shared" si="0"/>
        <v>1035960.9599999998</v>
      </c>
    </row>
    <row r="705" spans="1:18" ht="12.75" x14ac:dyDescent="0.2">
      <c r="A705" s="9" t="s">
        <v>332</v>
      </c>
      <c r="B705" s="9" t="s">
        <v>228</v>
      </c>
      <c r="C705" s="9" t="s">
        <v>228</v>
      </c>
      <c r="D705" s="9" t="s">
        <v>31</v>
      </c>
      <c r="E705" s="9" t="s">
        <v>132</v>
      </c>
      <c r="F705" s="9" t="s">
        <v>333</v>
      </c>
      <c r="G705" s="9" t="s">
        <v>230</v>
      </c>
      <c r="H705" s="10">
        <v>31465.88</v>
      </c>
      <c r="I705" s="10">
        <v>134624.34</v>
      </c>
      <c r="J705" s="10">
        <v>166736.94</v>
      </c>
      <c r="K705" s="10">
        <v>77669.08</v>
      </c>
      <c r="L705" s="10">
        <v>55464.57</v>
      </c>
      <c r="M705" s="10">
        <v>58501.14</v>
      </c>
      <c r="N705" s="10">
        <v>83031.179999999993</v>
      </c>
      <c r="O705" s="10">
        <v>141604.13</v>
      </c>
      <c r="P705" s="10">
        <v>257471.69</v>
      </c>
      <c r="Q705" s="10">
        <v>116961.76</v>
      </c>
      <c r="R705" s="10">
        <f t="shared" si="0"/>
        <v>1123530.7100000002</v>
      </c>
    </row>
    <row r="706" spans="1:18" ht="12.75" x14ac:dyDescent="0.2">
      <c r="A706" s="9" t="s">
        <v>332</v>
      </c>
      <c r="B706" s="9" t="s">
        <v>228</v>
      </c>
      <c r="C706" s="9" t="s">
        <v>228</v>
      </c>
      <c r="D706" s="9" t="s">
        <v>31</v>
      </c>
      <c r="E706" s="9" t="s">
        <v>133</v>
      </c>
      <c r="F706" s="9" t="s">
        <v>333</v>
      </c>
      <c r="G706" s="9" t="s">
        <v>229</v>
      </c>
      <c r="H706" s="10">
        <v>70518.13</v>
      </c>
      <c r="I706" s="10">
        <v>126175.88</v>
      </c>
      <c r="J706" s="10">
        <v>190895.21</v>
      </c>
      <c r="K706" s="10">
        <v>172766.66</v>
      </c>
      <c r="L706" s="10">
        <v>211666.67</v>
      </c>
      <c r="M706" s="10">
        <v>214296.07</v>
      </c>
      <c r="N706" s="10">
        <v>168854.25</v>
      </c>
      <c r="O706" s="10">
        <v>212944.22</v>
      </c>
      <c r="P706" s="10">
        <v>174596.39</v>
      </c>
      <c r="Q706" s="10">
        <v>181366.78</v>
      </c>
      <c r="R706" s="10">
        <f t="shared" si="0"/>
        <v>1724080.26</v>
      </c>
    </row>
    <row r="707" spans="1:18" ht="12.75" x14ac:dyDescent="0.2">
      <c r="A707" s="9" t="s">
        <v>332</v>
      </c>
      <c r="B707" s="9" t="s">
        <v>228</v>
      </c>
      <c r="C707" s="9" t="s">
        <v>228</v>
      </c>
      <c r="D707" s="9" t="s">
        <v>31</v>
      </c>
      <c r="E707" s="9" t="s">
        <v>133</v>
      </c>
      <c r="F707" s="9" t="s">
        <v>333</v>
      </c>
      <c r="G707" s="9" t="s">
        <v>230</v>
      </c>
      <c r="H707" s="10">
        <v>59860.69</v>
      </c>
      <c r="I707" s="10">
        <v>256109.4</v>
      </c>
      <c r="J707" s="10">
        <v>317200.42</v>
      </c>
      <c r="K707" s="10">
        <v>147757.69</v>
      </c>
      <c r="L707" s="10">
        <v>105515.82</v>
      </c>
      <c r="M707" s="10">
        <v>111292.59</v>
      </c>
      <c r="N707" s="10">
        <v>157958.54</v>
      </c>
      <c r="O707" s="10">
        <v>269387.74</v>
      </c>
      <c r="P707" s="10">
        <v>489814.23</v>
      </c>
      <c r="Q707" s="10">
        <v>222508.1</v>
      </c>
      <c r="R707" s="10">
        <f t="shared" si="0"/>
        <v>2137405.2199999997</v>
      </c>
    </row>
    <row r="708" spans="1:18" ht="12.75" x14ac:dyDescent="0.2">
      <c r="A708" s="9" t="s">
        <v>332</v>
      </c>
      <c r="B708" s="9" t="s">
        <v>228</v>
      </c>
      <c r="C708" s="9" t="s">
        <v>228</v>
      </c>
      <c r="D708" s="9" t="s">
        <v>19</v>
      </c>
      <c r="E708" s="9" t="s">
        <v>150</v>
      </c>
      <c r="F708" s="9" t="s">
        <v>333</v>
      </c>
      <c r="G708" s="9" t="s">
        <v>230</v>
      </c>
      <c r="H708" s="10">
        <v>19288.18</v>
      </c>
      <c r="I708" s="10">
        <v>82522.990000000005</v>
      </c>
      <c r="J708" s="10">
        <v>102207.59</v>
      </c>
      <c r="K708" s="10">
        <v>47610.15</v>
      </c>
      <c r="L708" s="10">
        <v>33999.07</v>
      </c>
      <c r="M708" s="10">
        <v>35860.44</v>
      </c>
      <c r="N708" s="10">
        <v>50897.04</v>
      </c>
      <c r="O708" s="10">
        <v>86801.5</v>
      </c>
      <c r="P708" s="10">
        <v>157826.82</v>
      </c>
      <c r="Q708" s="10">
        <v>71696.05</v>
      </c>
      <c r="R708" s="10">
        <f t="shared" si="0"/>
        <v>688709.83000000007</v>
      </c>
    </row>
    <row r="709" spans="1:18" ht="12.75" x14ac:dyDescent="0.2">
      <c r="A709" s="9" t="s">
        <v>332</v>
      </c>
      <c r="B709" s="9" t="s">
        <v>228</v>
      </c>
      <c r="C709" s="9" t="s">
        <v>228</v>
      </c>
      <c r="D709" s="9" t="s">
        <v>19</v>
      </c>
      <c r="E709" s="9" t="s">
        <v>19</v>
      </c>
      <c r="F709" s="9" t="s">
        <v>333</v>
      </c>
      <c r="G709" s="9" t="s">
        <v>229</v>
      </c>
      <c r="H709" s="10">
        <v>77413.55</v>
      </c>
      <c r="I709" s="10">
        <v>138513.66</v>
      </c>
      <c r="J709" s="10">
        <v>209561.4</v>
      </c>
      <c r="K709" s="10">
        <v>189660.2</v>
      </c>
      <c r="L709" s="10">
        <v>232363.94</v>
      </c>
      <c r="M709" s="10">
        <v>235250.45</v>
      </c>
      <c r="N709" s="10">
        <v>185365.22</v>
      </c>
      <c r="O709" s="10">
        <v>233766.41</v>
      </c>
      <c r="P709" s="10">
        <v>191668.84</v>
      </c>
      <c r="Q709" s="10">
        <v>199101.25</v>
      </c>
      <c r="R709" s="10">
        <f t="shared" si="0"/>
        <v>1892664.92</v>
      </c>
    </row>
    <row r="710" spans="1:18" ht="12.75" x14ac:dyDescent="0.2">
      <c r="A710" s="9" t="s">
        <v>332</v>
      </c>
      <c r="B710" s="9" t="s">
        <v>228</v>
      </c>
      <c r="C710" s="9" t="s">
        <v>228</v>
      </c>
      <c r="D710" s="9" t="s">
        <v>19</v>
      </c>
      <c r="E710" s="9" t="s">
        <v>19</v>
      </c>
      <c r="F710" s="9" t="s">
        <v>333</v>
      </c>
      <c r="G710" s="9" t="s">
        <v>230</v>
      </c>
      <c r="H710" s="10">
        <v>4441.76</v>
      </c>
      <c r="I710" s="10">
        <v>19003.73</v>
      </c>
      <c r="J710" s="10">
        <v>23536.79</v>
      </c>
      <c r="K710" s="10">
        <v>10963.86</v>
      </c>
      <c r="L710" s="10">
        <v>7829.45</v>
      </c>
      <c r="M710" s="10">
        <v>8258.09</v>
      </c>
      <c r="N710" s="10">
        <v>11720.78</v>
      </c>
      <c r="O710" s="10">
        <v>19989.009999999998</v>
      </c>
      <c r="P710" s="10">
        <v>36345.01</v>
      </c>
      <c r="Q710" s="10">
        <v>16510.46</v>
      </c>
      <c r="R710" s="10">
        <f t="shared" si="0"/>
        <v>158598.93999999997</v>
      </c>
    </row>
    <row r="711" spans="1:18" ht="12.75" x14ac:dyDescent="0.2">
      <c r="A711" s="9" t="s">
        <v>332</v>
      </c>
      <c r="B711" s="9" t="s">
        <v>228</v>
      </c>
      <c r="C711" s="9" t="s">
        <v>228</v>
      </c>
      <c r="D711" s="9" t="s">
        <v>45</v>
      </c>
      <c r="E711" s="9" t="s">
        <v>46</v>
      </c>
      <c r="F711" s="9" t="s">
        <v>333</v>
      </c>
      <c r="G711" s="9" t="s">
        <v>234</v>
      </c>
      <c r="H711" s="10">
        <v>0</v>
      </c>
      <c r="I711" s="10">
        <v>0</v>
      </c>
      <c r="J711" s="10">
        <v>1423802.68</v>
      </c>
      <c r="K711" s="10">
        <v>1451350.76</v>
      </c>
      <c r="L711" s="10">
        <v>1370783.54</v>
      </c>
      <c r="M711" s="10">
        <v>1370783.54</v>
      </c>
      <c r="N711" s="10">
        <v>1425239.47</v>
      </c>
      <c r="O711" s="10">
        <v>1427589.2</v>
      </c>
      <c r="P711" s="10">
        <v>1517233.34</v>
      </c>
      <c r="Q711" s="10">
        <v>1582066.71</v>
      </c>
      <c r="R711" s="10">
        <f t="shared" si="0"/>
        <v>11568849.239999998</v>
      </c>
    </row>
    <row r="712" spans="1:18" ht="12.75" x14ac:dyDescent="0.2">
      <c r="A712" s="9" t="s">
        <v>332</v>
      </c>
      <c r="B712" s="9" t="s">
        <v>228</v>
      </c>
      <c r="C712" s="9" t="s">
        <v>228</v>
      </c>
      <c r="D712" s="9" t="s">
        <v>45</v>
      </c>
      <c r="E712" s="9" t="s">
        <v>46</v>
      </c>
      <c r="F712" s="9" t="s">
        <v>333</v>
      </c>
      <c r="G712" s="9" t="s">
        <v>231</v>
      </c>
      <c r="H712" s="10">
        <v>0</v>
      </c>
      <c r="I712" s="10">
        <v>0</v>
      </c>
      <c r="J712" s="10">
        <v>18883.169999999998</v>
      </c>
      <c r="K712" s="10">
        <v>2428.84</v>
      </c>
      <c r="L712" s="10">
        <v>2131.0700000000002</v>
      </c>
      <c r="M712" s="10">
        <v>2131.0700000000002</v>
      </c>
      <c r="N712" s="10">
        <v>2131.0700000000002</v>
      </c>
      <c r="O712" s="10">
        <v>2897.79</v>
      </c>
      <c r="P712" s="10">
        <v>2131.0700000000002</v>
      </c>
      <c r="Q712" s="10">
        <v>5622.29</v>
      </c>
      <c r="R712" s="10">
        <f t="shared" si="0"/>
        <v>38356.369999999995</v>
      </c>
    </row>
    <row r="713" spans="1:18" ht="12.75" x14ac:dyDescent="0.2">
      <c r="A713" s="9" t="s">
        <v>332</v>
      </c>
      <c r="B713" s="9" t="s">
        <v>228</v>
      </c>
      <c r="C713" s="9" t="s">
        <v>228</v>
      </c>
      <c r="D713" s="9" t="s">
        <v>45</v>
      </c>
      <c r="E713" s="9" t="s">
        <v>46</v>
      </c>
      <c r="F713" s="9" t="s">
        <v>333</v>
      </c>
      <c r="G713" s="9" t="s">
        <v>230</v>
      </c>
      <c r="H713" s="10">
        <v>143674.85</v>
      </c>
      <c r="I713" s="10">
        <v>614701.87</v>
      </c>
      <c r="J713" s="10">
        <v>761329.7</v>
      </c>
      <c r="K713" s="10">
        <v>354641.15</v>
      </c>
      <c r="L713" s="10">
        <v>253254.18</v>
      </c>
      <c r="M713" s="10">
        <v>267119.3</v>
      </c>
      <c r="N713" s="10">
        <v>379124.74</v>
      </c>
      <c r="O713" s="10">
        <v>646571.93000000005</v>
      </c>
      <c r="P713" s="10">
        <v>1175629.3500000001</v>
      </c>
      <c r="Q713" s="10">
        <v>534053.59</v>
      </c>
      <c r="R713" s="10">
        <f t="shared" si="0"/>
        <v>5130100.66</v>
      </c>
    </row>
    <row r="714" spans="1:18" ht="12.75" x14ac:dyDescent="0.2">
      <c r="A714" s="9" t="s">
        <v>332</v>
      </c>
      <c r="B714" s="9" t="s">
        <v>228</v>
      </c>
      <c r="C714" s="9" t="s">
        <v>228</v>
      </c>
      <c r="D714" s="9" t="s">
        <v>45</v>
      </c>
      <c r="E714" s="9" t="s">
        <v>235</v>
      </c>
      <c r="F714" s="9" t="s">
        <v>333</v>
      </c>
      <c r="G714" s="9" t="s">
        <v>236</v>
      </c>
      <c r="H714" s="10">
        <v>2896757.18</v>
      </c>
      <c r="I714" s="10">
        <v>278914846.23000002</v>
      </c>
      <c r="J714" s="10">
        <v>145596027.13</v>
      </c>
      <c r="K714" s="10">
        <v>137112672.97999999</v>
      </c>
      <c r="L714" s="10">
        <v>192582518.28999999</v>
      </c>
      <c r="M714" s="10">
        <v>125513811.19</v>
      </c>
      <c r="N714" s="10">
        <v>147375867.22</v>
      </c>
      <c r="O714" s="10">
        <v>167241127.84</v>
      </c>
      <c r="P714" s="10">
        <v>140643766</v>
      </c>
      <c r="Q714" s="10">
        <v>137304491.25</v>
      </c>
      <c r="R714" s="10">
        <f t="shared" si="0"/>
        <v>1475181885.3099999</v>
      </c>
    </row>
    <row r="715" spans="1:18" ht="12.75" x14ac:dyDescent="0.2">
      <c r="A715" s="9" t="s">
        <v>332</v>
      </c>
      <c r="B715" s="9" t="s">
        <v>228</v>
      </c>
      <c r="C715" s="9" t="s">
        <v>228</v>
      </c>
      <c r="D715" s="9" t="s">
        <v>50</v>
      </c>
      <c r="E715" s="9" t="s">
        <v>51</v>
      </c>
      <c r="F715" s="9" t="s">
        <v>333</v>
      </c>
      <c r="G715" s="9" t="s">
        <v>230</v>
      </c>
      <c r="H715" s="10">
        <v>143.1</v>
      </c>
      <c r="I715" s="10">
        <v>612.25</v>
      </c>
      <c r="J715" s="10">
        <v>758.29</v>
      </c>
      <c r="K715" s="10">
        <v>353.23</v>
      </c>
      <c r="L715" s="10">
        <v>252.24</v>
      </c>
      <c r="M715" s="10">
        <v>266.05</v>
      </c>
      <c r="N715" s="10">
        <v>377.61</v>
      </c>
      <c r="O715" s="10">
        <v>643.99</v>
      </c>
      <c r="P715" s="10">
        <v>1170.94</v>
      </c>
      <c r="Q715" s="10">
        <v>531.91999999999996</v>
      </c>
      <c r="R715" s="10">
        <f t="shared" si="0"/>
        <v>5109.6200000000008</v>
      </c>
    </row>
    <row r="716" spans="1:18" ht="12.75" x14ac:dyDescent="0.2">
      <c r="A716" s="9" t="s">
        <v>332</v>
      </c>
      <c r="B716" s="9" t="s">
        <v>228</v>
      </c>
      <c r="C716" s="9" t="s">
        <v>228</v>
      </c>
      <c r="D716" s="9" t="s">
        <v>52</v>
      </c>
      <c r="E716" s="9" t="s">
        <v>54</v>
      </c>
      <c r="F716" s="9" t="s">
        <v>334</v>
      </c>
      <c r="G716" s="9" t="s">
        <v>233</v>
      </c>
      <c r="H716" s="10">
        <v>51098.84</v>
      </c>
      <c r="I716" s="10">
        <v>134699.4</v>
      </c>
      <c r="J716" s="10">
        <v>1163027.29</v>
      </c>
      <c r="K716" s="10">
        <v>1285865.92</v>
      </c>
      <c r="L716" s="10">
        <v>1053256.52</v>
      </c>
      <c r="M716" s="10">
        <v>1172135.93</v>
      </c>
      <c r="N716" s="10">
        <v>1109791.1499999999</v>
      </c>
      <c r="O716" s="10">
        <v>1359956.6</v>
      </c>
      <c r="P716" s="10">
        <v>1166634.6599999999</v>
      </c>
      <c r="Q716" s="10">
        <v>1084109.1599999999</v>
      </c>
      <c r="R716" s="10">
        <f t="shared" si="0"/>
        <v>9580575.4700000007</v>
      </c>
    </row>
    <row r="717" spans="1:18" ht="12.75" x14ac:dyDescent="0.2">
      <c r="A717" s="9" t="s">
        <v>332</v>
      </c>
      <c r="B717" s="9" t="s">
        <v>228</v>
      </c>
      <c r="C717" s="9" t="s">
        <v>228</v>
      </c>
      <c r="D717" s="9" t="s">
        <v>52</v>
      </c>
      <c r="E717" s="9" t="s">
        <v>54</v>
      </c>
      <c r="F717" s="9" t="s">
        <v>334</v>
      </c>
      <c r="G717" s="9" t="s">
        <v>229</v>
      </c>
      <c r="H717" s="10">
        <v>132921.94</v>
      </c>
      <c r="I717" s="10">
        <v>237833.08</v>
      </c>
      <c r="J717" s="10">
        <v>359824.68</v>
      </c>
      <c r="K717" s="10">
        <v>325653.57</v>
      </c>
      <c r="L717" s="10">
        <v>398977.49</v>
      </c>
      <c r="M717" s="10">
        <v>403933.73</v>
      </c>
      <c r="N717" s="10">
        <v>318278.94</v>
      </c>
      <c r="O717" s="10">
        <v>401385.58</v>
      </c>
      <c r="P717" s="10">
        <v>329102.48</v>
      </c>
      <c r="Q717" s="10">
        <v>341864.22</v>
      </c>
      <c r="R717" s="10">
        <f t="shared" si="0"/>
        <v>3249775.71</v>
      </c>
    </row>
    <row r="718" spans="1:18" ht="12.75" x14ac:dyDescent="0.2">
      <c r="A718" s="9" t="s">
        <v>332</v>
      </c>
      <c r="B718" s="9" t="s">
        <v>228</v>
      </c>
      <c r="C718" s="9" t="s">
        <v>228</v>
      </c>
      <c r="D718" s="9" t="s">
        <v>52</v>
      </c>
      <c r="E718" s="9" t="s">
        <v>54</v>
      </c>
      <c r="F718" s="9" t="s">
        <v>334</v>
      </c>
      <c r="G718" s="9" t="s">
        <v>234</v>
      </c>
      <c r="H718" s="10">
        <v>0</v>
      </c>
      <c r="I718" s="10">
        <v>0</v>
      </c>
      <c r="J718" s="10">
        <v>165052.60999999999</v>
      </c>
      <c r="K718" s="10">
        <v>168246.09</v>
      </c>
      <c r="L718" s="10">
        <v>158906.43</v>
      </c>
      <c r="M718" s="10">
        <v>158906.43</v>
      </c>
      <c r="N718" s="10">
        <v>165219.17000000001</v>
      </c>
      <c r="O718" s="10">
        <v>165491.56</v>
      </c>
      <c r="P718" s="10">
        <v>175883.45</v>
      </c>
      <c r="Q718" s="10">
        <v>183399.18</v>
      </c>
      <c r="R718" s="10">
        <f t="shared" si="0"/>
        <v>1341104.92</v>
      </c>
    </row>
    <row r="719" spans="1:18" ht="12.75" x14ac:dyDescent="0.2">
      <c r="A719" s="9" t="s">
        <v>332</v>
      </c>
      <c r="B719" s="9" t="s">
        <v>228</v>
      </c>
      <c r="C719" s="9" t="s">
        <v>228</v>
      </c>
      <c r="D719" s="9" t="s">
        <v>52</v>
      </c>
      <c r="E719" s="9" t="s">
        <v>54</v>
      </c>
      <c r="F719" s="9" t="s">
        <v>334</v>
      </c>
      <c r="G719" s="9" t="s">
        <v>231</v>
      </c>
      <c r="H719" s="10">
        <v>0</v>
      </c>
      <c r="I719" s="10">
        <v>0</v>
      </c>
      <c r="J719" s="10">
        <v>472082.66</v>
      </c>
      <c r="K719" s="10">
        <v>60721.440000000002</v>
      </c>
      <c r="L719" s="10">
        <v>53277.15</v>
      </c>
      <c r="M719" s="10">
        <v>53277.15</v>
      </c>
      <c r="N719" s="10">
        <v>53277.15</v>
      </c>
      <c r="O719" s="10">
        <v>72445.179999999993</v>
      </c>
      <c r="P719" s="10">
        <v>53277.15</v>
      </c>
      <c r="Q719" s="10">
        <v>140558.32</v>
      </c>
      <c r="R719" s="10">
        <f t="shared" si="0"/>
        <v>958916.2</v>
      </c>
    </row>
    <row r="720" spans="1:18" ht="12.75" x14ac:dyDescent="0.2">
      <c r="A720" s="9" t="s">
        <v>332</v>
      </c>
      <c r="B720" s="9" t="s">
        <v>228</v>
      </c>
      <c r="C720" s="9" t="s">
        <v>228</v>
      </c>
      <c r="D720" s="9" t="s">
        <v>52</v>
      </c>
      <c r="E720" s="9" t="s">
        <v>54</v>
      </c>
      <c r="F720" s="9" t="s">
        <v>334</v>
      </c>
      <c r="G720" s="9" t="s">
        <v>230</v>
      </c>
      <c r="H720" s="10">
        <v>142107.19</v>
      </c>
      <c r="I720" s="10">
        <v>607994.74</v>
      </c>
      <c r="J720" s="10">
        <v>753022.68</v>
      </c>
      <c r="K720" s="10">
        <v>350771.59</v>
      </c>
      <c r="L720" s="10">
        <v>250490.87</v>
      </c>
      <c r="M720" s="10">
        <v>264204.71000000002</v>
      </c>
      <c r="N720" s="10">
        <v>374988.03</v>
      </c>
      <c r="O720" s="10">
        <v>639517.05000000005</v>
      </c>
      <c r="P720" s="10">
        <v>1162801.83</v>
      </c>
      <c r="Q720" s="10">
        <v>528226.42000000004</v>
      </c>
      <c r="R720" s="10">
        <f t="shared" si="0"/>
        <v>5074125.1099999994</v>
      </c>
    </row>
    <row r="721" spans="1:18" ht="12.75" x14ac:dyDescent="0.2">
      <c r="A721" s="9" t="s">
        <v>332</v>
      </c>
      <c r="B721" s="9" t="s">
        <v>228</v>
      </c>
      <c r="C721" s="9" t="s">
        <v>228</v>
      </c>
      <c r="D721" s="9" t="s">
        <v>52</v>
      </c>
      <c r="E721" s="9" t="s">
        <v>54</v>
      </c>
      <c r="F721" s="9" t="s">
        <v>334</v>
      </c>
      <c r="G721" s="9" t="s">
        <v>232</v>
      </c>
      <c r="H721" s="10">
        <v>0</v>
      </c>
      <c r="I721" s="10">
        <v>198910.95</v>
      </c>
      <c r="J721" s="10">
        <v>2090502.11</v>
      </c>
      <c r="K721" s="10">
        <v>2090502.11</v>
      </c>
      <c r="L721" s="10">
        <v>2090502.11</v>
      </c>
      <c r="M721" s="10">
        <v>2090502.11</v>
      </c>
      <c r="N721" s="10">
        <v>2090502.11</v>
      </c>
      <c r="O721" s="10">
        <v>2171891.4900000002</v>
      </c>
      <c r="P721" s="10">
        <v>2090502.11</v>
      </c>
      <c r="Q721" s="10">
        <v>2090502.11</v>
      </c>
      <c r="R721" s="10">
        <f t="shared" si="0"/>
        <v>17004317.210000001</v>
      </c>
    </row>
    <row r="722" spans="1:18" ht="12.75" x14ac:dyDescent="0.2">
      <c r="A722" s="9" t="s">
        <v>332</v>
      </c>
      <c r="B722" s="9" t="s">
        <v>228</v>
      </c>
      <c r="C722" s="9" t="s">
        <v>228</v>
      </c>
      <c r="D722" s="9" t="s">
        <v>74</v>
      </c>
      <c r="E722" s="9" t="s">
        <v>75</v>
      </c>
      <c r="F722" s="9" t="s">
        <v>334</v>
      </c>
      <c r="G722" s="9" t="s">
        <v>233</v>
      </c>
      <c r="H722" s="10">
        <v>74.010000000000005</v>
      </c>
      <c r="I722" s="10">
        <v>195.08</v>
      </c>
      <c r="J722" s="10">
        <v>1684.39</v>
      </c>
      <c r="K722" s="10">
        <v>1862.3</v>
      </c>
      <c r="L722" s="10">
        <v>1525.41</v>
      </c>
      <c r="M722" s="10">
        <v>1697.58</v>
      </c>
      <c r="N722" s="10">
        <v>1607.29</v>
      </c>
      <c r="O722" s="10">
        <v>1969.6</v>
      </c>
      <c r="P722" s="10">
        <v>1689.62</v>
      </c>
      <c r="Q722" s="10">
        <v>1570.1</v>
      </c>
      <c r="R722" s="10">
        <f t="shared" si="0"/>
        <v>13875.38</v>
      </c>
    </row>
    <row r="723" spans="1:18" ht="12.75" x14ac:dyDescent="0.2">
      <c r="A723" s="9" t="s">
        <v>332</v>
      </c>
      <c r="B723" s="9" t="s">
        <v>228</v>
      </c>
      <c r="C723" s="9" t="s">
        <v>228</v>
      </c>
      <c r="D723" s="9" t="s">
        <v>74</v>
      </c>
      <c r="E723" s="9" t="s">
        <v>75</v>
      </c>
      <c r="F723" s="9" t="s">
        <v>334</v>
      </c>
      <c r="G723" s="9" t="s">
        <v>229</v>
      </c>
      <c r="H723" s="10">
        <v>2176.81</v>
      </c>
      <c r="I723" s="10">
        <v>3894.9</v>
      </c>
      <c r="J723" s="10">
        <v>5892.7</v>
      </c>
      <c r="K723" s="10">
        <v>5333.1</v>
      </c>
      <c r="L723" s="10">
        <v>6533.89</v>
      </c>
      <c r="M723" s="10">
        <v>6615.06</v>
      </c>
      <c r="N723" s="10">
        <v>5212.33</v>
      </c>
      <c r="O723" s="10">
        <v>6573.33</v>
      </c>
      <c r="P723" s="10">
        <v>5389.58</v>
      </c>
      <c r="Q723" s="10">
        <v>5598.57</v>
      </c>
      <c r="R723" s="10">
        <f t="shared" si="0"/>
        <v>53220.270000000004</v>
      </c>
    </row>
    <row r="724" spans="1:18" ht="12.75" x14ac:dyDescent="0.2">
      <c r="A724" s="9" t="s">
        <v>332</v>
      </c>
      <c r="B724" s="9" t="s">
        <v>228</v>
      </c>
      <c r="C724" s="9" t="s">
        <v>228</v>
      </c>
      <c r="D724" s="9" t="s">
        <v>74</v>
      </c>
      <c r="E724" s="9" t="s">
        <v>75</v>
      </c>
      <c r="F724" s="9" t="s">
        <v>334</v>
      </c>
      <c r="G724" s="9" t="s">
        <v>234</v>
      </c>
      <c r="H724" s="10">
        <v>0</v>
      </c>
      <c r="I724" s="10">
        <v>0</v>
      </c>
      <c r="J724" s="10">
        <v>184858.92</v>
      </c>
      <c r="K724" s="10">
        <v>188435.62</v>
      </c>
      <c r="L724" s="10">
        <v>177975.2</v>
      </c>
      <c r="M724" s="10">
        <v>177975.2</v>
      </c>
      <c r="N724" s="10">
        <v>185045.47</v>
      </c>
      <c r="O724" s="10">
        <v>185350.54</v>
      </c>
      <c r="P724" s="10">
        <v>196989.46</v>
      </c>
      <c r="Q724" s="10">
        <v>205407.08</v>
      </c>
      <c r="R724" s="10">
        <f t="shared" si="0"/>
        <v>1502037.49</v>
      </c>
    </row>
    <row r="725" spans="1:18" ht="12.75" x14ac:dyDescent="0.2">
      <c r="A725" s="9" t="s">
        <v>332</v>
      </c>
      <c r="B725" s="9" t="s">
        <v>228</v>
      </c>
      <c r="C725" s="9" t="s">
        <v>228</v>
      </c>
      <c r="D725" s="9" t="s">
        <v>74</v>
      </c>
      <c r="E725" s="9" t="s">
        <v>75</v>
      </c>
      <c r="F725" s="9" t="s">
        <v>334</v>
      </c>
      <c r="G725" s="9" t="s">
        <v>230</v>
      </c>
      <c r="H725" s="10">
        <v>16461.41</v>
      </c>
      <c r="I725" s="10">
        <v>70428.88</v>
      </c>
      <c r="J725" s="10">
        <v>87228.62</v>
      </c>
      <c r="K725" s="10">
        <v>40632.67</v>
      </c>
      <c r="L725" s="10">
        <v>29016.35</v>
      </c>
      <c r="M725" s="10">
        <v>30604.94</v>
      </c>
      <c r="N725" s="10">
        <v>43437.85</v>
      </c>
      <c r="O725" s="10">
        <v>74080.36</v>
      </c>
      <c r="P725" s="10">
        <v>134696.60999999999</v>
      </c>
      <c r="Q725" s="10">
        <v>61188.68</v>
      </c>
      <c r="R725" s="10">
        <f t="shared" si="0"/>
        <v>587776.37</v>
      </c>
    </row>
    <row r="726" spans="1:18" ht="12.75" x14ac:dyDescent="0.2">
      <c r="A726" s="9" t="s">
        <v>332</v>
      </c>
      <c r="B726" s="9" t="s">
        <v>228</v>
      </c>
      <c r="C726" s="9" t="s">
        <v>228</v>
      </c>
      <c r="D726" s="9" t="s">
        <v>74</v>
      </c>
      <c r="E726" s="9" t="s">
        <v>75</v>
      </c>
      <c r="F726" s="9" t="s">
        <v>334</v>
      </c>
      <c r="G726" s="9" t="s">
        <v>232</v>
      </c>
      <c r="H726" s="10">
        <v>0</v>
      </c>
      <c r="I726" s="10">
        <v>209.38</v>
      </c>
      <c r="J726" s="10">
        <v>2200.5100000000002</v>
      </c>
      <c r="K726" s="10">
        <v>2200.5100000000002</v>
      </c>
      <c r="L726" s="10">
        <v>2200.5100000000002</v>
      </c>
      <c r="M726" s="10">
        <v>2200.5100000000002</v>
      </c>
      <c r="N726" s="10">
        <v>2200.5100000000002</v>
      </c>
      <c r="O726" s="10">
        <v>2286.1799999999998</v>
      </c>
      <c r="P726" s="10">
        <v>2200.5100000000002</v>
      </c>
      <c r="Q726" s="10">
        <v>2200.5100000000002</v>
      </c>
      <c r="R726" s="10">
        <f t="shared" si="0"/>
        <v>17899.130000000005</v>
      </c>
    </row>
    <row r="727" spans="1:18" ht="12.75" x14ac:dyDescent="0.2">
      <c r="A727" s="9" t="s">
        <v>332</v>
      </c>
      <c r="B727" s="9" t="s">
        <v>228</v>
      </c>
      <c r="C727" s="9" t="s">
        <v>228</v>
      </c>
      <c r="D727" s="9" t="s">
        <v>74</v>
      </c>
      <c r="E727" s="9" t="s">
        <v>76</v>
      </c>
      <c r="F727" s="9" t="s">
        <v>334</v>
      </c>
      <c r="G727" s="9" t="s">
        <v>233</v>
      </c>
      <c r="H727" s="10">
        <v>7477.88</v>
      </c>
      <c r="I727" s="10">
        <v>19712.11</v>
      </c>
      <c r="J727" s="10">
        <v>170199.12</v>
      </c>
      <c r="K727" s="10">
        <v>188175.5</v>
      </c>
      <c r="L727" s="10">
        <v>154135.1</v>
      </c>
      <c r="M727" s="10">
        <v>171532.09</v>
      </c>
      <c r="N727" s="10">
        <v>162408.46</v>
      </c>
      <c r="O727" s="10">
        <v>199018.04</v>
      </c>
      <c r="P727" s="10">
        <v>170727.02</v>
      </c>
      <c r="Q727" s="10">
        <v>158650.12</v>
      </c>
      <c r="R727" s="10">
        <f t="shared" si="0"/>
        <v>1402035.44</v>
      </c>
    </row>
    <row r="728" spans="1:18" ht="12.75" x14ac:dyDescent="0.2">
      <c r="A728" s="9" t="s">
        <v>332</v>
      </c>
      <c r="B728" s="9" t="s">
        <v>228</v>
      </c>
      <c r="C728" s="9" t="s">
        <v>228</v>
      </c>
      <c r="D728" s="9" t="s">
        <v>74</v>
      </c>
      <c r="E728" s="9" t="s">
        <v>77</v>
      </c>
      <c r="F728" s="9" t="s">
        <v>334</v>
      </c>
      <c r="G728" s="9" t="s">
        <v>230</v>
      </c>
      <c r="H728" s="10">
        <v>20455.13</v>
      </c>
      <c r="I728" s="10">
        <v>87515.72</v>
      </c>
      <c r="J728" s="10">
        <v>108391.27</v>
      </c>
      <c r="K728" s="10">
        <v>50490.61</v>
      </c>
      <c r="L728" s="10">
        <v>36056.050000000003</v>
      </c>
      <c r="M728" s="10">
        <v>38030.04</v>
      </c>
      <c r="N728" s="10">
        <v>53976.37</v>
      </c>
      <c r="O728" s="10">
        <v>92053.09</v>
      </c>
      <c r="P728" s="10">
        <v>167375.51999999999</v>
      </c>
      <c r="Q728" s="10">
        <v>76033.740000000005</v>
      </c>
      <c r="R728" s="10">
        <f t="shared" si="0"/>
        <v>730377.53999999992</v>
      </c>
    </row>
    <row r="729" spans="1:18" ht="12.75" x14ac:dyDescent="0.2">
      <c r="A729" s="9" t="s">
        <v>332</v>
      </c>
      <c r="B729" s="9" t="s">
        <v>228</v>
      </c>
      <c r="C729" s="9" t="s">
        <v>228</v>
      </c>
      <c r="D729" s="9" t="s">
        <v>74</v>
      </c>
      <c r="E729" s="9" t="s">
        <v>77</v>
      </c>
      <c r="F729" s="9" t="s">
        <v>334</v>
      </c>
      <c r="G729" s="9" t="s">
        <v>232</v>
      </c>
      <c r="H729" s="10">
        <v>0</v>
      </c>
      <c r="I729" s="10">
        <v>13067.7</v>
      </c>
      <c r="J729" s="10">
        <v>137338.07</v>
      </c>
      <c r="K729" s="10">
        <v>137338.07</v>
      </c>
      <c r="L729" s="10">
        <v>137338.07</v>
      </c>
      <c r="M729" s="10">
        <v>137338.07</v>
      </c>
      <c r="N729" s="10">
        <v>137338.07</v>
      </c>
      <c r="O729" s="10">
        <v>142685.04</v>
      </c>
      <c r="P729" s="10">
        <v>137338.07</v>
      </c>
      <c r="Q729" s="10">
        <v>137338.07</v>
      </c>
      <c r="R729" s="10">
        <f t="shared" si="0"/>
        <v>1117119.2300000002</v>
      </c>
    </row>
    <row r="730" spans="1:18" ht="12.75" x14ac:dyDescent="0.2">
      <c r="A730" s="9" t="s">
        <v>332</v>
      </c>
      <c r="B730" s="9" t="s">
        <v>228</v>
      </c>
      <c r="C730" s="9" t="s">
        <v>228</v>
      </c>
      <c r="D730" s="9" t="s">
        <v>74</v>
      </c>
      <c r="E730" s="9" t="s">
        <v>80</v>
      </c>
      <c r="F730" s="9" t="s">
        <v>334</v>
      </c>
      <c r="G730" s="9" t="s">
        <v>230</v>
      </c>
      <c r="H730" s="10">
        <v>10765.86</v>
      </c>
      <c r="I730" s="10">
        <v>46060.91</v>
      </c>
      <c r="J730" s="10">
        <v>57048.04</v>
      </c>
      <c r="K730" s="10">
        <v>26574.01</v>
      </c>
      <c r="L730" s="10">
        <v>18976.87</v>
      </c>
      <c r="M730" s="10">
        <v>20015.810000000001</v>
      </c>
      <c r="N730" s="10">
        <v>28408.61</v>
      </c>
      <c r="O730" s="10">
        <v>48449</v>
      </c>
      <c r="P730" s="10">
        <v>88092.38</v>
      </c>
      <c r="Q730" s="10">
        <v>40017.760000000002</v>
      </c>
      <c r="R730" s="10">
        <f t="shared" si="0"/>
        <v>384409.25</v>
      </c>
    </row>
    <row r="731" spans="1:18" ht="12.75" x14ac:dyDescent="0.2">
      <c r="A731" s="9" t="s">
        <v>332</v>
      </c>
      <c r="B731" s="9" t="s">
        <v>228</v>
      </c>
      <c r="C731" s="9" t="s">
        <v>228</v>
      </c>
      <c r="D731" s="9" t="s">
        <v>74</v>
      </c>
      <c r="E731" s="9" t="s">
        <v>80</v>
      </c>
      <c r="F731" s="9" t="s">
        <v>334</v>
      </c>
      <c r="G731" s="9" t="s">
        <v>232</v>
      </c>
      <c r="H731" s="10">
        <v>0</v>
      </c>
      <c r="I731" s="10">
        <v>7877.79</v>
      </c>
      <c r="J731" s="10">
        <v>82793.460000000006</v>
      </c>
      <c r="K731" s="10">
        <v>82793.460000000006</v>
      </c>
      <c r="L731" s="10">
        <v>82793.460000000006</v>
      </c>
      <c r="M731" s="10">
        <v>82793.460000000006</v>
      </c>
      <c r="N731" s="10">
        <v>82793.460000000006</v>
      </c>
      <c r="O731" s="10">
        <v>86016.85</v>
      </c>
      <c r="P731" s="10">
        <v>82793.460000000006</v>
      </c>
      <c r="Q731" s="10">
        <v>82793.460000000006</v>
      </c>
      <c r="R731" s="10">
        <f t="shared" si="0"/>
        <v>673448.86</v>
      </c>
    </row>
    <row r="732" spans="1:18" ht="12.75" x14ac:dyDescent="0.2">
      <c r="A732" s="9" t="s">
        <v>332</v>
      </c>
      <c r="B732" s="9" t="s">
        <v>228</v>
      </c>
      <c r="C732" s="9" t="s">
        <v>228</v>
      </c>
      <c r="D732" s="9" t="s">
        <v>74</v>
      </c>
      <c r="E732" s="9" t="s">
        <v>81</v>
      </c>
      <c r="F732" s="9" t="s">
        <v>334</v>
      </c>
      <c r="G732" s="9" t="s">
        <v>232</v>
      </c>
      <c r="H732" s="10">
        <v>0</v>
      </c>
      <c r="I732" s="10">
        <v>421098.41</v>
      </c>
      <c r="J732" s="10">
        <v>4425634.25</v>
      </c>
      <c r="K732" s="10">
        <v>4425634.25</v>
      </c>
      <c r="L732" s="10">
        <v>4425634.25</v>
      </c>
      <c r="M732" s="10">
        <v>4425634.25</v>
      </c>
      <c r="N732" s="10">
        <v>4425634.25</v>
      </c>
      <c r="O732" s="10">
        <v>4597937.17</v>
      </c>
      <c r="P732" s="10">
        <v>4425634.25</v>
      </c>
      <c r="Q732" s="10">
        <v>4425634.25</v>
      </c>
      <c r="R732" s="10">
        <f t="shared" si="0"/>
        <v>35998475.329999998</v>
      </c>
    </row>
    <row r="733" spans="1:18" ht="12.75" x14ac:dyDescent="0.2">
      <c r="A733" s="9" t="s">
        <v>332</v>
      </c>
      <c r="B733" s="9" t="s">
        <v>228</v>
      </c>
      <c r="C733" s="9" t="s">
        <v>228</v>
      </c>
      <c r="D733" s="9" t="s">
        <v>74</v>
      </c>
      <c r="E733" s="9" t="s">
        <v>84</v>
      </c>
      <c r="F733" s="9" t="s">
        <v>334</v>
      </c>
      <c r="G733" s="9" t="s">
        <v>233</v>
      </c>
      <c r="H733" s="10">
        <v>24926.26</v>
      </c>
      <c r="I733" s="10">
        <v>65707.02</v>
      </c>
      <c r="J733" s="10">
        <v>567330.39</v>
      </c>
      <c r="K733" s="10">
        <v>627251.67000000004</v>
      </c>
      <c r="L733" s="10">
        <v>513783.67</v>
      </c>
      <c r="M733" s="10">
        <v>571773.62</v>
      </c>
      <c r="N733" s="10">
        <v>541361.54</v>
      </c>
      <c r="O733" s="10">
        <v>663393.46</v>
      </c>
      <c r="P733" s="10">
        <v>569090.07999999996</v>
      </c>
      <c r="Q733" s="10">
        <v>528833.74</v>
      </c>
      <c r="R733" s="10">
        <f t="shared" si="0"/>
        <v>4673451.45</v>
      </c>
    </row>
    <row r="734" spans="1:18" ht="12.75" x14ac:dyDescent="0.2">
      <c r="A734" s="9" t="s">
        <v>332</v>
      </c>
      <c r="B734" s="9" t="s">
        <v>228</v>
      </c>
      <c r="C734" s="9" t="s">
        <v>228</v>
      </c>
      <c r="D734" s="9" t="s">
        <v>74</v>
      </c>
      <c r="E734" s="9" t="s">
        <v>84</v>
      </c>
      <c r="F734" s="9" t="s">
        <v>334</v>
      </c>
      <c r="G734" s="9" t="s">
        <v>230</v>
      </c>
      <c r="H734" s="10">
        <v>10906.52</v>
      </c>
      <c r="I734" s="10">
        <v>46662.720000000001</v>
      </c>
      <c r="J734" s="10">
        <v>57793.41</v>
      </c>
      <c r="K734" s="10">
        <v>26921.21</v>
      </c>
      <c r="L734" s="10">
        <v>19224.810000000001</v>
      </c>
      <c r="M734" s="10">
        <v>20277.330000000002</v>
      </c>
      <c r="N734" s="10">
        <v>28779.79</v>
      </c>
      <c r="O734" s="10">
        <v>49082.01</v>
      </c>
      <c r="P734" s="10">
        <v>89243.37</v>
      </c>
      <c r="Q734" s="10">
        <v>40540.620000000003</v>
      </c>
      <c r="R734" s="10">
        <f t="shared" si="0"/>
        <v>389431.79000000004</v>
      </c>
    </row>
    <row r="735" spans="1:18" ht="12.75" x14ac:dyDescent="0.2">
      <c r="A735" s="9" t="s">
        <v>332</v>
      </c>
      <c r="B735" s="9" t="s">
        <v>228</v>
      </c>
      <c r="C735" s="9" t="s">
        <v>228</v>
      </c>
      <c r="D735" s="9" t="s">
        <v>74</v>
      </c>
      <c r="E735" s="9" t="s">
        <v>84</v>
      </c>
      <c r="F735" s="9" t="s">
        <v>334</v>
      </c>
      <c r="G735" s="9" t="s">
        <v>232</v>
      </c>
      <c r="H735" s="10">
        <v>0</v>
      </c>
      <c r="I735" s="10">
        <v>50803.34</v>
      </c>
      <c r="J735" s="10">
        <v>533929.81999999995</v>
      </c>
      <c r="K735" s="10">
        <v>533929.81999999995</v>
      </c>
      <c r="L735" s="10">
        <v>533929.81999999995</v>
      </c>
      <c r="M735" s="10">
        <v>533929.81999999995</v>
      </c>
      <c r="N735" s="10">
        <v>533929.81999999995</v>
      </c>
      <c r="O735" s="10">
        <v>554717.27</v>
      </c>
      <c r="P735" s="10">
        <v>533929.81999999995</v>
      </c>
      <c r="Q735" s="10">
        <v>533929.81999999995</v>
      </c>
      <c r="R735" s="10">
        <f t="shared" si="0"/>
        <v>4343029.3499999996</v>
      </c>
    </row>
    <row r="736" spans="1:18" ht="12.75" x14ac:dyDescent="0.2">
      <c r="A736" s="9" t="s">
        <v>332</v>
      </c>
      <c r="B736" s="9" t="s">
        <v>228</v>
      </c>
      <c r="C736" s="9" t="s">
        <v>228</v>
      </c>
      <c r="D736" s="9" t="s">
        <v>74</v>
      </c>
      <c r="E736" s="9" t="s">
        <v>85</v>
      </c>
      <c r="F736" s="9" t="s">
        <v>334</v>
      </c>
      <c r="G736" s="9" t="s">
        <v>233</v>
      </c>
      <c r="H736" s="10">
        <v>7477.88</v>
      </c>
      <c r="I736" s="10">
        <v>19712.11</v>
      </c>
      <c r="J736" s="10">
        <v>170199.12</v>
      </c>
      <c r="K736" s="10">
        <v>188175.5</v>
      </c>
      <c r="L736" s="10">
        <v>154135.1</v>
      </c>
      <c r="M736" s="10">
        <v>171532.09</v>
      </c>
      <c r="N736" s="10">
        <v>162408.46</v>
      </c>
      <c r="O736" s="10">
        <v>199018.04</v>
      </c>
      <c r="P736" s="10">
        <v>170727.02</v>
      </c>
      <c r="Q736" s="10">
        <v>158650.12</v>
      </c>
      <c r="R736" s="10">
        <f t="shared" si="0"/>
        <v>1402035.44</v>
      </c>
    </row>
    <row r="737" spans="1:18" ht="12.75" x14ac:dyDescent="0.2">
      <c r="A737" s="9" t="s">
        <v>332</v>
      </c>
      <c r="B737" s="9" t="s">
        <v>228</v>
      </c>
      <c r="C737" s="9" t="s">
        <v>228</v>
      </c>
      <c r="D737" s="9" t="s">
        <v>74</v>
      </c>
      <c r="E737" s="9" t="s">
        <v>85</v>
      </c>
      <c r="F737" s="9" t="s">
        <v>334</v>
      </c>
      <c r="G737" s="9" t="s">
        <v>232</v>
      </c>
      <c r="H737" s="10">
        <v>0</v>
      </c>
      <c r="I737" s="10">
        <v>17919.91</v>
      </c>
      <c r="J737" s="10">
        <v>188333.52</v>
      </c>
      <c r="K737" s="10">
        <v>188333.52</v>
      </c>
      <c r="L737" s="10">
        <v>188333.52</v>
      </c>
      <c r="M737" s="10">
        <v>188333.52</v>
      </c>
      <c r="N737" s="10">
        <v>188333.52</v>
      </c>
      <c r="O737" s="10">
        <v>195665.9</v>
      </c>
      <c r="P737" s="10">
        <v>188333.52</v>
      </c>
      <c r="Q737" s="10">
        <v>188333.52</v>
      </c>
      <c r="R737" s="10">
        <f t="shared" si="0"/>
        <v>1531920.45</v>
      </c>
    </row>
    <row r="738" spans="1:18" ht="12.75" x14ac:dyDescent="0.2">
      <c r="A738" s="9" t="s">
        <v>332</v>
      </c>
      <c r="B738" s="9" t="s">
        <v>228</v>
      </c>
      <c r="C738" s="9" t="s">
        <v>228</v>
      </c>
      <c r="D738" s="9" t="s">
        <v>87</v>
      </c>
      <c r="E738" s="9" t="s">
        <v>89</v>
      </c>
      <c r="F738" s="9" t="s">
        <v>334</v>
      </c>
      <c r="G738" s="9" t="s">
        <v>229</v>
      </c>
      <c r="H738" s="10">
        <v>19996.47</v>
      </c>
      <c r="I738" s="10">
        <v>35779.06</v>
      </c>
      <c r="J738" s="10">
        <v>54131.19</v>
      </c>
      <c r="K738" s="10">
        <v>48990.57</v>
      </c>
      <c r="L738" s="10">
        <v>60021.25</v>
      </c>
      <c r="M738" s="10">
        <v>60766.86</v>
      </c>
      <c r="N738" s="10">
        <v>47881.15</v>
      </c>
      <c r="O738" s="10">
        <v>60383.519999999997</v>
      </c>
      <c r="P738" s="10">
        <v>49509.42</v>
      </c>
      <c r="Q738" s="10">
        <v>51429.26</v>
      </c>
      <c r="R738" s="10">
        <f t="shared" si="0"/>
        <v>488888.75000000006</v>
      </c>
    </row>
    <row r="739" spans="1:18" ht="12.75" x14ac:dyDescent="0.2">
      <c r="A739" s="9" t="s">
        <v>332</v>
      </c>
      <c r="B739" s="9" t="s">
        <v>228</v>
      </c>
      <c r="C739" s="9" t="s">
        <v>228</v>
      </c>
      <c r="D739" s="9" t="s">
        <v>87</v>
      </c>
      <c r="E739" s="9" t="s">
        <v>89</v>
      </c>
      <c r="F739" s="9" t="s">
        <v>334</v>
      </c>
      <c r="G739" s="9" t="s">
        <v>230</v>
      </c>
      <c r="H739" s="10">
        <v>3920.81</v>
      </c>
      <c r="I739" s="10">
        <v>16774.87</v>
      </c>
      <c r="J739" s="10">
        <v>20776.27</v>
      </c>
      <c r="K739" s="10">
        <v>9677.9599999999991</v>
      </c>
      <c r="L739" s="10">
        <v>6911.17</v>
      </c>
      <c r="M739" s="10">
        <v>7289.54</v>
      </c>
      <c r="N739" s="10">
        <v>10346.1</v>
      </c>
      <c r="O739" s="10">
        <v>17644.59</v>
      </c>
      <c r="P739" s="10">
        <v>32082.27</v>
      </c>
      <c r="Q739" s="10">
        <v>14574.03</v>
      </c>
      <c r="R739" s="10">
        <f t="shared" si="0"/>
        <v>139997.61000000002</v>
      </c>
    </row>
    <row r="740" spans="1:18" ht="12.75" x14ac:dyDescent="0.2">
      <c r="A740" s="9" t="s">
        <v>332</v>
      </c>
      <c r="B740" s="9" t="s">
        <v>228</v>
      </c>
      <c r="C740" s="9" t="s">
        <v>228</v>
      </c>
      <c r="D740" s="9" t="s">
        <v>96</v>
      </c>
      <c r="E740" s="9" t="s">
        <v>98</v>
      </c>
      <c r="F740" s="9" t="s">
        <v>334</v>
      </c>
      <c r="G740" s="9" t="s">
        <v>229</v>
      </c>
      <c r="H740" s="10">
        <v>27329.96</v>
      </c>
      <c r="I740" s="10">
        <v>48900.65</v>
      </c>
      <c r="J740" s="10">
        <v>73983.23</v>
      </c>
      <c r="K740" s="10">
        <v>66957.34</v>
      </c>
      <c r="L740" s="10">
        <v>82033.41</v>
      </c>
      <c r="M740" s="10">
        <v>83052.460000000006</v>
      </c>
      <c r="N740" s="10">
        <v>65441.05</v>
      </c>
      <c r="O740" s="10">
        <v>82528.53</v>
      </c>
      <c r="P740" s="10">
        <v>67666.47</v>
      </c>
      <c r="Q740" s="10">
        <v>70290.399999999994</v>
      </c>
      <c r="R740" s="10">
        <f t="shared" si="0"/>
        <v>668183.5</v>
      </c>
    </row>
    <row r="741" spans="1:18" ht="12.75" x14ac:dyDescent="0.2">
      <c r="A741" s="9" t="s">
        <v>332</v>
      </c>
      <c r="B741" s="9" t="s">
        <v>228</v>
      </c>
      <c r="C741" s="9" t="s">
        <v>228</v>
      </c>
      <c r="D741" s="9" t="s">
        <v>96</v>
      </c>
      <c r="E741" s="9" t="s">
        <v>98</v>
      </c>
      <c r="F741" s="9" t="s">
        <v>334</v>
      </c>
      <c r="G741" s="9" t="s">
        <v>230</v>
      </c>
      <c r="H741" s="10">
        <v>25083.4</v>
      </c>
      <c r="I741" s="10">
        <v>107317.43</v>
      </c>
      <c r="J741" s="10">
        <v>132916.38</v>
      </c>
      <c r="K741" s="10">
        <v>61914.85</v>
      </c>
      <c r="L741" s="10">
        <v>44214.26</v>
      </c>
      <c r="M741" s="10">
        <v>46634.89</v>
      </c>
      <c r="N741" s="10">
        <v>66189.31</v>
      </c>
      <c r="O741" s="10">
        <v>112881.45</v>
      </c>
      <c r="P741" s="10">
        <v>205246.68</v>
      </c>
      <c r="Q741" s="10">
        <v>93237.49</v>
      </c>
      <c r="R741" s="10">
        <f t="shared" si="0"/>
        <v>895636.1399999999</v>
      </c>
    </row>
    <row r="742" spans="1:18" ht="12.75" x14ac:dyDescent="0.2">
      <c r="A742" s="9" t="s">
        <v>332</v>
      </c>
      <c r="B742" s="9" t="s">
        <v>228</v>
      </c>
      <c r="C742" s="9" t="s">
        <v>228</v>
      </c>
      <c r="D742" s="9" t="s">
        <v>96</v>
      </c>
      <c r="E742" s="9" t="s">
        <v>99</v>
      </c>
      <c r="F742" s="9" t="s">
        <v>334</v>
      </c>
      <c r="G742" s="9" t="s">
        <v>233</v>
      </c>
      <c r="H742" s="10">
        <v>3052.06</v>
      </c>
      <c r="I742" s="10">
        <v>8045.39</v>
      </c>
      <c r="J742" s="10">
        <v>69465.83</v>
      </c>
      <c r="K742" s="10">
        <v>76802.8</v>
      </c>
      <c r="L742" s="10">
        <v>62909.39</v>
      </c>
      <c r="M742" s="10">
        <v>70009.88</v>
      </c>
      <c r="N742" s="10">
        <v>66286.12</v>
      </c>
      <c r="O742" s="10">
        <v>81228.12</v>
      </c>
      <c r="P742" s="10">
        <v>69681.3</v>
      </c>
      <c r="Q742" s="10">
        <v>64752.18</v>
      </c>
      <c r="R742" s="10">
        <f t="shared" si="0"/>
        <v>572233.07000000007</v>
      </c>
    </row>
    <row r="743" spans="1:18" ht="12.75" x14ac:dyDescent="0.2">
      <c r="A743" s="9" t="s">
        <v>332</v>
      </c>
      <c r="B743" s="9" t="s">
        <v>228</v>
      </c>
      <c r="C743" s="9" t="s">
        <v>228</v>
      </c>
      <c r="D743" s="9" t="s">
        <v>96</v>
      </c>
      <c r="E743" s="9" t="s">
        <v>99</v>
      </c>
      <c r="F743" s="9" t="s">
        <v>334</v>
      </c>
      <c r="G743" s="9" t="s">
        <v>230</v>
      </c>
      <c r="H743" s="10">
        <v>2712.52</v>
      </c>
      <c r="I743" s="10">
        <v>11605.33</v>
      </c>
      <c r="J743" s="10">
        <v>14373.6</v>
      </c>
      <c r="K743" s="10">
        <v>6695.48</v>
      </c>
      <c r="L743" s="10">
        <v>4781.34</v>
      </c>
      <c r="M743" s="10">
        <v>5043.1099999999997</v>
      </c>
      <c r="N743" s="10">
        <v>7157.72</v>
      </c>
      <c r="O743" s="10">
        <v>12207.02</v>
      </c>
      <c r="P743" s="10">
        <v>22195.42</v>
      </c>
      <c r="Q743" s="10">
        <v>10082.719999999999</v>
      </c>
      <c r="R743" s="10">
        <f t="shared" si="0"/>
        <v>96854.260000000009</v>
      </c>
    </row>
    <row r="744" spans="1:18" ht="12.75" x14ac:dyDescent="0.2">
      <c r="A744" s="9" t="s">
        <v>332</v>
      </c>
      <c r="B744" s="9" t="s">
        <v>228</v>
      </c>
      <c r="C744" s="9" t="s">
        <v>228</v>
      </c>
      <c r="D744" s="9" t="s">
        <v>96</v>
      </c>
      <c r="E744" s="9" t="s">
        <v>102</v>
      </c>
      <c r="F744" s="9" t="s">
        <v>334</v>
      </c>
      <c r="G744" s="9" t="s">
        <v>233</v>
      </c>
      <c r="H744" s="10">
        <v>11665.49</v>
      </c>
      <c r="I744" s="10">
        <v>30750.89</v>
      </c>
      <c r="J744" s="10">
        <v>265510.62</v>
      </c>
      <c r="K744" s="10">
        <v>293553.78000000003</v>
      </c>
      <c r="L744" s="10">
        <v>240450.76</v>
      </c>
      <c r="M744" s="10">
        <v>267590.06</v>
      </c>
      <c r="N744" s="10">
        <v>253357.2</v>
      </c>
      <c r="O744" s="10">
        <v>310468.14</v>
      </c>
      <c r="P744" s="10">
        <v>266334.15999999997</v>
      </c>
      <c r="Q744" s="10">
        <v>247494.19</v>
      </c>
      <c r="R744" s="10">
        <f t="shared" si="0"/>
        <v>2187175.29</v>
      </c>
    </row>
    <row r="745" spans="1:18" ht="12.75" x14ac:dyDescent="0.2">
      <c r="A745" s="9" t="s">
        <v>332</v>
      </c>
      <c r="B745" s="9" t="s">
        <v>228</v>
      </c>
      <c r="C745" s="9" t="s">
        <v>228</v>
      </c>
      <c r="D745" s="9" t="s">
        <v>112</v>
      </c>
      <c r="E745" s="9" t="s">
        <v>113</v>
      </c>
      <c r="F745" s="9" t="s">
        <v>334</v>
      </c>
      <c r="G745" s="9" t="s">
        <v>231</v>
      </c>
      <c r="H745" s="10">
        <v>0</v>
      </c>
      <c r="I745" s="10">
        <v>0</v>
      </c>
      <c r="J745" s="10">
        <v>27236.98</v>
      </c>
      <c r="K745" s="10">
        <v>3503.35</v>
      </c>
      <c r="L745" s="10">
        <v>3073.84</v>
      </c>
      <c r="M745" s="10">
        <v>3073.84</v>
      </c>
      <c r="N745" s="10">
        <v>3073.84</v>
      </c>
      <c r="O745" s="10">
        <v>4179.75</v>
      </c>
      <c r="P745" s="10">
        <v>3073.84</v>
      </c>
      <c r="Q745" s="10">
        <v>8109.56</v>
      </c>
      <c r="R745" s="10">
        <f t="shared" si="0"/>
        <v>55324.999999999985</v>
      </c>
    </row>
    <row r="746" spans="1:18" ht="12.75" x14ac:dyDescent="0.2">
      <c r="A746" s="9" t="s">
        <v>332</v>
      </c>
      <c r="B746" s="9" t="s">
        <v>228</v>
      </c>
      <c r="C746" s="9" t="s">
        <v>228</v>
      </c>
      <c r="D746" s="9" t="s">
        <v>112</v>
      </c>
      <c r="E746" s="9" t="s">
        <v>113</v>
      </c>
      <c r="F746" s="9" t="s">
        <v>334</v>
      </c>
      <c r="G746" s="9" t="s">
        <v>230</v>
      </c>
      <c r="H746" s="10">
        <v>31847.81</v>
      </c>
      <c r="I746" s="10">
        <v>136258.43</v>
      </c>
      <c r="J746" s="10">
        <v>168760.82</v>
      </c>
      <c r="K746" s="10">
        <v>78611.839999999997</v>
      </c>
      <c r="L746" s="10">
        <v>56137.81</v>
      </c>
      <c r="M746" s="10">
        <v>59211.23</v>
      </c>
      <c r="N746" s="10">
        <v>84039.02</v>
      </c>
      <c r="O746" s="10">
        <v>143322.93</v>
      </c>
      <c r="P746" s="10">
        <v>260596.91</v>
      </c>
      <c r="Q746" s="10">
        <v>118381.46</v>
      </c>
      <c r="R746" s="10">
        <f t="shared" si="0"/>
        <v>1137168.2600000002</v>
      </c>
    </row>
    <row r="747" spans="1:18" ht="12.75" x14ac:dyDescent="0.2">
      <c r="A747" s="9" t="s">
        <v>332</v>
      </c>
      <c r="B747" s="9" t="s">
        <v>228</v>
      </c>
      <c r="C747" s="9" t="s">
        <v>228</v>
      </c>
      <c r="D747" s="9" t="s">
        <v>112</v>
      </c>
      <c r="E747" s="9" t="s">
        <v>203</v>
      </c>
      <c r="F747" s="9" t="s">
        <v>334</v>
      </c>
      <c r="G747" s="9" t="s">
        <v>229</v>
      </c>
      <c r="H747" s="10">
        <v>454935.61</v>
      </c>
      <c r="I747" s="10">
        <v>814002.12</v>
      </c>
      <c r="J747" s="10">
        <v>1231527.79</v>
      </c>
      <c r="K747" s="10">
        <v>1114574.55</v>
      </c>
      <c r="L747" s="10">
        <v>1365531.32</v>
      </c>
      <c r="M747" s="10">
        <v>1382494.43</v>
      </c>
      <c r="N747" s="10">
        <v>1089334.29</v>
      </c>
      <c r="O747" s="10">
        <v>1373773.19</v>
      </c>
      <c r="P747" s="10">
        <v>1126378.71</v>
      </c>
      <c r="Q747" s="10">
        <v>1170056.73</v>
      </c>
      <c r="R747" s="10">
        <f t="shared" si="0"/>
        <v>11122608.740000002</v>
      </c>
    </row>
    <row r="748" spans="1:18" ht="12.75" x14ac:dyDescent="0.2">
      <c r="A748" s="9" t="s">
        <v>332</v>
      </c>
      <c r="B748" s="9" t="s">
        <v>228</v>
      </c>
      <c r="C748" s="9" t="s">
        <v>228</v>
      </c>
      <c r="D748" s="9" t="s">
        <v>112</v>
      </c>
      <c r="E748" s="9" t="s">
        <v>116</v>
      </c>
      <c r="F748" s="9" t="s">
        <v>334</v>
      </c>
      <c r="G748" s="9" t="s">
        <v>230</v>
      </c>
      <c r="H748" s="10">
        <v>57570.400000000001</v>
      </c>
      <c r="I748" s="10">
        <v>246310.55</v>
      </c>
      <c r="J748" s="10">
        <v>305064.2</v>
      </c>
      <c r="K748" s="10">
        <v>142104.43</v>
      </c>
      <c r="L748" s="10">
        <v>101478.75</v>
      </c>
      <c r="M748" s="10">
        <v>107034.49</v>
      </c>
      <c r="N748" s="10">
        <v>151914.98000000001</v>
      </c>
      <c r="O748" s="10">
        <v>259080.86</v>
      </c>
      <c r="P748" s="10">
        <v>471073.75</v>
      </c>
      <c r="Q748" s="10">
        <v>213994.85</v>
      </c>
      <c r="R748" s="10">
        <f t="shared" si="0"/>
        <v>2055627.2600000002</v>
      </c>
    </row>
    <row r="749" spans="1:18" ht="12.75" x14ac:dyDescent="0.2">
      <c r="A749" s="9" t="s">
        <v>332</v>
      </c>
      <c r="B749" s="9" t="s">
        <v>228</v>
      </c>
      <c r="C749" s="9" t="s">
        <v>228</v>
      </c>
      <c r="D749" s="9" t="s">
        <v>112</v>
      </c>
      <c r="E749" s="9" t="s">
        <v>118</v>
      </c>
      <c r="F749" s="9" t="s">
        <v>334</v>
      </c>
      <c r="G749" s="9" t="s">
        <v>231</v>
      </c>
      <c r="H749" s="10">
        <v>0</v>
      </c>
      <c r="I749" s="10">
        <v>0</v>
      </c>
      <c r="J749" s="10">
        <v>43200.81</v>
      </c>
      <c r="K749" s="10">
        <v>5556.69</v>
      </c>
      <c r="L749" s="10">
        <v>4875.45</v>
      </c>
      <c r="M749" s="10">
        <v>4875.45</v>
      </c>
      <c r="N749" s="10">
        <v>4875.45</v>
      </c>
      <c r="O749" s="10">
        <v>6629.54</v>
      </c>
      <c r="P749" s="10">
        <v>4875.45</v>
      </c>
      <c r="Q749" s="10">
        <v>12862.65</v>
      </c>
      <c r="R749" s="10">
        <f t="shared" si="0"/>
        <v>87751.489999999976</v>
      </c>
    </row>
    <row r="750" spans="1:18" ht="12.75" x14ac:dyDescent="0.2">
      <c r="A750" s="9" t="s">
        <v>332</v>
      </c>
      <c r="B750" s="9" t="s">
        <v>228</v>
      </c>
      <c r="C750" s="9" t="s">
        <v>228</v>
      </c>
      <c r="D750" s="9" t="s">
        <v>112</v>
      </c>
      <c r="E750" s="9" t="s">
        <v>120</v>
      </c>
      <c r="F750" s="9" t="s">
        <v>334</v>
      </c>
      <c r="G750" s="9" t="s">
        <v>232</v>
      </c>
      <c r="H750" s="10">
        <v>0</v>
      </c>
      <c r="I750" s="10">
        <v>90290.04</v>
      </c>
      <c r="J750" s="10">
        <v>948924.74</v>
      </c>
      <c r="K750" s="10">
        <v>948924.74</v>
      </c>
      <c r="L750" s="10">
        <v>948924.74</v>
      </c>
      <c r="M750" s="10">
        <v>948924.74</v>
      </c>
      <c r="N750" s="10">
        <v>948924.74</v>
      </c>
      <c r="O750" s="10">
        <v>985869.16</v>
      </c>
      <c r="P750" s="10">
        <v>948924.74</v>
      </c>
      <c r="Q750" s="10">
        <v>948924.74</v>
      </c>
      <c r="R750" s="10">
        <f t="shared" si="0"/>
        <v>7718632.3800000008</v>
      </c>
    </row>
    <row r="751" spans="1:18" ht="12.75" x14ac:dyDescent="0.2">
      <c r="A751" s="9" t="s">
        <v>332</v>
      </c>
      <c r="B751" s="9" t="s">
        <v>228</v>
      </c>
      <c r="C751" s="9" t="s">
        <v>228</v>
      </c>
      <c r="D751" s="9" t="s">
        <v>112</v>
      </c>
      <c r="E751" s="9" t="s">
        <v>205</v>
      </c>
      <c r="F751" s="9" t="s">
        <v>334</v>
      </c>
      <c r="G751" s="9" t="s">
        <v>229</v>
      </c>
      <c r="H751" s="10">
        <v>77119.56</v>
      </c>
      <c r="I751" s="10">
        <v>137987.62</v>
      </c>
      <c r="J751" s="10">
        <v>208765.53</v>
      </c>
      <c r="K751" s="10">
        <v>188939.91</v>
      </c>
      <c r="L751" s="10">
        <v>231481.48</v>
      </c>
      <c r="M751" s="10">
        <v>234357.02</v>
      </c>
      <c r="N751" s="10">
        <v>184661.24</v>
      </c>
      <c r="O751" s="10">
        <v>232878.62</v>
      </c>
      <c r="P751" s="10">
        <v>190940.92</v>
      </c>
      <c r="Q751" s="10">
        <v>198345.11</v>
      </c>
      <c r="R751" s="10">
        <f t="shared" si="0"/>
        <v>1885477.0099999998</v>
      </c>
    </row>
    <row r="752" spans="1:18" ht="12.75" x14ac:dyDescent="0.2">
      <c r="A752" s="9" t="s">
        <v>332</v>
      </c>
      <c r="B752" s="9" t="s">
        <v>228</v>
      </c>
      <c r="C752" s="9" t="s">
        <v>228</v>
      </c>
      <c r="D752" s="9" t="s">
        <v>112</v>
      </c>
      <c r="E752" s="9" t="s">
        <v>123</v>
      </c>
      <c r="F752" s="9" t="s">
        <v>334</v>
      </c>
      <c r="G752" s="9" t="s">
        <v>229</v>
      </c>
      <c r="H752" s="10">
        <v>277546.09000000003</v>
      </c>
      <c r="I752" s="10">
        <v>496604.57</v>
      </c>
      <c r="J752" s="10">
        <v>751327.69</v>
      </c>
      <c r="K752" s="10">
        <v>679977.12</v>
      </c>
      <c r="L752" s="10">
        <v>833080.25</v>
      </c>
      <c r="M752" s="10">
        <v>843429.07</v>
      </c>
      <c r="N752" s="10">
        <v>664578.6</v>
      </c>
      <c r="O752" s="10">
        <v>838108.43</v>
      </c>
      <c r="P752" s="10">
        <v>687178.57</v>
      </c>
      <c r="Q752" s="10">
        <v>713825.56</v>
      </c>
      <c r="R752" s="10">
        <f t="shared" si="0"/>
        <v>6785655.9499999993</v>
      </c>
    </row>
    <row r="753" spans="1:18" ht="12.75" x14ac:dyDescent="0.2">
      <c r="A753" s="9" t="s">
        <v>332</v>
      </c>
      <c r="B753" s="9" t="s">
        <v>228</v>
      </c>
      <c r="C753" s="9" t="s">
        <v>228</v>
      </c>
      <c r="D753" s="9" t="s">
        <v>112</v>
      </c>
      <c r="E753" s="9" t="s">
        <v>124</v>
      </c>
      <c r="F753" s="9" t="s">
        <v>334</v>
      </c>
      <c r="G753" s="9" t="s">
        <v>232</v>
      </c>
      <c r="H753" s="10">
        <v>0</v>
      </c>
      <c r="I753" s="10">
        <v>282854.59999999998</v>
      </c>
      <c r="J753" s="10">
        <v>2972727.9</v>
      </c>
      <c r="K753" s="10">
        <v>2972727.9</v>
      </c>
      <c r="L753" s="10">
        <v>2972727.9</v>
      </c>
      <c r="M753" s="10">
        <v>2972727.9</v>
      </c>
      <c r="N753" s="10">
        <v>2972727.9</v>
      </c>
      <c r="O753" s="10">
        <v>3088464.91</v>
      </c>
      <c r="P753" s="10">
        <v>2972727.9</v>
      </c>
      <c r="Q753" s="10">
        <v>2972727.9</v>
      </c>
      <c r="R753" s="10">
        <f t="shared" si="0"/>
        <v>24180414.809999999</v>
      </c>
    </row>
    <row r="754" spans="1:18" ht="12.75" x14ac:dyDescent="0.2">
      <c r="A754" s="9" t="s">
        <v>332</v>
      </c>
      <c r="B754" s="9" t="s">
        <v>228</v>
      </c>
      <c r="C754" s="9" t="s">
        <v>228</v>
      </c>
      <c r="D754" s="9" t="s">
        <v>125</v>
      </c>
      <c r="E754" s="9" t="s">
        <v>126</v>
      </c>
      <c r="F754" s="9" t="s">
        <v>333</v>
      </c>
      <c r="G754" s="9" t="s">
        <v>229</v>
      </c>
      <c r="H754" s="10">
        <v>30599.35</v>
      </c>
      <c r="I754" s="10">
        <v>54750.47</v>
      </c>
      <c r="J754" s="10">
        <v>82833.600000000006</v>
      </c>
      <c r="K754" s="10">
        <v>74967.22</v>
      </c>
      <c r="L754" s="10">
        <v>91846.79</v>
      </c>
      <c r="M754" s="10">
        <v>92987.74</v>
      </c>
      <c r="N754" s="10">
        <v>73269.539999999994</v>
      </c>
      <c r="O754" s="10">
        <v>92401.14</v>
      </c>
      <c r="P754" s="10">
        <v>75761.179999999993</v>
      </c>
      <c r="Q754" s="10">
        <v>78699</v>
      </c>
      <c r="R754" s="10">
        <f t="shared" si="0"/>
        <v>748116.03</v>
      </c>
    </row>
    <row r="755" spans="1:18" ht="12.75" x14ac:dyDescent="0.2">
      <c r="A755" s="9" t="s">
        <v>332</v>
      </c>
      <c r="B755" s="9" t="s">
        <v>228</v>
      </c>
      <c r="C755" s="9" t="s">
        <v>228</v>
      </c>
      <c r="D755" s="9" t="s">
        <v>125</v>
      </c>
      <c r="E755" s="9" t="s">
        <v>126</v>
      </c>
      <c r="F755" s="9" t="s">
        <v>333</v>
      </c>
      <c r="G755" s="9" t="s">
        <v>230</v>
      </c>
      <c r="H755" s="10">
        <v>1737.05</v>
      </c>
      <c r="I755" s="10">
        <v>7431.85</v>
      </c>
      <c r="J755" s="10">
        <v>9204.61</v>
      </c>
      <c r="K755" s="10">
        <v>4287.67</v>
      </c>
      <c r="L755" s="10">
        <v>3061.89</v>
      </c>
      <c r="M755" s="10">
        <v>3229.52</v>
      </c>
      <c r="N755" s="10">
        <v>4583.68</v>
      </c>
      <c r="O755" s="10">
        <v>7817.17</v>
      </c>
      <c r="P755" s="10">
        <v>14213.57</v>
      </c>
      <c r="Q755" s="10">
        <v>6456.8</v>
      </c>
      <c r="R755" s="10">
        <f t="shared" si="0"/>
        <v>62023.810000000005</v>
      </c>
    </row>
    <row r="756" spans="1:18" ht="12.75" x14ac:dyDescent="0.2">
      <c r="A756" s="9" t="s">
        <v>332</v>
      </c>
      <c r="B756" s="9" t="s">
        <v>228</v>
      </c>
      <c r="C756" s="9" t="s">
        <v>228</v>
      </c>
      <c r="D756" s="9" t="s">
        <v>31</v>
      </c>
      <c r="E756" s="9" t="s">
        <v>128</v>
      </c>
      <c r="F756" s="9" t="s">
        <v>333</v>
      </c>
      <c r="G756" s="9" t="s">
        <v>229</v>
      </c>
      <c r="H756" s="10">
        <v>14022.53</v>
      </c>
      <c r="I756" s="10">
        <v>25090.080000000002</v>
      </c>
      <c r="J756" s="10">
        <v>37959.53</v>
      </c>
      <c r="K756" s="10">
        <v>34354.660000000003</v>
      </c>
      <c r="L756" s="10">
        <v>42089.93</v>
      </c>
      <c r="M756" s="10">
        <v>42612.79</v>
      </c>
      <c r="N756" s="10">
        <v>33576.68</v>
      </c>
      <c r="O756" s="10">
        <v>42343.97</v>
      </c>
      <c r="P756" s="10">
        <v>34718.5</v>
      </c>
      <c r="Q756" s="10">
        <v>36064.800000000003</v>
      </c>
      <c r="R756" s="10">
        <f t="shared" si="0"/>
        <v>342833.47000000003</v>
      </c>
    </row>
    <row r="757" spans="1:18" ht="12.75" x14ac:dyDescent="0.2">
      <c r="A757" s="9" t="s">
        <v>332</v>
      </c>
      <c r="B757" s="9" t="s">
        <v>228</v>
      </c>
      <c r="C757" s="9" t="s">
        <v>228</v>
      </c>
      <c r="D757" s="9" t="s">
        <v>31</v>
      </c>
      <c r="E757" s="9" t="s">
        <v>128</v>
      </c>
      <c r="F757" s="9" t="s">
        <v>333</v>
      </c>
      <c r="G757" s="9" t="s">
        <v>230</v>
      </c>
      <c r="H757" s="10">
        <v>22547.919999999998</v>
      </c>
      <c r="I757" s="10">
        <v>96469.54</v>
      </c>
      <c r="J757" s="10">
        <v>119480.89</v>
      </c>
      <c r="K757" s="10">
        <v>55656.36</v>
      </c>
      <c r="L757" s="10">
        <v>39744.980000000003</v>
      </c>
      <c r="M757" s="10">
        <v>41920.93</v>
      </c>
      <c r="N757" s="10">
        <v>59498.74</v>
      </c>
      <c r="O757" s="10">
        <v>101471.13</v>
      </c>
      <c r="P757" s="10">
        <v>184499.88</v>
      </c>
      <c r="Q757" s="10">
        <v>83812.83</v>
      </c>
      <c r="R757" s="10">
        <f t="shared" si="0"/>
        <v>805103.2</v>
      </c>
    </row>
    <row r="758" spans="1:18" ht="12.75" x14ac:dyDescent="0.2">
      <c r="A758" s="9" t="s">
        <v>332</v>
      </c>
      <c r="B758" s="9" t="s">
        <v>228</v>
      </c>
      <c r="C758" s="9" t="s">
        <v>228</v>
      </c>
      <c r="D758" s="9" t="s">
        <v>130</v>
      </c>
      <c r="E758" s="9" t="s">
        <v>131</v>
      </c>
      <c r="F758" s="9" t="s">
        <v>333</v>
      </c>
      <c r="G758" s="9" t="s">
        <v>229</v>
      </c>
      <c r="H758" s="10">
        <v>16286.59</v>
      </c>
      <c r="I758" s="10">
        <v>29141.09</v>
      </c>
      <c r="J758" s="10">
        <v>44088.41</v>
      </c>
      <c r="K758" s="10">
        <v>39901.51</v>
      </c>
      <c r="L758" s="10">
        <v>48885.7</v>
      </c>
      <c r="M758" s="10">
        <v>49492.98</v>
      </c>
      <c r="N758" s="10">
        <v>38997.910000000003</v>
      </c>
      <c r="O758" s="10">
        <v>49180.76</v>
      </c>
      <c r="P758" s="10">
        <v>40324.1</v>
      </c>
      <c r="Q758" s="10">
        <v>41887.760000000002</v>
      </c>
      <c r="R758" s="10">
        <f t="shared" si="0"/>
        <v>398186.81</v>
      </c>
    </row>
    <row r="759" spans="1:18" ht="12.75" x14ac:dyDescent="0.2">
      <c r="A759" s="9" t="s">
        <v>332</v>
      </c>
      <c r="B759" s="9" t="s">
        <v>228</v>
      </c>
      <c r="C759" s="9" t="s">
        <v>228</v>
      </c>
      <c r="D759" s="9" t="s">
        <v>130</v>
      </c>
      <c r="E759" s="9" t="s">
        <v>131</v>
      </c>
      <c r="F759" s="9" t="s">
        <v>333</v>
      </c>
      <c r="G759" s="9" t="s">
        <v>230</v>
      </c>
      <c r="H759" s="10">
        <v>11945.64</v>
      </c>
      <c r="I759" s="10">
        <v>51108.52</v>
      </c>
      <c r="J759" s="10">
        <v>63299.69</v>
      </c>
      <c r="K759" s="10">
        <v>29486.14</v>
      </c>
      <c r="L759" s="10">
        <v>21056.46</v>
      </c>
      <c r="M759" s="10">
        <v>22209.26</v>
      </c>
      <c r="N759" s="10">
        <v>31521.79</v>
      </c>
      <c r="O759" s="10">
        <v>53758.31</v>
      </c>
      <c r="P759" s="10">
        <v>97746.05</v>
      </c>
      <c r="Q759" s="10">
        <v>44403.13</v>
      </c>
      <c r="R759" s="10">
        <f t="shared" si="0"/>
        <v>426534.99</v>
      </c>
    </row>
    <row r="760" spans="1:18" ht="12.75" x14ac:dyDescent="0.2">
      <c r="A760" s="9" t="s">
        <v>332</v>
      </c>
      <c r="B760" s="9" t="s">
        <v>228</v>
      </c>
      <c r="C760" s="9" t="s">
        <v>228</v>
      </c>
      <c r="D760" s="9" t="s">
        <v>31</v>
      </c>
      <c r="E760" s="9" t="s">
        <v>151</v>
      </c>
      <c r="F760" s="9" t="s">
        <v>333</v>
      </c>
      <c r="G760" s="9" t="s">
        <v>229</v>
      </c>
      <c r="H760" s="10">
        <v>310385.99</v>
      </c>
      <c r="I760" s="10">
        <v>555363.98</v>
      </c>
      <c r="J760" s="10">
        <v>840226.53</v>
      </c>
      <c r="K760" s="10">
        <v>760433.59</v>
      </c>
      <c r="L760" s="10">
        <v>931652.25</v>
      </c>
      <c r="M760" s="10">
        <v>943225.56</v>
      </c>
      <c r="N760" s="10">
        <v>743213.08</v>
      </c>
      <c r="O760" s="10">
        <v>937275.37</v>
      </c>
      <c r="P760" s="10">
        <v>768487.14</v>
      </c>
      <c r="Q760" s="10">
        <v>798287.06</v>
      </c>
      <c r="R760" s="10">
        <f t="shared" si="0"/>
        <v>7588550.5500000007</v>
      </c>
    </row>
    <row r="761" spans="1:18" ht="12.75" x14ac:dyDescent="0.2">
      <c r="A761" s="9" t="s">
        <v>332</v>
      </c>
      <c r="B761" s="9" t="s">
        <v>228</v>
      </c>
      <c r="C761" s="9" t="s">
        <v>228</v>
      </c>
      <c r="D761" s="9" t="s">
        <v>31</v>
      </c>
      <c r="E761" s="9" t="s">
        <v>151</v>
      </c>
      <c r="F761" s="9" t="s">
        <v>333</v>
      </c>
      <c r="G761" s="9" t="s">
        <v>229</v>
      </c>
      <c r="H761" s="10">
        <v>162315.82999999999</v>
      </c>
      <c r="I761" s="10">
        <v>290426.67</v>
      </c>
      <c r="J761" s="10">
        <v>439395.06</v>
      </c>
      <c r="K761" s="10">
        <v>397667.48</v>
      </c>
      <c r="L761" s="10">
        <v>487205.99</v>
      </c>
      <c r="M761" s="10">
        <v>493258.23</v>
      </c>
      <c r="N761" s="10">
        <v>388662.04</v>
      </c>
      <c r="O761" s="10">
        <v>490146.59</v>
      </c>
      <c r="P761" s="10">
        <v>401879.07</v>
      </c>
      <c r="Q761" s="10">
        <v>417462.89</v>
      </c>
      <c r="R761" s="10">
        <f t="shared" si="0"/>
        <v>3968419.8499999996</v>
      </c>
    </row>
    <row r="762" spans="1:18" ht="12.75" x14ac:dyDescent="0.2">
      <c r="A762" s="9" t="s">
        <v>332</v>
      </c>
      <c r="B762" s="9" t="s">
        <v>228</v>
      </c>
      <c r="C762" s="9" t="s">
        <v>228</v>
      </c>
      <c r="D762" s="9" t="s">
        <v>31</v>
      </c>
      <c r="E762" s="9" t="s">
        <v>151</v>
      </c>
      <c r="F762" s="9" t="s">
        <v>333</v>
      </c>
      <c r="G762" s="9" t="s">
        <v>231</v>
      </c>
      <c r="H762" s="10">
        <v>0</v>
      </c>
      <c r="I762" s="10">
        <v>0</v>
      </c>
      <c r="J762" s="10">
        <v>290512.40999999997</v>
      </c>
      <c r="K762" s="10">
        <v>37367.040000000001</v>
      </c>
      <c r="L762" s="10">
        <v>32785.94</v>
      </c>
      <c r="M762" s="10">
        <v>32785.94</v>
      </c>
      <c r="N762" s="10">
        <v>32785.94</v>
      </c>
      <c r="O762" s="10">
        <v>44581.65</v>
      </c>
      <c r="P762" s="10">
        <v>32785.94</v>
      </c>
      <c r="Q762" s="10">
        <v>86497.43</v>
      </c>
      <c r="R762" s="10">
        <f t="shared" si="0"/>
        <v>590102.29</v>
      </c>
    </row>
    <row r="763" spans="1:18" ht="12.75" x14ac:dyDescent="0.2">
      <c r="A763" s="9" t="s">
        <v>332</v>
      </c>
      <c r="B763" s="9" t="s">
        <v>228</v>
      </c>
      <c r="C763" s="9" t="s">
        <v>228</v>
      </c>
      <c r="D763" s="9" t="s">
        <v>134</v>
      </c>
      <c r="E763" s="9" t="s">
        <v>136</v>
      </c>
      <c r="F763" s="9" t="s">
        <v>333</v>
      </c>
      <c r="G763" s="9" t="s">
        <v>230</v>
      </c>
      <c r="H763" s="10">
        <v>906.93</v>
      </c>
      <c r="I763" s="10">
        <v>3880.24</v>
      </c>
      <c r="J763" s="10">
        <v>4805.8100000000004</v>
      </c>
      <c r="K763" s="10">
        <v>2238.63</v>
      </c>
      <c r="L763" s="10">
        <v>1598.64</v>
      </c>
      <c r="M763" s="10">
        <v>1686.16</v>
      </c>
      <c r="N763" s="10">
        <v>2393.1799999999998</v>
      </c>
      <c r="O763" s="10">
        <v>4081.41</v>
      </c>
      <c r="P763" s="10">
        <v>7421.03</v>
      </c>
      <c r="Q763" s="10">
        <v>3371.15</v>
      </c>
      <c r="R763" s="10">
        <f t="shared" si="0"/>
        <v>32383.18</v>
      </c>
    </row>
    <row r="764" spans="1:18" ht="12.75" x14ac:dyDescent="0.2">
      <c r="A764" s="9" t="s">
        <v>332</v>
      </c>
      <c r="B764" s="9" t="s">
        <v>228</v>
      </c>
      <c r="C764" s="9" t="s">
        <v>228</v>
      </c>
      <c r="D764" s="9" t="s">
        <v>134</v>
      </c>
      <c r="E764" s="9" t="s">
        <v>137</v>
      </c>
      <c r="F764" s="9" t="s">
        <v>333</v>
      </c>
      <c r="G764" s="9" t="s">
        <v>230</v>
      </c>
      <c r="H764" s="10">
        <v>168.28</v>
      </c>
      <c r="I764" s="10">
        <v>719.99</v>
      </c>
      <c r="J764" s="10">
        <v>891.73</v>
      </c>
      <c r="K764" s="10">
        <v>415.39</v>
      </c>
      <c r="L764" s="10">
        <v>296.63</v>
      </c>
      <c r="M764" s="10">
        <v>312.87</v>
      </c>
      <c r="N764" s="10">
        <v>444.06</v>
      </c>
      <c r="O764" s="10">
        <v>757.32</v>
      </c>
      <c r="P764" s="10">
        <v>1376.99</v>
      </c>
      <c r="Q764" s="10">
        <v>625.53</v>
      </c>
      <c r="R764" s="10">
        <f t="shared" si="0"/>
        <v>6008.79</v>
      </c>
    </row>
    <row r="765" spans="1:18" ht="12.75" x14ac:dyDescent="0.2">
      <c r="A765" s="9" t="s">
        <v>332</v>
      </c>
      <c r="B765" s="9" t="s">
        <v>228</v>
      </c>
      <c r="C765" s="9" t="s">
        <v>228</v>
      </c>
      <c r="D765" s="9" t="s">
        <v>134</v>
      </c>
      <c r="E765" s="9" t="s">
        <v>138</v>
      </c>
      <c r="F765" s="9" t="s">
        <v>333</v>
      </c>
      <c r="G765" s="9" t="s">
        <v>229</v>
      </c>
      <c r="H765" s="10">
        <v>46768.5</v>
      </c>
      <c r="I765" s="10">
        <v>83681.429999999993</v>
      </c>
      <c r="J765" s="10">
        <v>126604.1</v>
      </c>
      <c r="K765" s="10">
        <v>114581.01</v>
      </c>
      <c r="L765" s="10">
        <v>140379.99</v>
      </c>
      <c r="M765" s="10">
        <v>142123.84</v>
      </c>
      <c r="N765" s="10">
        <v>111986.25</v>
      </c>
      <c r="O765" s="10">
        <v>141227.26999999999</v>
      </c>
      <c r="P765" s="10">
        <v>115794.51</v>
      </c>
      <c r="Q765" s="10">
        <v>120284.72</v>
      </c>
      <c r="R765" s="10">
        <f t="shared" si="0"/>
        <v>1143431.6200000001</v>
      </c>
    </row>
    <row r="766" spans="1:18" ht="12.75" x14ac:dyDescent="0.2">
      <c r="A766" s="9" t="s">
        <v>332</v>
      </c>
      <c r="B766" s="9" t="s">
        <v>228</v>
      </c>
      <c r="C766" s="9" t="s">
        <v>228</v>
      </c>
      <c r="D766" s="9" t="s">
        <v>134</v>
      </c>
      <c r="E766" s="9" t="s">
        <v>138</v>
      </c>
      <c r="F766" s="9" t="s">
        <v>333</v>
      </c>
      <c r="G766" s="9" t="s">
        <v>231</v>
      </c>
      <c r="H766" s="10">
        <v>0</v>
      </c>
      <c r="I766" s="10">
        <v>0</v>
      </c>
      <c r="J766" s="10">
        <v>71865.78</v>
      </c>
      <c r="K766" s="10">
        <v>9243.7099999999991</v>
      </c>
      <c r="L766" s="10">
        <v>8110.45</v>
      </c>
      <c r="M766" s="10">
        <v>8110.45</v>
      </c>
      <c r="N766" s="10">
        <v>8110.45</v>
      </c>
      <c r="O766" s="10">
        <v>11028.43</v>
      </c>
      <c r="P766" s="10">
        <v>8110.45</v>
      </c>
      <c r="Q766" s="10">
        <v>21397.38</v>
      </c>
      <c r="R766" s="10">
        <f t="shared" si="0"/>
        <v>145977.09999999998</v>
      </c>
    </row>
    <row r="767" spans="1:18" ht="12.75" x14ac:dyDescent="0.2">
      <c r="A767" s="9" t="s">
        <v>332</v>
      </c>
      <c r="B767" s="9" t="s">
        <v>228</v>
      </c>
      <c r="C767" s="9" t="s">
        <v>228</v>
      </c>
      <c r="D767" s="9" t="s">
        <v>134</v>
      </c>
      <c r="E767" s="9" t="s">
        <v>138</v>
      </c>
      <c r="F767" s="9" t="s">
        <v>333</v>
      </c>
      <c r="G767" s="9" t="s">
        <v>230</v>
      </c>
      <c r="H767" s="10">
        <v>17144.740000000002</v>
      </c>
      <c r="I767" s="10">
        <v>73352.47</v>
      </c>
      <c r="J767" s="10">
        <v>90849.59</v>
      </c>
      <c r="K767" s="10">
        <v>42319.38</v>
      </c>
      <c r="L767" s="10">
        <v>30220.86</v>
      </c>
      <c r="M767" s="10">
        <v>31875.39</v>
      </c>
      <c r="N767" s="10">
        <v>45241.01</v>
      </c>
      <c r="O767" s="10">
        <v>77155.53</v>
      </c>
      <c r="P767" s="10">
        <v>140288.03</v>
      </c>
      <c r="Q767" s="10">
        <v>63728.7</v>
      </c>
      <c r="R767" s="10">
        <f t="shared" si="0"/>
        <v>612175.69999999995</v>
      </c>
    </row>
    <row r="768" spans="1:18" ht="12.75" x14ac:dyDescent="0.2">
      <c r="A768" s="9" t="s">
        <v>332</v>
      </c>
      <c r="B768" s="9" t="s">
        <v>228</v>
      </c>
      <c r="C768" s="9" t="s">
        <v>228</v>
      </c>
      <c r="D768" s="9" t="s">
        <v>130</v>
      </c>
      <c r="E768" s="9" t="s">
        <v>140</v>
      </c>
      <c r="F768" s="9" t="s">
        <v>333</v>
      </c>
      <c r="G768" s="9" t="s">
        <v>229</v>
      </c>
      <c r="H768" s="10">
        <v>23185.55</v>
      </c>
      <c r="I768" s="10">
        <v>41485.19</v>
      </c>
      <c r="J768" s="10">
        <v>62764.160000000003</v>
      </c>
      <c r="K768" s="10">
        <v>56803.7</v>
      </c>
      <c r="L768" s="10">
        <v>69593.58</v>
      </c>
      <c r="M768" s="10">
        <v>70458.100000000006</v>
      </c>
      <c r="N768" s="10">
        <v>55517.34</v>
      </c>
      <c r="O768" s="10">
        <v>70013.62</v>
      </c>
      <c r="P768" s="10">
        <v>57405.29</v>
      </c>
      <c r="Q768" s="10">
        <v>59631.32</v>
      </c>
      <c r="R768" s="10">
        <f t="shared" si="0"/>
        <v>566857.85</v>
      </c>
    </row>
    <row r="769" spans="1:18" ht="12.75" x14ac:dyDescent="0.2">
      <c r="A769" s="9" t="s">
        <v>332</v>
      </c>
      <c r="B769" s="9" t="s">
        <v>228</v>
      </c>
      <c r="C769" s="9" t="s">
        <v>228</v>
      </c>
      <c r="D769" s="9" t="s">
        <v>141</v>
      </c>
      <c r="E769" s="9" t="s">
        <v>144</v>
      </c>
      <c r="F769" s="9" t="s">
        <v>333</v>
      </c>
      <c r="G769" s="9" t="s">
        <v>229</v>
      </c>
      <c r="H769" s="10">
        <v>80903.22</v>
      </c>
      <c r="I769" s="10">
        <v>144757.60999999999</v>
      </c>
      <c r="J769" s="10">
        <v>219008.04</v>
      </c>
      <c r="K769" s="10">
        <v>198209.73</v>
      </c>
      <c r="L769" s="10">
        <v>242838.49</v>
      </c>
      <c r="M769" s="10">
        <v>245855.11</v>
      </c>
      <c r="N769" s="10">
        <v>193721.14</v>
      </c>
      <c r="O769" s="10">
        <v>244304.17</v>
      </c>
      <c r="P769" s="10">
        <v>200308.92</v>
      </c>
      <c r="Q769" s="10">
        <v>208076.37</v>
      </c>
      <c r="R769" s="10">
        <f t="shared" si="0"/>
        <v>1977982.7999999998</v>
      </c>
    </row>
    <row r="770" spans="1:18" ht="12.75" x14ac:dyDescent="0.2">
      <c r="A770" s="9" t="s">
        <v>332</v>
      </c>
      <c r="B770" s="9" t="s">
        <v>228</v>
      </c>
      <c r="C770" s="9" t="s">
        <v>228</v>
      </c>
      <c r="D770" s="9" t="s">
        <v>141</v>
      </c>
      <c r="E770" s="9" t="s">
        <v>144</v>
      </c>
      <c r="F770" s="9" t="s">
        <v>333</v>
      </c>
      <c r="G770" s="9" t="s">
        <v>234</v>
      </c>
      <c r="H770" s="10">
        <v>0</v>
      </c>
      <c r="I770" s="10">
        <v>0</v>
      </c>
      <c r="J770" s="10">
        <v>73386898.299999997</v>
      </c>
      <c r="K770" s="10">
        <v>74806805.680000007</v>
      </c>
      <c r="L770" s="10">
        <v>70654138.599999994</v>
      </c>
      <c r="M770" s="10">
        <v>70654138.599999994</v>
      </c>
      <c r="N770" s="10">
        <v>73460954.159999996</v>
      </c>
      <c r="O770" s="10">
        <v>73582065.959999993</v>
      </c>
      <c r="P770" s="10">
        <v>78202584.049999997</v>
      </c>
      <c r="Q770" s="10">
        <v>81544282.730000004</v>
      </c>
      <c r="R770" s="10">
        <f t="shared" si="0"/>
        <v>596291868.08000004</v>
      </c>
    </row>
    <row r="771" spans="1:18" ht="12.75" x14ac:dyDescent="0.2">
      <c r="A771" s="9" t="s">
        <v>332</v>
      </c>
      <c r="B771" s="9" t="s">
        <v>228</v>
      </c>
      <c r="C771" s="9" t="s">
        <v>228</v>
      </c>
      <c r="D771" s="9" t="s">
        <v>141</v>
      </c>
      <c r="E771" s="9" t="s">
        <v>144</v>
      </c>
      <c r="F771" s="9" t="s">
        <v>333</v>
      </c>
      <c r="G771" s="9" t="s">
        <v>230</v>
      </c>
      <c r="H771" s="10">
        <v>38243.43</v>
      </c>
      <c r="I771" s="10">
        <v>163621.6</v>
      </c>
      <c r="J771" s="10">
        <v>202651.06</v>
      </c>
      <c r="K771" s="10">
        <v>94398.53</v>
      </c>
      <c r="L771" s="10">
        <v>67411.3</v>
      </c>
      <c r="M771" s="10">
        <v>71101.929999999993</v>
      </c>
      <c r="N771" s="10">
        <v>100915.58</v>
      </c>
      <c r="O771" s="10">
        <v>172104.78</v>
      </c>
      <c r="P771" s="10">
        <v>312929.51</v>
      </c>
      <c r="Q771" s="10">
        <v>142154.60999999999</v>
      </c>
      <c r="R771" s="10">
        <f t="shared" si="0"/>
        <v>1365532.33</v>
      </c>
    </row>
    <row r="772" spans="1:18" ht="12.75" x14ac:dyDescent="0.2">
      <c r="A772" s="9" t="s">
        <v>332</v>
      </c>
      <c r="B772" s="9" t="s">
        <v>228</v>
      </c>
      <c r="C772" s="9" t="s">
        <v>228</v>
      </c>
      <c r="D772" s="9" t="s">
        <v>50</v>
      </c>
      <c r="E772" s="9" t="s">
        <v>147</v>
      </c>
      <c r="F772" s="9" t="s">
        <v>333</v>
      </c>
      <c r="G772" s="9" t="s">
        <v>229</v>
      </c>
      <c r="H772" s="10">
        <v>13363.7</v>
      </c>
      <c r="I772" s="10">
        <v>23911.25</v>
      </c>
      <c r="J772" s="10">
        <v>36176.04</v>
      </c>
      <c r="K772" s="10">
        <v>32740.55</v>
      </c>
      <c r="L772" s="10">
        <v>40112.379999999997</v>
      </c>
      <c r="M772" s="10">
        <v>40610.67</v>
      </c>
      <c r="N772" s="10">
        <v>31999.119999999999</v>
      </c>
      <c r="O772" s="10">
        <v>40354.49</v>
      </c>
      <c r="P772" s="10">
        <v>33087.29</v>
      </c>
      <c r="Q772" s="10">
        <v>34370.33</v>
      </c>
      <c r="R772" s="10">
        <f t="shared" si="0"/>
        <v>326725.81999999995</v>
      </c>
    </row>
    <row r="773" spans="1:18" ht="12.75" x14ac:dyDescent="0.2">
      <c r="A773" s="9" t="s">
        <v>332</v>
      </c>
      <c r="B773" s="9" t="s">
        <v>228</v>
      </c>
      <c r="C773" s="9" t="s">
        <v>228</v>
      </c>
      <c r="D773" s="9" t="s">
        <v>50</v>
      </c>
      <c r="E773" s="9" t="s">
        <v>147</v>
      </c>
      <c r="F773" s="9" t="s">
        <v>333</v>
      </c>
      <c r="G773" s="9" t="s">
        <v>234</v>
      </c>
      <c r="H773" s="10">
        <v>0</v>
      </c>
      <c r="I773" s="10">
        <v>0</v>
      </c>
      <c r="J773" s="10">
        <v>2772883.86</v>
      </c>
      <c r="K773" s="10">
        <v>2826534.28</v>
      </c>
      <c r="L773" s="10">
        <v>2669628.02</v>
      </c>
      <c r="M773" s="10">
        <v>2669628.02</v>
      </c>
      <c r="N773" s="10">
        <v>2775682.02</v>
      </c>
      <c r="O773" s="10">
        <v>2780258.16</v>
      </c>
      <c r="P773" s="10">
        <v>2954841.91</v>
      </c>
      <c r="Q773" s="10">
        <v>3081106.17</v>
      </c>
      <c r="R773" s="10">
        <f t="shared" si="0"/>
        <v>22530562.439999998</v>
      </c>
    </row>
    <row r="774" spans="1:18" ht="12.75" x14ac:dyDescent="0.2">
      <c r="A774" s="9" t="s">
        <v>332</v>
      </c>
      <c r="B774" s="9" t="s">
        <v>228</v>
      </c>
      <c r="C774" s="9" t="s">
        <v>228</v>
      </c>
      <c r="D774" s="9" t="s">
        <v>50</v>
      </c>
      <c r="E774" s="9" t="s">
        <v>147</v>
      </c>
      <c r="F774" s="9" t="s">
        <v>333</v>
      </c>
      <c r="G774" s="9" t="s">
        <v>230</v>
      </c>
      <c r="H774" s="10">
        <v>18877.349999999999</v>
      </c>
      <c r="I774" s="10">
        <v>80765.279999999999</v>
      </c>
      <c r="J774" s="10">
        <v>100030.62</v>
      </c>
      <c r="K774" s="10">
        <v>46596.07</v>
      </c>
      <c r="L774" s="10">
        <v>33274.9</v>
      </c>
      <c r="M774" s="10">
        <v>35096.629999999997</v>
      </c>
      <c r="N774" s="10">
        <v>49812.959999999999</v>
      </c>
      <c r="O774" s="10">
        <v>84952.67</v>
      </c>
      <c r="P774" s="10">
        <v>154465.19</v>
      </c>
      <c r="Q774" s="10">
        <v>70168.960000000006</v>
      </c>
      <c r="R774" s="10">
        <f t="shared" si="0"/>
        <v>674040.63</v>
      </c>
    </row>
    <row r="775" spans="1:18" ht="12.75" x14ac:dyDescent="0.2">
      <c r="A775" s="9" t="s">
        <v>332</v>
      </c>
      <c r="B775" s="9" t="s">
        <v>228</v>
      </c>
      <c r="C775" s="9" t="s">
        <v>228</v>
      </c>
      <c r="D775" s="9" t="s">
        <v>50</v>
      </c>
      <c r="E775" s="9" t="s">
        <v>147</v>
      </c>
      <c r="F775" s="9" t="s">
        <v>333</v>
      </c>
      <c r="G775" s="9" t="s">
        <v>232</v>
      </c>
      <c r="H775" s="10">
        <v>0</v>
      </c>
      <c r="I775" s="10">
        <v>89599.53</v>
      </c>
      <c r="J775" s="10">
        <v>941667.62</v>
      </c>
      <c r="K775" s="10">
        <v>941667.62</v>
      </c>
      <c r="L775" s="10">
        <v>941667.62</v>
      </c>
      <c r="M775" s="10">
        <v>941667.62</v>
      </c>
      <c r="N775" s="10">
        <v>941667.62</v>
      </c>
      <c r="O775" s="10">
        <v>978329.5</v>
      </c>
      <c r="P775" s="10">
        <v>941667.62</v>
      </c>
      <c r="Q775" s="10">
        <v>941667.62</v>
      </c>
      <c r="R775" s="10">
        <f t="shared" si="0"/>
        <v>7659602.3700000001</v>
      </c>
    </row>
    <row r="776" spans="1:18" ht="12.75" x14ac:dyDescent="0.2">
      <c r="A776" s="9" t="s">
        <v>332</v>
      </c>
      <c r="B776" s="9" t="s">
        <v>228</v>
      </c>
      <c r="C776" s="9" t="s">
        <v>228</v>
      </c>
      <c r="D776" s="9" t="s">
        <v>130</v>
      </c>
      <c r="E776" s="9" t="s">
        <v>149</v>
      </c>
      <c r="F776" s="9" t="s">
        <v>333</v>
      </c>
      <c r="G776" s="9" t="s">
        <v>229</v>
      </c>
      <c r="H776" s="10">
        <v>86737.72</v>
      </c>
      <c r="I776" s="10">
        <v>155197.1</v>
      </c>
      <c r="J776" s="10">
        <v>234802.27</v>
      </c>
      <c r="K776" s="10">
        <v>212504.04</v>
      </c>
      <c r="L776" s="10">
        <v>260351.29</v>
      </c>
      <c r="M776" s="10">
        <v>263585.46999999997</v>
      </c>
      <c r="N776" s="10">
        <v>207691.75</v>
      </c>
      <c r="O776" s="10">
        <v>261922.68</v>
      </c>
      <c r="P776" s="10">
        <v>214754.61</v>
      </c>
      <c r="Q776" s="10">
        <v>223082.23999999999</v>
      </c>
      <c r="R776" s="10">
        <f t="shared" si="0"/>
        <v>2120629.17</v>
      </c>
    </row>
    <row r="777" spans="1:18" ht="12.75" x14ac:dyDescent="0.2">
      <c r="A777" s="9" t="s">
        <v>332</v>
      </c>
      <c r="B777" s="9" t="s">
        <v>228</v>
      </c>
      <c r="C777" s="9" t="s">
        <v>228</v>
      </c>
      <c r="D777" s="9" t="s">
        <v>130</v>
      </c>
      <c r="E777" s="9" t="s">
        <v>149</v>
      </c>
      <c r="F777" s="9" t="s">
        <v>333</v>
      </c>
      <c r="G777" s="9" t="s">
        <v>230</v>
      </c>
      <c r="H777" s="10">
        <v>5431.59</v>
      </c>
      <c r="I777" s="10">
        <v>23238.65</v>
      </c>
      <c r="J777" s="10">
        <v>28781.87</v>
      </c>
      <c r="K777" s="10">
        <v>13407.12</v>
      </c>
      <c r="L777" s="10">
        <v>9574.2099999999991</v>
      </c>
      <c r="M777" s="10">
        <v>10098.379999999999</v>
      </c>
      <c r="N777" s="10">
        <v>14332.71</v>
      </c>
      <c r="O777" s="10">
        <v>24443.49</v>
      </c>
      <c r="P777" s="10">
        <v>44444.36</v>
      </c>
      <c r="Q777" s="10">
        <v>20189.759999999998</v>
      </c>
      <c r="R777" s="10">
        <f t="shared" si="0"/>
        <v>193942.14</v>
      </c>
    </row>
    <row r="778" spans="1:18" ht="12.75" x14ac:dyDescent="0.2">
      <c r="A778" s="9" t="s">
        <v>335</v>
      </c>
      <c r="B778" s="9" t="s">
        <v>228</v>
      </c>
      <c r="C778" s="9" t="s">
        <v>228</v>
      </c>
      <c r="D778" s="9" t="s">
        <v>156</v>
      </c>
      <c r="E778" s="9" t="s">
        <v>208</v>
      </c>
      <c r="F778" s="9" t="s">
        <v>333</v>
      </c>
      <c r="G778" s="9" t="s">
        <v>230</v>
      </c>
      <c r="H778" s="10">
        <v>32297.58</v>
      </c>
      <c r="I778" s="10">
        <v>138182.72</v>
      </c>
      <c r="J778" s="10">
        <v>171144.11</v>
      </c>
      <c r="K778" s="10">
        <v>79722.02</v>
      </c>
      <c r="L778" s="10">
        <v>56930.61</v>
      </c>
      <c r="M778" s="10">
        <v>60047.43</v>
      </c>
      <c r="N778" s="10">
        <v>85225.84</v>
      </c>
      <c r="O778" s="10">
        <v>145346.99</v>
      </c>
      <c r="P778" s="10">
        <v>264277.14</v>
      </c>
      <c r="Q778" s="10">
        <v>120053.28</v>
      </c>
      <c r="R778" s="10">
        <f t="shared" si="0"/>
        <v>1153227.72</v>
      </c>
    </row>
    <row r="779" spans="1:18" ht="12.75" x14ac:dyDescent="0.2">
      <c r="A779" s="9" t="s">
        <v>335</v>
      </c>
      <c r="B779" s="9" t="s">
        <v>228</v>
      </c>
      <c r="C779" s="9" t="s">
        <v>228</v>
      </c>
      <c r="D779" s="9" t="s">
        <v>19</v>
      </c>
      <c r="E779" s="9" t="s">
        <v>153</v>
      </c>
      <c r="F779" s="9" t="s">
        <v>333</v>
      </c>
      <c r="G779" s="9" t="s">
        <v>232</v>
      </c>
      <c r="H779" s="10">
        <v>0</v>
      </c>
      <c r="I779" s="10">
        <v>28910.78</v>
      </c>
      <c r="J779" s="10">
        <v>303844.75</v>
      </c>
      <c r="K779" s="10">
        <v>303844.75</v>
      </c>
      <c r="L779" s="10">
        <v>303844.75</v>
      </c>
      <c r="M779" s="10">
        <v>303844.75</v>
      </c>
      <c r="N779" s="10">
        <v>303844.75</v>
      </c>
      <c r="O779" s="10">
        <v>315674.32</v>
      </c>
      <c r="P779" s="10">
        <v>303844.75</v>
      </c>
      <c r="Q779" s="10">
        <v>303844.75</v>
      </c>
      <c r="R779" s="10">
        <f t="shared" si="0"/>
        <v>2471498.35</v>
      </c>
    </row>
    <row r="780" spans="1:18" ht="12.75" x14ac:dyDescent="0.2">
      <c r="A780" s="9" t="s">
        <v>335</v>
      </c>
      <c r="B780" s="9" t="s">
        <v>228</v>
      </c>
      <c r="C780" s="9" t="s">
        <v>228</v>
      </c>
      <c r="D780" s="9" t="s">
        <v>156</v>
      </c>
      <c r="E780" s="9" t="s">
        <v>157</v>
      </c>
      <c r="F780" s="9" t="s">
        <v>333</v>
      </c>
      <c r="G780" s="9" t="s">
        <v>229</v>
      </c>
      <c r="H780" s="10">
        <v>8214.9500000000007</v>
      </c>
      <c r="I780" s="10">
        <v>14698.76</v>
      </c>
      <c r="J780" s="10">
        <v>22238.18</v>
      </c>
      <c r="K780" s="10">
        <v>20126.310000000001</v>
      </c>
      <c r="L780" s="10">
        <v>24657.94</v>
      </c>
      <c r="M780" s="10">
        <v>24964.25</v>
      </c>
      <c r="N780" s="10">
        <v>19670.54</v>
      </c>
      <c r="O780" s="10">
        <v>24806.76</v>
      </c>
      <c r="P780" s="10">
        <v>20339.46</v>
      </c>
      <c r="Q780" s="10">
        <v>21128.18</v>
      </c>
      <c r="R780" s="10">
        <f t="shared" si="0"/>
        <v>200845.33</v>
      </c>
    </row>
    <row r="781" spans="1:18" ht="12.75" x14ac:dyDescent="0.2">
      <c r="A781" s="9" t="s">
        <v>335</v>
      </c>
      <c r="B781" s="9" t="s">
        <v>228</v>
      </c>
      <c r="C781" s="9" t="s">
        <v>228</v>
      </c>
      <c r="D781" s="9" t="s">
        <v>156</v>
      </c>
      <c r="E781" s="9" t="s">
        <v>157</v>
      </c>
      <c r="F781" s="9" t="s">
        <v>333</v>
      </c>
      <c r="G781" s="9" t="s">
        <v>232</v>
      </c>
      <c r="H781" s="10">
        <v>0</v>
      </c>
      <c r="I781" s="10">
        <v>6624.19</v>
      </c>
      <c r="J781" s="10">
        <v>69618.47</v>
      </c>
      <c r="K781" s="10">
        <v>69618.47</v>
      </c>
      <c r="L781" s="10">
        <v>69618.47</v>
      </c>
      <c r="M781" s="10">
        <v>69618.47</v>
      </c>
      <c r="N781" s="10">
        <v>69618.47</v>
      </c>
      <c r="O781" s="10">
        <v>72328.92</v>
      </c>
      <c r="P781" s="10">
        <v>69618.47</v>
      </c>
      <c r="Q781" s="10">
        <v>69618.47</v>
      </c>
      <c r="R781" s="10">
        <f t="shared" si="0"/>
        <v>566282.4</v>
      </c>
    </row>
    <row r="782" spans="1:18" ht="12.75" x14ac:dyDescent="0.2">
      <c r="A782" s="9" t="s">
        <v>335</v>
      </c>
      <c r="B782" s="9" t="s">
        <v>228</v>
      </c>
      <c r="C782" s="9" t="s">
        <v>228</v>
      </c>
      <c r="D782" s="9" t="s">
        <v>336</v>
      </c>
      <c r="E782" s="9" t="s">
        <v>152</v>
      </c>
      <c r="F782" s="9" t="s">
        <v>333</v>
      </c>
      <c r="G782" s="9" t="s">
        <v>229</v>
      </c>
      <c r="H782" s="10">
        <v>533938.31000000006</v>
      </c>
      <c r="I782" s="10">
        <v>955359.19</v>
      </c>
      <c r="J782" s="10">
        <v>1445391.06</v>
      </c>
      <c r="K782" s="10">
        <v>1308128.08</v>
      </c>
      <c r="L782" s="10">
        <v>1602665.22</v>
      </c>
      <c r="M782" s="10">
        <v>1622574.09</v>
      </c>
      <c r="N782" s="10">
        <v>1278504.68</v>
      </c>
      <c r="O782" s="10">
        <v>1612338.35</v>
      </c>
      <c r="P782" s="10">
        <v>1321982.1100000001</v>
      </c>
      <c r="Q782" s="10">
        <v>1373245.13</v>
      </c>
      <c r="R782" s="10">
        <f t="shared" si="0"/>
        <v>13054126.219999999</v>
      </c>
    </row>
    <row r="783" spans="1:18" ht="12.75" x14ac:dyDescent="0.2">
      <c r="A783" s="9" t="s">
        <v>335</v>
      </c>
      <c r="B783" s="9" t="s">
        <v>228</v>
      </c>
      <c r="C783" s="9" t="s">
        <v>228</v>
      </c>
      <c r="D783" s="9" t="s">
        <v>336</v>
      </c>
      <c r="E783" s="9" t="s">
        <v>152</v>
      </c>
      <c r="F783" s="9" t="s">
        <v>333</v>
      </c>
      <c r="G783" s="9" t="s">
        <v>231</v>
      </c>
      <c r="H783" s="10">
        <v>0</v>
      </c>
      <c r="I783" s="10">
        <v>0</v>
      </c>
      <c r="J783" s="10">
        <v>370633.74</v>
      </c>
      <c r="K783" s="10">
        <v>47672.61</v>
      </c>
      <c r="L783" s="10">
        <v>41828.080000000002</v>
      </c>
      <c r="M783" s="10">
        <v>41828.080000000002</v>
      </c>
      <c r="N783" s="10">
        <v>41828.080000000002</v>
      </c>
      <c r="O783" s="10">
        <v>56876.959999999999</v>
      </c>
      <c r="P783" s="10">
        <v>41828.080000000002</v>
      </c>
      <c r="Q783" s="10">
        <v>110352.83</v>
      </c>
      <c r="R783" s="10">
        <f t="shared" si="0"/>
        <v>752848.45999999985</v>
      </c>
    </row>
    <row r="784" spans="1:18" ht="12.75" x14ac:dyDescent="0.2">
      <c r="A784" s="9" t="s">
        <v>335</v>
      </c>
      <c r="B784" s="9" t="s">
        <v>228</v>
      </c>
      <c r="C784" s="9" t="s">
        <v>228</v>
      </c>
      <c r="D784" s="9" t="s">
        <v>336</v>
      </c>
      <c r="E784" s="9" t="s">
        <v>152</v>
      </c>
      <c r="F784" s="9" t="s">
        <v>333</v>
      </c>
      <c r="G784" s="9" t="s">
        <v>230</v>
      </c>
      <c r="H784" s="10">
        <v>12975.99</v>
      </c>
      <c r="I784" s="10">
        <v>55516.79</v>
      </c>
      <c r="J784" s="10">
        <v>68759.48</v>
      </c>
      <c r="K784" s="10">
        <v>32029.41</v>
      </c>
      <c r="L784" s="10">
        <v>22872.65</v>
      </c>
      <c r="M784" s="10">
        <v>24124.880000000001</v>
      </c>
      <c r="N784" s="10">
        <v>34240.639999999999</v>
      </c>
      <c r="O784" s="10">
        <v>58395.13</v>
      </c>
      <c r="P784" s="10">
        <v>106176.95</v>
      </c>
      <c r="Q784" s="10">
        <v>48233.04</v>
      </c>
      <c r="R784" s="10">
        <f t="shared" si="0"/>
        <v>463324.96</v>
      </c>
    </row>
    <row r="785" spans="1:18" ht="12.75" x14ac:dyDescent="0.2">
      <c r="A785" s="9" t="s">
        <v>335</v>
      </c>
      <c r="B785" s="9" t="s">
        <v>228</v>
      </c>
      <c r="C785" s="9" t="s">
        <v>228</v>
      </c>
      <c r="D785" s="9" t="s">
        <v>336</v>
      </c>
      <c r="E785" s="9" t="s">
        <v>338</v>
      </c>
      <c r="F785" s="9" t="s">
        <v>333</v>
      </c>
      <c r="G785" s="9" t="s">
        <v>229</v>
      </c>
      <c r="H785" s="10">
        <v>243641.02</v>
      </c>
      <c r="I785" s="10">
        <v>435939.29</v>
      </c>
      <c r="J785" s="10">
        <v>659545.39</v>
      </c>
      <c r="K785" s="10">
        <v>596911.02</v>
      </c>
      <c r="L785" s="10">
        <v>731311.05</v>
      </c>
      <c r="M785" s="10">
        <v>740395.66</v>
      </c>
      <c r="N785" s="10">
        <v>583393.57999999996</v>
      </c>
      <c r="O785" s="10">
        <v>735724.99</v>
      </c>
      <c r="P785" s="10">
        <v>603232.74</v>
      </c>
      <c r="Q785" s="10">
        <v>626624.53</v>
      </c>
      <c r="R785" s="10">
        <f t="shared" si="0"/>
        <v>5956719.2700000005</v>
      </c>
    </row>
    <row r="786" spans="1:18" ht="12.75" x14ac:dyDescent="0.2">
      <c r="A786" s="9" t="s">
        <v>335</v>
      </c>
      <c r="B786" s="9" t="s">
        <v>228</v>
      </c>
      <c r="C786" s="9" t="s">
        <v>228</v>
      </c>
      <c r="D786" s="9" t="s">
        <v>336</v>
      </c>
      <c r="E786" s="9" t="s">
        <v>338</v>
      </c>
      <c r="F786" s="9" t="s">
        <v>333</v>
      </c>
      <c r="G786" s="9" t="s">
        <v>234</v>
      </c>
      <c r="H786" s="10">
        <v>0</v>
      </c>
      <c r="I786" s="10">
        <v>0</v>
      </c>
      <c r="J786" s="10">
        <v>29045.71</v>
      </c>
      <c r="K786" s="10">
        <v>29607.69</v>
      </c>
      <c r="L786" s="10">
        <v>27964.11</v>
      </c>
      <c r="M786" s="10">
        <v>27964.11</v>
      </c>
      <c r="N786" s="10">
        <v>29075.02</v>
      </c>
      <c r="O786" s="10">
        <v>29122.95</v>
      </c>
      <c r="P786" s="10">
        <v>30951.7</v>
      </c>
      <c r="Q786" s="10">
        <v>32274.31</v>
      </c>
      <c r="R786" s="10">
        <f t="shared" si="0"/>
        <v>236005.6</v>
      </c>
    </row>
    <row r="787" spans="1:18" ht="12.75" x14ac:dyDescent="0.2">
      <c r="A787" s="9" t="s">
        <v>335</v>
      </c>
      <c r="B787" s="9" t="s">
        <v>228</v>
      </c>
      <c r="C787" s="9" t="s">
        <v>228</v>
      </c>
      <c r="D787" s="9" t="s">
        <v>336</v>
      </c>
      <c r="E787" s="9" t="s">
        <v>338</v>
      </c>
      <c r="F787" s="9" t="s">
        <v>333</v>
      </c>
      <c r="G787" s="9" t="s">
        <v>230</v>
      </c>
      <c r="H787" s="10">
        <v>66210.03</v>
      </c>
      <c r="I787" s="10">
        <v>283274.57</v>
      </c>
      <c r="J787" s="10">
        <v>350845.42</v>
      </c>
      <c r="K787" s="10">
        <v>163430.15</v>
      </c>
      <c r="L787" s="10">
        <v>116707.74</v>
      </c>
      <c r="M787" s="10">
        <v>123097.24</v>
      </c>
      <c r="N787" s="10">
        <v>174712.98</v>
      </c>
      <c r="O787" s="10">
        <v>297961.32</v>
      </c>
      <c r="P787" s="10">
        <v>541768.15</v>
      </c>
      <c r="Q787" s="10">
        <v>246109.22</v>
      </c>
      <c r="R787" s="10">
        <f t="shared" si="0"/>
        <v>2364116.8200000003</v>
      </c>
    </row>
    <row r="788" spans="1:18" ht="12.75" x14ac:dyDescent="0.2">
      <c r="A788" s="9" t="s">
        <v>335</v>
      </c>
      <c r="B788" s="9" t="s">
        <v>228</v>
      </c>
      <c r="C788" s="9" t="s">
        <v>228</v>
      </c>
      <c r="D788" s="9" t="s">
        <v>336</v>
      </c>
      <c r="E788" s="9" t="s">
        <v>338</v>
      </c>
      <c r="F788" s="9" t="s">
        <v>333</v>
      </c>
      <c r="G788" s="9" t="s">
        <v>232</v>
      </c>
      <c r="H788" s="10">
        <v>0</v>
      </c>
      <c r="I788" s="10">
        <v>101624.31</v>
      </c>
      <c r="J788" s="10">
        <v>1068044.8999999999</v>
      </c>
      <c r="K788" s="10">
        <v>1068044.8999999999</v>
      </c>
      <c r="L788" s="10">
        <v>1068044.8999999999</v>
      </c>
      <c r="M788" s="10">
        <v>1068044.8999999999</v>
      </c>
      <c r="N788" s="10">
        <v>1068044.8999999999</v>
      </c>
      <c r="O788" s="10">
        <v>1109627.02</v>
      </c>
      <c r="P788" s="10">
        <v>1068044.8999999999</v>
      </c>
      <c r="Q788" s="10">
        <v>1068044.8999999999</v>
      </c>
      <c r="R788" s="10">
        <f t="shared" si="0"/>
        <v>8687565.6300000008</v>
      </c>
    </row>
    <row r="789" spans="1:18" ht="12.75" x14ac:dyDescent="0.2">
      <c r="A789" s="9" t="s">
        <v>349</v>
      </c>
      <c r="B789" s="9" t="s">
        <v>228</v>
      </c>
      <c r="C789" s="9" t="s">
        <v>228</v>
      </c>
      <c r="D789" s="9" t="s">
        <v>238</v>
      </c>
      <c r="E789" s="9" t="s">
        <v>238</v>
      </c>
      <c r="F789" s="9" t="s">
        <v>333</v>
      </c>
      <c r="G789" s="9" t="s">
        <v>234</v>
      </c>
      <c r="H789" s="10">
        <v>0</v>
      </c>
      <c r="I789" s="10">
        <v>0</v>
      </c>
      <c r="J789" s="10">
        <v>2675223.27</v>
      </c>
      <c r="K789" s="10">
        <v>2726984.13</v>
      </c>
      <c r="L789" s="10">
        <v>2575604.09</v>
      </c>
      <c r="M789" s="10">
        <v>2575604.09</v>
      </c>
      <c r="N789" s="10">
        <v>2677922.88</v>
      </c>
      <c r="O789" s="10">
        <v>2682337.85</v>
      </c>
      <c r="P789" s="10">
        <v>2850772.79</v>
      </c>
      <c r="Q789" s="10">
        <v>2972590.04</v>
      </c>
      <c r="R789" s="10">
        <f t="shared" si="0"/>
        <v>21737039.140000001</v>
      </c>
    </row>
    <row r="790" spans="1:18" ht="12.75" x14ac:dyDescent="0.2">
      <c r="A790" s="9" t="s">
        <v>349</v>
      </c>
      <c r="B790" s="9" t="s">
        <v>228</v>
      </c>
      <c r="C790" s="9" t="s">
        <v>228</v>
      </c>
      <c r="D790" s="9" t="s">
        <v>238</v>
      </c>
      <c r="E790" s="9" t="s">
        <v>238</v>
      </c>
      <c r="F790" s="9" t="s">
        <v>333</v>
      </c>
      <c r="G790" s="9" t="s">
        <v>236</v>
      </c>
      <c r="H790" s="10">
        <v>2863981.82</v>
      </c>
      <c r="I790" s="10">
        <v>275759064.97000003</v>
      </c>
      <c r="J790" s="10">
        <v>143948681.27000001</v>
      </c>
      <c r="K790" s="10">
        <v>135561312.02000001</v>
      </c>
      <c r="L790" s="10">
        <v>190403543.91</v>
      </c>
      <c r="M790" s="10">
        <v>124093685.51000001</v>
      </c>
      <c r="N790" s="10">
        <v>145708383.38</v>
      </c>
      <c r="O790" s="10">
        <v>165348878.56</v>
      </c>
      <c r="P790" s="10">
        <v>139052452.5</v>
      </c>
      <c r="Q790" s="10">
        <v>135750959.94999999</v>
      </c>
      <c r="R790" s="10">
        <f t="shared" si="0"/>
        <v>1458490943.8900001</v>
      </c>
    </row>
    <row r="791" spans="1:18" ht="12.75" x14ac:dyDescent="0.2">
      <c r="A791" s="9" t="s">
        <v>349</v>
      </c>
      <c r="B791" s="9" t="s">
        <v>228</v>
      </c>
      <c r="C791" s="9" t="s">
        <v>228</v>
      </c>
      <c r="D791" s="9" t="s">
        <v>238</v>
      </c>
      <c r="E791" s="9" t="s">
        <v>238</v>
      </c>
      <c r="F791" s="9" t="s">
        <v>333</v>
      </c>
      <c r="G791" s="9" t="s">
        <v>230</v>
      </c>
      <c r="H791" s="10">
        <v>38750.49</v>
      </c>
      <c r="I791" s="10">
        <v>165791.01</v>
      </c>
      <c r="J791" s="10">
        <v>205337.95</v>
      </c>
      <c r="K791" s="10">
        <v>95650.13</v>
      </c>
      <c r="L791" s="10">
        <v>68305.09</v>
      </c>
      <c r="M791" s="10">
        <v>72044.649999999994</v>
      </c>
      <c r="N791" s="10">
        <v>102253.59</v>
      </c>
      <c r="O791" s="10">
        <v>174386.67</v>
      </c>
      <c r="P791" s="10">
        <v>317078.56</v>
      </c>
      <c r="Q791" s="10">
        <v>144039.39000000001</v>
      </c>
      <c r="R791" s="10">
        <f t="shared" si="0"/>
        <v>1383637.5300000003</v>
      </c>
    </row>
    <row r="792" spans="1:18" ht="12.75" x14ac:dyDescent="0.2">
      <c r="A792" s="9" t="s">
        <v>332</v>
      </c>
      <c r="B792" s="9" t="s">
        <v>228</v>
      </c>
      <c r="C792" s="9" t="s">
        <v>228</v>
      </c>
      <c r="D792" s="9" t="s">
        <v>141</v>
      </c>
      <c r="E792" s="9" t="s">
        <v>144</v>
      </c>
      <c r="F792" s="9" t="s">
        <v>333</v>
      </c>
      <c r="G792" s="9" t="s">
        <v>237</v>
      </c>
      <c r="H792" s="10">
        <v>162403</v>
      </c>
      <c r="I792" s="10">
        <v>370157</v>
      </c>
      <c r="J792" s="10">
        <v>379781.08</v>
      </c>
      <c r="K792" s="10">
        <v>388516.05</v>
      </c>
      <c r="L792" s="10">
        <v>396674.88</v>
      </c>
      <c r="M792" s="10">
        <v>404608.38</v>
      </c>
      <c r="N792" s="10">
        <v>411891.33</v>
      </c>
      <c r="O792" s="10">
        <v>419717.27</v>
      </c>
      <c r="P792" s="10">
        <v>427272.18</v>
      </c>
      <c r="Q792" s="10">
        <v>434963.08</v>
      </c>
      <c r="R792" s="10">
        <f t="shared" si="0"/>
        <v>3795984.2500000005</v>
      </c>
    </row>
    <row r="793" spans="1:18" ht="12.75" x14ac:dyDescent="0.2">
      <c r="A793" s="9" t="s">
        <v>349</v>
      </c>
      <c r="B793" s="9" t="s">
        <v>239</v>
      </c>
      <c r="C793" s="9" t="s">
        <v>240</v>
      </c>
      <c r="D793" s="9" t="s">
        <v>238</v>
      </c>
      <c r="E793" s="9" t="s">
        <v>241</v>
      </c>
      <c r="F793" s="9" t="s">
        <v>334</v>
      </c>
      <c r="G793" s="9" t="s">
        <v>240</v>
      </c>
      <c r="H793" s="10">
        <v>34581929.119999997</v>
      </c>
      <c r="I793" s="10">
        <v>29725617.300000001</v>
      </c>
      <c r="J793" s="10">
        <v>29562403.440000001</v>
      </c>
      <c r="K793" s="10">
        <v>34540517.869999997</v>
      </c>
      <c r="L793" s="10">
        <v>32644508.399999999</v>
      </c>
      <c r="M793" s="10">
        <v>33302956.239999998</v>
      </c>
      <c r="N793" s="10">
        <v>29150103.489999998</v>
      </c>
      <c r="O793" s="10">
        <v>32802975.260000002</v>
      </c>
      <c r="P793" s="10">
        <v>35045719.439999998</v>
      </c>
      <c r="Q793" s="10">
        <v>31998850.010000002</v>
      </c>
      <c r="R793" s="10">
        <v>323355580.56999999</v>
      </c>
    </row>
    <row r="794" spans="1:18" ht="12.75" x14ac:dyDescent="0.2">
      <c r="A794" s="9" t="s">
        <v>349</v>
      </c>
      <c r="B794" s="9" t="s">
        <v>239</v>
      </c>
      <c r="C794" s="9" t="s">
        <v>240</v>
      </c>
      <c r="D794" s="9" t="s">
        <v>238</v>
      </c>
      <c r="E794" s="9" t="s">
        <v>242</v>
      </c>
      <c r="F794" s="9" t="s">
        <v>334</v>
      </c>
      <c r="G794" s="9" t="s">
        <v>240</v>
      </c>
      <c r="H794" s="10">
        <v>30748950.719999999</v>
      </c>
      <c r="I794" s="10">
        <v>26430900.890000001</v>
      </c>
      <c r="J794" s="10">
        <v>26285777.27</v>
      </c>
      <c r="K794" s="10">
        <v>30712129.399999999</v>
      </c>
      <c r="L794" s="10">
        <v>29026269.079999998</v>
      </c>
      <c r="M794" s="10">
        <v>29611736.129999999</v>
      </c>
      <c r="N794" s="10">
        <v>25919175.670000002</v>
      </c>
      <c r="O794" s="10">
        <v>29167171.850000001</v>
      </c>
      <c r="P794" s="10">
        <v>31161335.629999999</v>
      </c>
      <c r="Q794" s="10">
        <v>28452173.93</v>
      </c>
      <c r="R794" s="10">
        <v>287515620.56999999</v>
      </c>
    </row>
    <row r="795" spans="1:18" ht="12.75" x14ac:dyDescent="0.2">
      <c r="A795" s="9" t="s">
        <v>332</v>
      </c>
      <c r="B795" s="9" t="s">
        <v>239</v>
      </c>
      <c r="C795" s="9" t="s">
        <v>240</v>
      </c>
      <c r="D795" s="9" t="s">
        <v>74</v>
      </c>
      <c r="E795" s="9" t="s">
        <v>244</v>
      </c>
      <c r="F795" s="9" t="s">
        <v>334</v>
      </c>
      <c r="G795" s="9" t="s">
        <v>240</v>
      </c>
      <c r="H795" s="10">
        <v>88707603.299999997</v>
      </c>
      <c r="I795" s="10">
        <v>85073481.319999993</v>
      </c>
      <c r="J795" s="10">
        <v>84883860.019999996</v>
      </c>
      <c r="K795" s="10">
        <v>95099151.209999993</v>
      </c>
      <c r="L795" s="10">
        <v>91402467.790000007</v>
      </c>
      <c r="M795" s="10">
        <v>86341727.420000002</v>
      </c>
      <c r="N795" s="10">
        <v>86395829.680000007</v>
      </c>
      <c r="O795" s="10">
        <v>89066920.170000002</v>
      </c>
      <c r="P795" s="10">
        <v>101873001.29000001</v>
      </c>
      <c r="Q795" s="10">
        <v>85128736.010000005</v>
      </c>
      <c r="R795" s="10">
        <v>893972778.21000004</v>
      </c>
    </row>
    <row r="796" spans="1:18" ht="12.75" x14ac:dyDescent="0.2">
      <c r="A796" s="9" t="s">
        <v>332</v>
      </c>
      <c r="B796" s="9" t="s">
        <v>239</v>
      </c>
      <c r="C796" s="9" t="s">
        <v>240</v>
      </c>
      <c r="D796" s="9" t="s">
        <v>74</v>
      </c>
      <c r="E796" s="9" t="s">
        <v>245</v>
      </c>
      <c r="F796" s="9" t="s">
        <v>334</v>
      </c>
      <c r="G796" s="9" t="s">
        <v>240</v>
      </c>
      <c r="H796" s="10">
        <v>88707603.299999997</v>
      </c>
      <c r="I796" s="10">
        <v>85073481.319999993</v>
      </c>
      <c r="J796" s="10">
        <v>84883860.019999996</v>
      </c>
      <c r="K796" s="10">
        <v>95099151.209999993</v>
      </c>
      <c r="L796" s="10">
        <v>91402467.790000007</v>
      </c>
      <c r="M796" s="10">
        <v>86341727.420000002</v>
      </c>
      <c r="N796" s="10">
        <v>86395829.680000007</v>
      </c>
      <c r="O796" s="10">
        <v>89066920.170000002</v>
      </c>
      <c r="P796" s="10">
        <v>101873001.29000001</v>
      </c>
      <c r="Q796" s="10">
        <v>85128736.010000005</v>
      </c>
      <c r="R796" s="10">
        <v>893972778.21000004</v>
      </c>
    </row>
    <row r="797" spans="1:18" ht="12.75" x14ac:dyDescent="0.2">
      <c r="A797" s="9" t="s">
        <v>332</v>
      </c>
      <c r="B797" s="9" t="s">
        <v>239</v>
      </c>
      <c r="C797" s="9" t="s">
        <v>240</v>
      </c>
      <c r="D797" s="9" t="s">
        <v>74</v>
      </c>
      <c r="E797" s="9" t="s">
        <v>246</v>
      </c>
      <c r="F797" s="9" t="s">
        <v>334</v>
      </c>
      <c r="G797" s="9" t="s">
        <v>240</v>
      </c>
      <c r="H797" s="10">
        <v>88707603.299999997</v>
      </c>
      <c r="I797" s="10">
        <v>85073481.319999993</v>
      </c>
      <c r="J797" s="10">
        <v>84883860.019999996</v>
      </c>
      <c r="K797" s="10">
        <v>95099151.209999993</v>
      </c>
      <c r="L797" s="10">
        <v>91402467.790000007</v>
      </c>
      <c r="M797" s="10">
        <v>86341727.420000002</v>
      </c>
      <c r="N797" s="10">
        <v>86395829.680000007</v>
      </c>
      <c r="O797" s="10">
        <v>89066920.170000002</v>
      </c>
      <c r="P797" s="10">
        <v>101873001.29000001</v>
      </c>
      <c r="Q797" s="10">
        <v>85128736.010000005</v>
      </c>
      <c r="R797" s="10">
        <v>893972778.21000004</v>
      </c>
    </row>
    <row r="798" spans="1:18" ht="12.75" x14ac:dyDescent="0.2">
      <c r="A798" s="9" t="s">
        <v>332</v>
      </c>
      <c r="B798" s="9" t="s">
        <v>239</v>
      </c>
      <c r="C798" s="9" t="s">
        <v>240</v>
      </c>
      <c r="D798" s="9" t="s">
        <v>74</v>
      </c>
      <c r="E798" s="9" t="s">
        <v>247</v>
      </c>
      <c r="F798" s="9" t="s">
        <v>334</v>
      </c>
      <c r="G798" s="9" t="s">
        <v>240</v>
      </c>
      <c r="H798" s="10">
        <v>88707603.299999997</v>
      </c>
      <c r="I798" s="10">
        <v>85073481.319999993</v>
      </c>
      <c r="J798" s="10">
        <v>84883860.019999996</v>
      </c>
      <c r="K798" s="10">
        <v>95099151.209999993</v>
      </c>
      <c r="L798" s="10">
        <v>91402467.790000007</v>
      </c>
      <c r="M798" s="10">
        <v>86341727.420000002</v>
      </c>
      <c r="N798" s="10">
        <v>86395829.680000007</v>
      </c>
      <c r="O798" s="10">
        <v>89066920.170000002</v>
      </c>
      <c r="P798" s="10">
        <v>101873001.29000001</v>
      </c>
      <c r="Q798" s="10">
        <v>85128736.010000005</v>
      </c>
      <c r="R798" s="10">
        <v>893972778.21000004</v>
      </c>
    </row>
    <row r="799" spans="1:18" ht="12.75" x14ac:dyDescent="0.2">
      <c r="A799" s="9" t="s">
        <v>332</v>
      </c>
      <c r="B799" s="9" t="s">
        <v>239</v>
      </c>
      <c r="C799" s="9" t="s">
        <v>240</v>
      </c>
      <c r="D799" s="9" t="s">
        <v>74</v>
      </c>
      <c r="E799" s="9" t="s">
        <v>248</v>
      </c>
      <c r="F799" s="9" t="s">
        <v>334</v>
      </c>
      <c r="G799" s="9" t="s">
        <v>240</v>
      </c>
      <c r="H799" s="10">
        <v>88707603.299999997</v>
      </c>
      <c r="I799" s="10">
        <v>85073481.319999993</v>
      </c>
      <c r="J799" s="10">
        <v>84883860.019999996</v>
      </c>
      <c r="K799" s="10">
        <v>95099151.209999993</v>
      </c>
      <c r="L799" s="10">
        <v>91402467.790000007</v>
      </c>
      <c r="M799" s="10">
        <v>86341727.420000002</v>
      </c>
      <c r="N799" s="10">
        <v>86395829.680000007</v>
      </c>
      <c r="O799" s="10">
        <v>89066920.170000002</v>
      </c>
      <c r="P799" s="10">
        <v>101873001.29000001</v>
      </c>
      <c r="Q799" s="10">
        <v>85128736.010000005</v>
      </c>
      <c r="R799" s="10">
        <v>893972778.21000004</v>
      </c>
    </row>
    <row r="800" spans="1:18" ht="12.75" x14ac:dyDescent="0.2">
      <c r="A800" s="9" t="s">
        <v>332</v>
      </c>
      <c r="B800" s="9" t="s">
        <v>239</v>
      </c>
      <c r="C800" s="9" t="s">
        <v>240</v>
      </c>
      <c r="D800" s="9" t="s">
        <v>74</v>
      </c>
      <c r="E800" s="9" t="s">
        <v>249</v>
      </c>
      <c r="F800" s="9" t="s">
        <v>334</v>
      </c>
      <c r="G800" s="9" t="s">
        <v>240</v>
      </c>
      <c r="H800" s="10">
        <v>88707603.299999997</v>
      </c>
      <c r="I800" s="10">
        <v>85073481.319999993</v>
      </c>
      <c r="J800" s="10">
        <v>84883860.019999996</v>
      </c>
      <c r="K800" s="10">
        <v>95099151.209999993</v>
      </c>
      <c r="L800" s="10">
        <v>91402467.790000007</v>
      </c>
      <c r="M800" s="10">
        <v>86341727.420000002</v>
      </c>
      <c r="N800" s="10">
        <v>86395829.680000007</v>
      </c>
      <c r="O800" s="10">
        <v>89066920.170000002</v>
      </c>
      <c r="P800" s="10">
        <v>101873001.29000001</v>
      </c>
      <c r="Q800" s="10">
        <v>85128736.010000005</v>
      </c>
      <c r="R800" s="10">
        <v>893972778.21000004</v>
      </c>
    </row>
    <row r="801" spans="1:18" ht="12.75" x14ac:dyDescent="0.2">
      <c r="A801" s="9" t="s">
        <v>332</v>
      </c>
      <c r="B801" s="9" t="s">
        <v>239</v>
      </c>
      <c r="C801" s="9" t="s">
        <v>240</v>
      </c>
      <c r="D801" s="9" t="s">
        <v>74</v>
      </c>
      <c r="E801" s="9" t="s">
        <v>250</v>
      </c>
      <c r="F801" s="9" t="s">
        <v>334</v>
      </c>
      <c r="G801" s="9" t="s">
        <v>240</v>
      </c>
      <c r="H801" s="10">
        <v>88707603.299999997</v>
      </c>
      <c r="I801" s="10">
        <v>85073481.319999993</v>
      </c>
      <c r="J801" s="10">
        <v>84883860.019999996</v>
      </c>
      <c r="K801" s="10">
        <v>95099151.209999993</v>
      </c>
      <c r="L801" s="10">
        <v>91402467.790000007</v>
      </c>
      <c r="M801" s="10">
        <v>86341727.420000002</v>
      </c>
      <c r="N801" s="10">
        <v>86395829.680000007</v>
      </c>
      <c r="O801" s="10">
        <v>89066920.170000002</v>
      </c>
      <c r="P801" s="10">
        <v>101873001.29000001</v>
      </c>
      <c r="Q801" s="10">
        <v>85128736.010000005</v>
      </c>
      <c r="R801" s="10">
        <v>893972778.21000004</v>
      </c>
    </row>
    <row r="802" spans="1:18" ht="12.75" x14ac:dyDescent="0.2">
      <c r="A802" s="9" t="s">
        <v>332</v>
      </c>
      <c r="B802" s="9" t="s">
        <v>239</v>
      </c>
      <c r="C802" s="9" t="s">
        <v>240</v>
      </c>
      <c r="D802" s="9" t="s">
        <v>74</v>
      </c>
      <c r="E802" s="9" t="s">
        <v>251</v>
      </c>
      <c r="F802" s="9" t="s">
        <v>334</v>
      </c>
      <c r="G802" s="9" t="s">
        <v>240</v>
      </c>
      <c r="H802" s="10">
        <v>88707603.299999997</v>
      </c>
      <c r="I802" s="10">
        <v>85073481.319999993</v>
      </c>
      <c r="J802" s="10">
        <v>84883860.019999996</v>
      </c>
      <c r="K802" s="10">
        <v>95099151.209999993</v>
      </c>
      <c r="L802" s="10">
        <v>91402467.790000007</v>
      </c>
      <c r="M802" s="10">
        <v>86341727.420000002</v>
      </c>
      <c r="N802" s="10">
        <v>86395829.680000007</v>
      </c>
      <c r="O802" s="10">
        <v>89066920.170000002</v>
      </c>
      <c r="P802" s="10">
        <v>101873001.29000001</v>
      </c>
      <c r="Q802" s="10">
        <v>85128736.010000005</v>
      </c>
      <c r="R802" s="10">
        <v>893972778.21000004</v>
      </c>
    </row>
    <row r="803" spans="1:18" ht="12.75" x14ac:dyDescent="0.2">
      <c r="A803" s="9" t="s">
        <v>332</v>
      </c>
      <c r="B803" s="9" t="s">
        <v>239</v>
      </c>
      <c r="C803" s="9" t="s">
        <v>240</v>
      </c>
      <c r="D803" s="9" t="s">
        <v>52</v>
      </c>
      <c r="E803" s="9" t="s">
        <v>253</v>
      </c>
      <c r="F803" s="9" t="s">
        <v>334</v>
      </c>
      <c r="G803" s="9" t="s">
        <v>240</v>
      </c>
      <c r="H803" s="10">
        <v>19649179.359999999</v>
      </c>
      <c r="I803" s="10">
        <v>15194374.25</v>
      </c>
      <c r="J803" s="10">
        <v>15695221.66</v>
      </c>
      <c r="K803" s="10">
        <v>17767863.890000001</v>
      </c>
      <c r="L803" s="10">
        <v>15910609.619999999</v>
      </c>
      <c r="M803" s="10">
        <v>17194158.620000001</v>
      </c>
      <c r="N803" s="10">
        <v>17010679.030000001</v>
      </c>
      <c r="O803" s="10">
        <v>16846026.600000001</v>
      </c>
      <c r="P803" s="10">
        <v>19115774.129999999</v>
      </c>
      <c r="Q803" s="10">
        <v>18166635.16</v>
      </c>
      <c r="R803" s="10">
        <v>172550522.31999999</v>
      </c>
    </row>
    <row r="804" spans="1:18" ht="12.75" x14ac:dyDescent="0.2">
      <c r="A804" s="9" t="s">
        <v>332</v>
      </c>
      <c r="B804" s="9" t="s">
        <v>239</v>
      </c>
      <c r="C804" s="9" t="s">
        <v>240</v>
      </c>
      <c r="D804" s="9" t="s">
        <v>52</v>
      </c>
      <c r="E804" s="9" t="s">
        <v>254</v>
      </c>
      <c r="F804" s="9" t="s">
        <v>334</v>
      </c>
      <c r="G804" s="9" t="s">
        <v>240</v>
      </c>
      <c r="H804" s="10">
        <v>19649179.359999999</v>
      </c>
      <c r="I804" s="10">
        <v>15194374.25</v>
      </c>
      <c r="J804" s="10">
        <v>15695221.66</v>
      </c>
      <c r="K804" s="10">
        <v>17767863.890000001</v>
      </c>
      <c r="L804" s="10">
        <v>15910609.619999999</v>
      </c>
      <c r="M804" s="10">
        <v>17194158.620000001</v>
      </c>
      <c r="N804" s="10">
        <v>17010679.030000001</v>
      </c>
      <c r="O804" s="10">
        <v>16846026.600000001</v>
      </c>
      <c r="P804" s="10">
        <v>19115774.129999999</v>
      </c>
      <c r="Q804" s="10">
        <v>18166635.16</v>
      </c>
      <c r="R804" s="10">
        <v>172550522.31999999</v>
      </c>
    </row>
    <row r="805" spans="1:18" ht="12.75" x14ac:dyDescent="0.2">
      <c r="A805" s="9" t="s">
        <v>332</v>
      </c>
      <c r="B805" s="9" t="s">
        <v>239</v>
      </c>
      <c r="C805" s="9" t="s">
        <v>240</v>
      </c>
      <c r="D805" s="9" t="s">
        <v>52</v>
      </c>
      <c r="E805" s="9" t="s">
        <v>255</v>
      </c>
      <c r="F805" s="9" t="s">
        <v>334</v>
      </c>
      <c r="G805" s="9" t="s">
        <v>240</v>
      </c>
      <c r="H805" s="10">
        <v>19649179.359999999</v>
      </c>
      <c r="I805" s="10">
        <v>15194374.25</v>
      </c>
      <c r="J805" s="10">
        <v>15695221.66</v>
      </c>
      <c r="K805" s="10">
        <v>17767863.890000001</v>
      </c>
      <c r="L805" s="10">
        <v>15910609.619999999</v>
      </c>
      <c r="M805" s="10">
        <v>17194158.620000001</v>
      </c>
      <c r="N805" s="10">
        <v>17010679.030000001</v>
      </c>
      <c r="O805" s="10">
        <v>16846026.600000001</v>
      </c>
      <c r="P805" s="10">
        <v>19115774.129999999</v>
      </c>
      <c r="Q805" s="10">
        <v>18166635.16</v>
      </c>
      <c r="R805" s="10">
        <v>172550522.31999999</v>
      </c>
    </row>
    <row r="806" spans="1:18" ht="12.75" x14ac:dyDescent="0.2">
      <c r="A806" s="9" t="s">
        <v>332</v>
      </c>
      <c r="B806" s="9" t="s">
        <v>239</v>
      </c>
      <c r="C806" s="9" t="s">
        <v>240</v>
      </c>
      <c r="D806" s="9" t="s">
        <v>52</v>
      </c>
      <c r="E806" s="9" t="s">
        <v>256</v>
      </c>
      <c r="F806" s="9" t="s">
        <v>334</v>
      </c>
      <c r="G806" s="9" t="s">
        <v>240</v>
      </c>
      <c r="H806" s="10">
        <v>19649179.359999999</v>
      </c>
      <c r="I806" s="10">
        <v>15194374.25</v>
      </c>
      <c r="J806" s="10">
        <v>15695221.66</v>
      </c>
      <c r="K806" s="10">
        <v>17767863.890000001</v>
      </c>
      <c r="L806" s="10">
        <v>15910609.619999999</v>
      </c>
      <c r="M806" s="10">
        <v>17194158.620000001</v>
      </c>
      <c r="N806" s="10">
        <v>17010679.030000001</v>
      </c>
      <c r="O806" s="10">
        <v>16846026.600000001</v>
      </c>
      <c r="P806" s="10">
        <v>19115774.129999999</v>
      </c>
      <c r="Q806" s="10">
        <v>18166635.16</v>
      </c>
      <c r="R806" s="10">
        <v>172550522.31999999</v>
      </c>
    </row>
    <row r="807" spans="1:18" ht="12.75" x14ac:dyDescent="0.2">
      <c r="A807" s="9" t="s">
        <v>332</v>
      </c>
      <c r="B807" s="9" t="s">
        <v>239</v>
      </c>
      <c r="C807" s="9" t="s">
        <v>240</v>
      </c>
      <c r="D807" s="9" t="s">
        <v>52</v>
      </c>
      <c r="E807" s="9" t="s">
        <v>257</v>
      </c>
      <c r="F807" s="9" t="s">
        <v>334</v>
      </c>
      <c r="G807" s="9" t="s">
        <v>240</v>
      </c>
      <c r="H807" s="10">
        <v>19649179.359999999</v>
      </c>
      <c r="I807" s="10">
        <v>15194374.25</v>
      </c>
      <c r="J807" s="10">
        <v>15695221.66</v>
      </c>
      <c r="K807" s="10">
        <v>17767863.890000001</v>
      </c>
      <c r="L807" s="10">
        <v>15910609.619999999</v>
      </c>
      <c r="M807" s="10">
        <v>17194158.620000001</v>
      </c>
      <c r="N807" s="10">
        <v>17010679.030000001</v>
      </c>
      <c r="O807" s="10">
        <v>16846026.600000001</v>
      </c>
      <c r="P807" s="10">
        <v>19115774.129999999</v>
      </c>
      <c r="Q807" s="10">
        <v>18166635.16</v>
      </c>
      <c r="R807" s="10">
        <v>172550522.31999999</v>
      </c>
    </row>
    <row r="808" spans="1:18" ht="12.75" x14ac:dyDescent="0.2">
      <c r="A808" s="9" t="s">
        <v>332</v>
      </c>
      <c r="B808" s="9" t="s">
        <v>239</v>
      </c>
      <c r="C808" s="9" t="s">
        <v>240</v>
      </c>
      <c r="D808" s="9" t="s">
        <v>52</v>
      </c>
      <c r="E808" s="9" t="s">
        <v>258</v>
      </c>
      <c r="F808" s="9" t="s">
        <v>334</v>
      </c>
      <c r="G808" s="9" t="s">
        <v>240</v>
      </c>
      <c r="H808" s="10">
        <v>19649179.359999999</v>
      </c>
      <c r="I808" s="10">
        <v>15194374.25</v>
      </c>
      <c r="J808" s="10">
        <v>15695221.66</v>
      </c>
      <c r="K808" s="10">
        <v>17767863.890000001</v>
      </c>
      <c r="L808" s="10">
        <v>15910609.619999999</v>
      </c>
      <c r="M808" s="10">
        <v>17194158.620000001</v>
      </c>
      <c r="N808" s="10">
        <v>17010679.030000001</v>
      </c>
      <c r="O808" s="10">
        <v>16846026.600000001</v>
      </c>
      <c r="P808" s="10">
        <v>19115774.129999999</v>
      </c>
      <c r="Q808" s="10">
        <v>18166635.16</v>
      </c>
      <c r="R808" s="10">
        <v>172550522.31999999</v>
      </c>
    </row>
    <row r="809" spans="1:18" ht="12.75" x14ac:dyDescent="0.2">
      <c r="A809" s="9" t="s">
        <v>332</v>
      </c>
      <c r="B809" s="9" t="s">
        <v>239</v>
      </c>
      <c r="C809" s="9" t="s">
        <v>240</v>
      </c>
      <c r="D809" s="9" t="s">
        <v>52</v>
      </c>
      <c r="E809" s="9" t="s">
        <v>259</v>
      </c>
      <c r="F809" s="9" t="s">
        <v>334</v>
      </c>
      <c r="G809" s="9" t="s">
        <v>240</v>
      </c>
      <c r="H809" s="10">
        <v>19649179.359999999</v>
      </c>
      <c r="I809" s="10">
        <v>15194374.25</v>
      </c>
      <c r="J809" s="10">
        <v>15695221.66</v>
      </c>
      <c r="K809" s="10">
        <v>17767863.890000001</v>
      </c>
      <c r="L809" s="10">
        <v>15910609.619999999</v>
      </c>
      <c r="M809" s="10">
        <v>17194158.620000001</v>
      </c>
      <c r="N809" s="10">
        <v>17010679.030000001</v>
      </c>
      <c r="O809" s="10">
        <v>16846026.600000001</v>
      </c>
      <c r="P809" s="10">
        <v>19115774.129999999</v>
      </c>
      <c r="Q809" s="10">
        <v>18166635.16</v>
      </c>
      <c r="R809" s="10">
        <v>172550522.31999999</v>
      </c>
    </row>
    <row r="810" spans="1:18" ht="12.75" x14ac:dyDescent="0.2">
      <c r="A810" s="9" t="s">
        <v>332</v>
      </c>
      <c r="B810" s="9" t="s">
        <v>239</v>
      </c>
      <c r="C810" s="9" t="s">
        <v>240</v>
      </c>
      <c r="D810" s="9" t="s">
        <v>52</v>
      </c>
      <c r="E810" s="9" t="s">
        <v>260</v>
      </c>
      <c r="F810" s="9" t="s">
        <v>334</v>
      </c>
      <c r="G810" s="9" t="s">
        <v>240</v>
      </c>
      <c r="H810" s="10">
        <v>19649179.359999999</v>
      </c>
      <c r="I810" s="10">
        <v>15194374.25</v>
      </c>
      <c r="J810" s="10">
        <v>15695221.66</v>
      </c>
      <c r="K810" s="10">
        <v>17767863.890000001</v>
      </c>
      <c r="L810" s="10">
        <v>15910609.619999999</v>
      </c>
      <c r="M810" s="10">
        <v>17194158.620000001</v>
      </c>
      <c r="N810" s="10">
        <v>17010679.030000001</v>
      </c>
      <c r="O810" s="10">
        <v>16846026.600000001</v>
      </c>
      <c r="P810" s="10">
        <v>19115774.129999999</v>
      </c>
      <c r="Q810" s="10">
        <v>18166635.16</v>
      </c>
      <c r="R810" s="10">
        <v>172550522.31999999</v>
      </c>
    </row>
    <row r="811" spans="1:18" ht="12.75" x14ac:dyDescent="0.2">
      <c r="A811" s="9" t="s">
        <v>332</v>
      </c>
      <c r="B811" s="9" t="s">
        <v>239</v>
      </c>
      <c r="C811" s="9" t="s">
        <v>240</v>
      </c>
      <c r="D811" s="9" t="s">
        <v>52</v>
      </c>
      <c r="E811" s="9" t="s">
        <v>261</v>
      </c>
      <c r="F811" s="9" t="s">
        <v>334</v>
      </c>
      <c r="G811" s="9" t="s">
        <v>240</v>
      </c>
      <c r="H811" s="10">
        <v>19649179.359999999</v>
      </c>
      <c r="I811" s="10">
        <v>15194374.25</v>
      </c>
      <c r="J811" s="10">
        <v>15695221.66</v>
      </c>
      <c r="K811" s="10">
        <v>17767863.890000001</v>
      </c>
      <c r="L811" s="10">
        <v>15910609.619999999</v>
      </c>
      <c r="M811" s="10">
        <v>17194158.620000001</v>
      </c>
      <c r="N811" s="10">
        <v>17010679.030000001</v>
      </c>
      <c r="O811" s="10">
        <v>16846026.600000001</v>
      </c>
      <c r="P811" s="10">
        <v>19115774.129999999</v>
      </c>
      <c r="Q811" s="10">
        <v>18166635.16</v>
      </c>
      <c r="R811" s="10">
        <v>172550522.31999999</v>
      </c>
    </row>
    <row r="812" spans="1:18" ht="12.75" x14ac:dyDescent="0.2">
      <c r="A812" s="9" t="s">
        <v>332</v>
      </c>
      <c r="B812" s="9" t="s">
        <v>239</v>
      </c>
      <c r="C812" s="9" t="s">
        <v>240</v>
      </c>
      <c r="D812" s="9" t="s">
        <v>52</v>
      </c>
      <c r="E812" s="9" t="s">
        <v>262</v>
      </c>
      <c r="F812" s="9" t="s">
        <v>334</v>
      </c>
      <c r="G812" s="9" t="s">
        <v>240</v>
      </c>
      <c r="H812" s="10">
        <v>19649179.359999999</v>
      </c>
      <c r="I812" s="10">
        <v>15194374.25</v>
      </c>
      <c r="J812" s="10">
        <v>15695221.66</v>
      </c>
      <c r="K812" s="10">
        <v>17767863.890000001</v>
      </c>
      <c r="L812" s="10">
        <v>15910609.619999999</v>
      </c>
      <c r="M812" s="10">
        <v>17194158.620000001</v>
      </c>
      <c r="N812" s="10">
        <v>17010679.030000001</v>
      </c>
      <c r="O812" s="10">
        <v>16846026.600000001</v>
      </c>
      <c r="P812" s="10">
        <v>19115774.129999999</v>
      </c>
      <c r="Q812" s="10">
        <v>18166635.16</v>
      </c>
      <c r="R812" s="10">
        <v>172550522.31999999</v>
      </c>
    </row>
    <row r="813" spans="1:18" ht="12.75" x14ac:dyDescent="0.2">
      <c r="A813" s="9" t="s">
        <v>332</v>
      </c>
      <c r="B813" s="9" t="s">
        <v>239</v>
      </c>
      <c r="C813" s="9" t="s">
        <v>240</v>
      </c>
      <c r="D813" s="9" t="s">
        <v>52</v>
      </c>
      <c r="E813" s="9" t="s">
        <v>263</v>
      </c>
      <c r="F813" s="9" t="s">
        <v>334</v>
      </c>
      <c r="G813" s="9" t="s">
        <v>240</v>
      </c>
      <c r="H813" s="10">
        <v>19649179.359999999</v>
      </c>
      <c r="I813" s="10">
        <v>15194374.25</v>
      </c>
      <c r="J813" s="10">
        <v>15695221.66</v>
      </c>
      <c r="K813" s="10">
        <v>17767863.890000001</v>
      </c>
      <c r="L813" s="10">
        <v>15910609.619999999</v>
      </c>
      <c r="M813" s="10">
        <v>17194158.620000001</v>
      </c>
      <c r="N813" s="10">
        <v>17010679.030000001</v>
      </c>
      <c r="O813" s="10">
        <v>16846026.600000001</v>
      </c>
      <c r="P813" s="10">
        <v>19115774.129999999</v>
      </c>
      <c r="Q813" s="10">
        <v>18166635.16</v>
      </c>
      <c r="R813" s="10">
        <v>172550522.31999999</v>
      </c>
    </row>
    <row r="814" spans="1:18" ht="12.75" x14ac:dyDescent="0.2">
      <c r="A814" s="9" t="s">
        <v>332</v>
      </c>
      <c r="B814" s="9" t="s">
        <v>239</v>
      </c>
      <c r="C814" s="9" t="s">
        <v>240</v>
      </c>
      <c r="D814" s="9" t="s">
        <v>52</v>
      </c>
      <c r="E814" s="9" t="s">
        <v>264</v>
      </c>
      <c r="F814" s="9" t="s">
        <v>334</v>
      </c>
      <c r="G814" s="9" t="s">
        <v>240</v>
      </c>
      <c r="H814" s="10">
        <v>19649179.359999999</v>
      </c>
      <c r="I814" s="10">
        <v>15194374.25</v>
      </c>
      <c r="J814" s="10">
        <v>15695221.66</v>
      </c>
      <c r="K814" s="10">
        <v>17767863.890000001</v>
      </c>
      <c r="L814" s="10">
        <v>15910609.619999999</v>
      </c>
      <c r="M814" s="10">
        <v>17194158.620000001</v>
      </c>
      <c r="N814" s="10">
        <v>17010679.030000001</v>
      </c>
      <c r="O814" s="10">
        <v>16846026.600000001</v>
      </c>
      <c r="P814" s="10">
        <v>19115774.129999999</v>
      </c>
      <c r="Q814" s="10">
        <v>18166635.16</v>
      </c>
      <c r="R814" s="10">
        <v>172550522.31999999</v>
      </c>
    </row>
    <row r="815" spans="1:18" ht="12.75" x14ac:dyDescent="0.2">
      <c r="A815" s="9" t="s">
        <v>332</v>
      </c>
      <c r="B815" s="9" t="s">
        <v>239</v>
      </c>
      <c r="C815" s="9" t="s">
        <v>240</v>
      </c>
      <c r="D815" s="9" t="s">
        <v>52</v>
      </c>
      <c r="E815" s="9" t="s">
        <v>265</v>
      </c>
      <c r="F815" s="9" t="s">
        <v>334</v>
      </c>
      <c r="G815" s="9" t="s">
        <v>240</v>
      </c>
      <c r="H815" s="10">
        <v>19649179.359999999</v>
      </c>
      <c r="I815" s="10">
        <v>15194374.25</v>
      </c>
      <c r="J815" s="10">
        <v>15695221.66</v>
      </c>
      <c r="K815" s="10">
        <v>17767863.890000001</v>
      </c>
      <c r="L815" s="10">
        <v>15910609.619999999</v>
      </c>
      <c r="M815" s="10">
        <v>17194158.620000001</v>
      </c>
      <c r="N815" s="10">
        <v>17010679.030000001</v>
      </c>
      <c r="O815" s="10">
        <v>16846026.600000001</v>
      </c>
      <c r="P815" s="10">
        <v>19115774.129999999</v>
      </c>
      <c r="Q815" s="10">
        <v>18166635.16</v>
      </c>
      <c r="R815" s="10">
        <v>172550522.31999999</v>
      </c>
    </row>
    <row r="816" spans="1:18" ht="12.75" x14ac:dyDescent="0.2">
      <c r="A816" s="9" t="s">
        <v>332</v>
      </c>
      <c r="B816" s="9" t="s">
        <v>239</v>
      </c>
      <c r="C816" s="9" t="s">
        <v>240</v>
      </c>
      <c r="D816" s="9" t="s">
        <v>52</v>
      </c>
      <c r="E816" s="9" t="s">
        <v>266</v>
      </c>
      <c r="F816" s="9" t="s">
        <v>334</v>
      </c>
      <c r="G816" s="9" t="s">
        <v>240</v>
      </c>
      <c r="H816" s="10">
        <v>19649179.359999999</v>
      </c>
      <c r="I816" s="10">
        <v>15194374.25</v>
      </c>
      <c r="J816" s="10">
        <v>15695221.66</v>
      </c>
      <c r="K816" s="10">
        <v>17767863.890000001</v>
      </c>
      <c r="L816" s="10">
        <v>15910609.619999999</v>
      </c>
      <c r="M816" s="10">
        <v>17194158.620000001</v>
      </c>
      <c r="N816" s="10">
        <v>17010679.030000001</v>
      </c>
      <c r="O816" s="10">
        <v>16846026.600000001</v>
      </c>
      <c r="P816" s="10">
        <v>19115774.129999999</v>
      </c>
      <c r="Q816" s="10">
        <v>18166635.16</v>
      </c>
      <c r="R816" s="10">
        <v>172550522.31999999</v>
      </c>
    </row>
    <row r="817" spans="1:18" ht="12.75" x14ac:dyDescent="0.2">
      <c r="A817" s="9" t="s">
        <v>332</v>
      </c>
      <c r="B817" s="9" t="s">
        <v>239</v>
      </c>
      <c r="C817" s="9" t="s">
        <v>240</v>
      </c>
      <c r="D817" s="9" t="s">
        <v>52</v>
      </c>
      <c r="E817" s="9" t="s">
        <v>267</v>
      </c>
      <c r="F817" s="9" t="s">
        <v>334</v>
      </c>
      <c r="G817" s="9" t="s">
        <v>240</v>
      </c>
      <c r="H817" s="10">
        <v>19649179.359999999</v>
      </c>
      <c r="I817" s="10">
        <v>15194374.25</v>
      </c>
      <c r="J817" s="10">
        <v>15695221.66</v>
      </c>
      <c r="K817" s="10">
        <v>17767863.890000001</v>
      </c>
      <c r="L817" s="10">
        <v>15910609.619999999</v>
      </c>
      <c r="M817" s="10">
        <v>17194158.620000001</v>
      </c>
      <c r="N817" s="10">
        <v>17010679.030000001</v>
      </c>
      <c r="O817" s="10">
        <v>16846026.600000001</v>
      </c>
      <c r="P817" s="10">
        <v>19115774.129999999</v>
      </c>
      <c r="Q817" s="10">
        <v>18166635.16</v>
      </c>
      <c r="R817" s="10">
        <v>172550522.31999999</v>
      </c>
    </row>
    <row r="818" spans="1:18" ht="12.75" x14ac:dyDescent="0.2">
      <c r="A818" s="9" t="s">
        <v>332</v>
      </c>
      <c r="B818" s="9" t="s">
        <v>239</v>
      </c>
      <c r="C818" s="9" t="s">
        <v>240</v>
      </c>
      <c r="D818" s="9" t="s">
        <v>52</v>
      </c>
      <c r="E818" s="9" t="s">
        <v>268</v>
      </c>
      <c r="F818" s="9" t="s">
        <v>334</v>
      </c>
      <c r="G818" s="9" t="s">
        <v>240</v>
      </c>
      <c r="H818" s="10">
        <v>19649179.359999999</v>
      </c>
      <c r="I818" s="10">
        <v>15194374.25</v>
      </c>
      <c r="J818" s="10">
        <v>15695221.66</v>
      </c>
      <c r="K818" s="10">
        <v>17767863.890000001</v>
      </c>
      <c r="L818" s="10">
        <v>15910609.619999999</v>
      </c>
      <c r="M818" s="10">
        <v>17194158.620000001</v>
      </c>
      <c r="N818" s="10">
        <v>17010679.030000001</v>
      </c>
      <c r="O818" s="10">
        <v>16846026.600000001</v>
      </c>
      <c r="P818" s="10">
        <v>19115774.129999999</v>
      </c>
      <c r="Q818" s="10">
        <v>18166635.16</v>
      </c>
      <c r="R818" s="10">
        <v>172550522.31999999</v>
      </c>
    </row>
    <row r="819" spans="1:18" ht="12.75" x14ac:dyDescent="0.2">
      <c r="A819" s="9" t="s">
        <v>332</v>
      </c>
      <c r="B819" s="9" t="s">
        <v>239</v>
      </c>
      <c r="C819" s="9" t="s">
        <v>240</v>
      </c>
      <c r="D819" s="9" t="s">
        <v>87</v>
      </c>
      <c r="E819" s="9" t="s">
        <v>270</v>
      </c>
      <c r="F819" s="9" t="s">
        <v>334</v>
      </c>
      <c r="G819" s="9" t="s">
        <v>240</v>
      </c>
      <c r="H819" s="10">
        <v>96464936.489999995</v>
      </c>
      <c r="I819" s="10">
        <v>93342941.969999999</v>
      </c>
      <c r="J819" s="10">
        <v>91399076.090000004</v>
      </c>
      <c r="K819" s="10">
        <v>103639996.51000001</v>
      </c>
      <c r="L819" s="10">
        <v>97074900.340000004</v>
      </c>
      <c r="M819" s="10">
        <v>100259185.59999999</v>
      </c>
      <c r="N819" s="10">
        <v>90148412.180000007</v>
      </c>
      <c r="O819" s="10">
        <v>91807613.650000006</v>
      </c>
      <c r="P819" s="10">
        <v>104851683.06</v>
      </c>
      <c r="Q819" s="10">
        <v>91820665.180000007</v>
      </c>
      <c r="R819" s="10">
        <v>960809411.07000005</v>
      </c>
    </row>
    <row r="820" spans="1:18" ht="12.75" x14ac:dyDescent="0.2">
      <c r="A820" s="9" t="s">
        <v>332</v>
      </c>
      <c r="B820" s="9" t="s">
        <v>239</v>
      </c>
      <c r="C820" s="9" t="s">
        <v>240</v>
      </c>
      <c r="D820" s="9" t="s">
        <v>87</v>
      </c>
      <c r="E820" s="9" t="s">
        <v>271</v>
      </c>
      <c r="F820" s="9" t="s">
        <v>334</v>
      </c>
      <c r="G820" s="9" t="s">
        <v>240</v>
      </c>
      <c r="H820" s="10">
        <v>96464936.489999995</v>
      </c>
      <c r="I820" s="10">
        <v>93342941.969999999</v>
      </c>
      <c r="J820" s="10">
        <v>91399076.090000004</v>
      </c>
      <c r="K820" s="10">
        <v>103639996.51000001</v>
      </c>
      <c r="L820" s="10">
        <v>97074900.340000004</v>
      </c>
      <c r="M820" s="10">
        <v>100259185.59999999</v>
      </c>
      <c r="N820" s="10">
        <v>90148412.180000007</v>
      </c>
      <c r="O820" s="10">
        <v>91807613.650000006</v>
      </c>
      <c r="P820" s="10">
        <v>104851683.06</v>
      </c>
      <c r="Q820" s="10">
        <v>91820665.180000007</v>
      </c>
      <c r="R820" s="10">
        <v>960809411.07000005</v>
      </c>
    </row>
    <row r="821" spans="1:18" ht="12.75" x14ac:dyDescent="0.2">
      <c r="A821" s="9" t="s">
        <v>332</v>
      </c>
      <c r="B821" s="9" t="s">
        <v>239</v>
      </c>
      <c r="C821" s="9" t="s">
        <v>240</v>
      </c>
      <c r="D821" s="9" t="s">
        <v>87</v>
      </c>
      <c r="E821" s="9" t="s">
        <v>272</v>
      </c>
      <c r="F821" s="9" t="s">
        <v>334</v>
      </c>
      <c r="G821" s="9" t="s">
        <v>240</v>
      </c>
      <c r="H821" s="10">
        <v>96464936.489999995</v>
      </c>
      <c r="I821" s="10">
        <v>93342941.969999999</v>
      </c>
      <c r="J821" s="10">
        <v>91399076.090000004</v>
      </c>
      <c r="K821" s="10">
        <v>103639996.51000001</v>
      </c>
      <c r="L821" s="10">
        <v>97074900.340000004</v>
      </c>
      <c r="M821" s="10">
        <v>100259185.59999999</v>
      </c>
      <c r="N821" s="10">
        <v>90148412.180000007</v>
      </c>
      <c r="O821" s="10">
        <v>91807613.650000006</v>
      </c>
      <c r="P821" s="10">
        <v>104851683.06</v>
      </c>
      <c r="Q821" s="10">
        <v>91820665.180000007</v>
      </c>
      <c r="R821" s="10">
        <v>960809411.07000005</v>
      </c>
    </row>
    <row r="822" spans="1:18" ht="12.75" x14ac:dyDescent="0.2">
      <c r="A822" s="9" t="s">
        <v>332</v>
      </c>
      <c r="B822" s="9" t="s">
        <v>239</v>
      </c>
      <c r="C822" s="9" t="s">
        <v>240</v>
      </c>
      <c r="D822" s="9" t="s">
        <v>87</v>
      </c>
      <c r="E822" s="9" t="s">
        <v>273</v>
      </c>
      <c r="F822" s="9" t="s">
        <v>334</v>
      </c>
      <c r="G822" s="9" t="s">
        <v>240</v>
      </c>
      <c r="H822" s="10">
        <v>96464936.489999995</v>
      </c>
      <c r="I822" s="10">
        <v>93342941.969999999</v>
      </c>
      <c r="J822" s="10">
        <v>91399076.090000004</v>
      </c>
      <c r="K822" s="10">
        <v>103639996.51000001</v>
      </c>
      <c r="L822" s="10">
        <v>97074900.340000004</v>
      </c>
      <c r="M822" s="10">
        <v>100259185.59999999</v>
      </c>
      <c r="N822" s="10">
        <v>90148412.180000007</v>
      </c>
      <c r="O822" s="10">
        <v>91807613.650000006</v>
      </c>
      <c r="P822" s="10">
        <v>104851683.06</v>
      </c>
      <c r="Q822" s="10">
        <v>91820665.180000007</v>
      </c>
      <c r="R822" s="10">
        <v>960809411.07000005</v>
      </c>
    </row>
    <row r="823" spans="1:18" ht="12.75" x14ac:dyDescent="0.2">
      <c r="A823" s="9" t="s">
        <v>332</v>
      </c>
      <c r="B823" s="9" t="s">
        <v>239</v>
      </c>
      <c r="C823" s="9" t="s">
        <v>240</v>
      </c>
      <c r="D823" s="9" t="s">
        <v>87</v>
      </c>
      <c r="E823" s="9" t="s">
        <v>274</v>
      </c>
      <c r="F823" s="9" t="s">
        <v>334</v>
      </c>
      <c r="G823" s="9" t="s">
        <v>240</v>
      </c>
      <c r="H823" s="10">
        <v>96464936.489999995</v>
      </c>
      <c r="I823" s="10">
        <v>93342941.969999999</v>
      </c>
      <c r="J823" s="10">
        <v>91399076.090000004</v>
      </c>
      <c r="K823" s="10">
        <v>103639996.51000001</v>
      </c>
      <c r="L823" s="10">
        <v>97074900.340000004</v>
      </c>
      <c r="M823" s="10">
        <v>100259185.59999999</v>
      </c>
      <c r="N823" s="10">
        <v>90148412.180000007</v>
      </c>
      <c r="O823" s="10">
        <v>91807613.650000006</v>
      </c>
      <c r="P823" s="10">
        <v>104851683.06</v>
      </c>
      <c r="Q823" s="10">
        <v>91820665.180000007</v>
      </c>
      <c r="R823" s="10">
        <v>960809411.07000005</v>
      </c>
    </row>
    <row r="824" spans="1:18" ht="12.75" x14ac:dyDescent="0.2">
      <c r="A824" s="9" t="s">
        <v>332</v>
      </c>
      <c r="B824" s="9" t="s">
        <v>239</v>
      </c>
      <c r="C824" s="9" t="s">
        <v>240</v>
      </c>
      <c r="D824" s="9" t="s">
        <v>87</v>
      </c>
      <c r="E824" s="9" t="s">
        <v>275</v>
      </c>
      <c r="F824" s="9" t="s">
        <v>334</v>
      </c>
      <c r="G824" s="9" t="s">
        <v>240</v>
      </c>
      <c r="H824" s="10">
        <v>96464936.489999995</v>
      </c>
      <c r="I824" s="10">
        <v>93342941.969999999</v>
      </c>
      <c r="J824" s="10">
        <v>91399076.090000004</v>
      </c>
      <c r="K824" s="10">
        <v>103639996.51000001</v>
      </c>
      <c r="L824" s="10">
        <v>97074900.340000004</v>
      </c>
      <c r="M824" s="10">
        <v>100259185.59999999</v>
      </c>
      <c r="N824" s="10">
        <v>90148412.180000007</v>
      </c>
      <c r="O824" s="10">
        <v>91807613.650000006</v>
      </c>
      <c r="P824" s="10">
        <v>104851683.06</v>
      </c>
      <c r="Q824" s="10">
        <v>91820665.180000007</v>
      </c>
      <c r="R824" s="10">
        <v>960809411.07000005</v>
      </c>
    </row>
    <row r="825" spans="1:18" ht="12.75" x14ac:dyDescent="0.2">
      <c r="A825" s="9" t="s">
        <v>332</v>
      </c>
      <c r="B825" s="9" t="s">
        <v>239</v>
      </c>
      <c r="C825" s="9" t="s">
        <v>240</v>
      </c>
      <c r="D825" s="9" t="s">
        <v>87</v>
      </c>
      <c r="E825" s="9" t="s">
        <v>276</v>
      </c>
      <c r="F825" s="9" t="s">
        <v>334</v>
      </c>
      <c r="G825" s="9" t="s">
        <v>240</v>
      </c>
      <c r="H825" s="10">
        <v>96464936.489999995</v>
      </c>
      <c r="I825" s="10">
        <v>93342941.969999999</v>
      </c>
      <c r="J825" s="10">
        <v>91399076.090000004</v>
      </c>
      <c r="K825" s="10">
        <v>103639996.51000001</v>
      </c>
      <c r="L825" s="10">
        <v>97074900.340000004</v>
      </c>
      <c r="M825" s="10">
        <v>100259185.59999999</v>
      </c>
      <c r="N825" s="10">
        <v>90148412.180000007</v>
      </c>
      <c r="O825" s="10">
        <v>91807613.650000006</v>
      </c>
      <c r="P825" s="10">
        <v>104851683.06</v>
      </c>
      <c r="Q825" s="10">
        <v>91820665.180000007</v>
      </c>
      <c r="R825" s="10">
        <v>960809411.07000005</v>
      </c>
    </row>
    <row r="826" spans="1:18" ht="12.75" x14ac:dyDescent="0.2">
      <c r="A826" s="9" t="s">
        <v>332</v>
      </c>
      <c r="B826" s="9" t="s">
        <v>239</v>
      </c>
      <c r="C826" s="9" t="s">
        <v>240</v>
      </c>
      <c r="D826" s="9" t="s">
        <v>96</v>
      </c>
      <c r="E826" s="9" t="s">
        <v>277</v>
      </c>
      <c r="F826" s="9" t="s">
        <v>334</v>
      </c>
      <c r="G826" s="9" t="s">
        <v>240</v>
      </c>
      <c r="H826" s="10">
        <v>16430083.119999999</v>
      </c>
      <c r="I826" s="10">
        <v>9066880.6300000008</v>
      </c>
      <c r="J826" s="10">
        <v>9949802.2100000009</v>
      </c>
      <c r="K826" s="10">
        <v>11058091.98</v>
      </c>
      <c r="L826" s="10">
        <v>8886676.1799999997</v>
      </c>
      <c r="M826" s="10">
        <v>27217969.210000001</v>
      </c>
      <c r="N826" s="10">
        <v>9153733.0399999991</v>
      </c>
      <c r="O826" s="10">
        <v>8367027.46</v>
      </c>
      <c r="P826" s="10">
        <v>8632402.2899999991</v>
      </c>
      <c r="Q826" s="10">
        <v>7041984.3200000003</v>
      </c>
      <c r="R826" s="10">
        <v>115804650.44</v>
      </c>
    </row>
    <row r="827" spans="1:18" ht="12.75" x14ac:dyDescent="0.2">
      <c r="A827" s="9" t="s">
        <v>332</v>
      </c>
      <c r="B827" s="9" t="s">
        <v>239</v>
      </c>
      <c r="C827" s="9" t="s">
        <v>240</v>
      </c>
      <c r="D827" s="9" t="s">
        <v>96</v>
      </c>
      <c r="E827" s="9" t="s">
        <v>278</v>
      </c>
      <c r="F827" s="9" t="s">
        <v>334</v>
      </c>
      <c r="G827" s="9" t="s">
        <v>240</v>
      </c>
      <c r="H827" s="10">
        <v>16430083.119999999</v>
      </c>
      <c r="I827" s="10">
        <v>9066880.6300000008</v>
      </c>
      <c r="J827" s="10">
        <v>9949802.2100000009</v>
      </c>
      <c r="K827" s="10">
        <v>11058091.98</v>
      </c>
      <c r="L827" s="10">
        <v>8886676.1799999997</v>
      </c>
      <c r="M827" s="10">
        <v>27217969.210000001</v>
      </c>
      <c r="N827" s="10">
        <v>9153733.0399999991</v>
      </c>
      <c r="O827" s="10">
        <v>8367027.46</v>
      </c>
      <c r="P827" s="10">
        <v>8632402.2899999991</v>
      </c>
      <c r="Q827" s="10">
        <v>7041984.3200000003</v>
      </c>
      <c r="R827" s="10">
        <v>115804650.44</v>
      </c>
    </row>
    <row r="828" spans="1:18" ht="12.75" x14ac:dyDescent="0.2">
      <c r="A828" s="9" t="s">
        <v>332</v>
      </c>
      <c r="B828" s="9" t="s">
        <v>239</v>
      </c>
      <c r="C828" s="9" t="s">
        <v>240</v>
      </c>
      <c r="D828" s="9" t="s">
        <v>96</v>
      </c>
      <c r="E828" s="9" t="s">
        <v>279</v>
      </c>
      <c r="F828" s="9" t="s">
        <v>334</v>
      </c>
      <c r="G828" s="9" t="s">
        <v>240</v>
      </c>
      <c r="H828" s="10">
        <v>16430083.119999999</v>
      </c>
      <c r="I828" s="10">
        <v>9066880.6300000008</v>
      </c>
      <c r="J828" s="10">
        <v>9949802.2100000009</v>
      </c>
      <c r="K828" s="10">
        <v>11058091.98</v>
      </c>
      <c r="L828" s="10">
        <v>8886676.1799999997</v>
      </c>
      <c r="M828" s="10">
        <v>27217969.210000001</v>
      </c>
      <c r="N828" s="10">
        <v>9153733.0399999991</v>
      </c>
      <c r="O828" s="10">
        <v>8367027.46</v>
      </c>
      <c r="P828" s="10">
        <v>8632402.2899999991</v>
      </c>
      <c r="Q828" s="10">
        <v>7041984.3200000003</v>
      </c>
      <c r="R828" s="10">
        <v>115804650.44</v>
      </c>
    </row>
    <row r="829" spans="1:18" ht="12.75" x14ac:dyDescent="0.2">
      <c r="A829" s="9" t="s">
        <v>332</v>
      </c>
      <c r="B829" s="9" t="s">
        <v>239</v>
      </c>
      <c r="C829" s="9" t="s">
        <v>240</v>
      </c>
      <c r="D829" s="9" t="s">
        <v>96</v>
      </c>
      <c r="E829" s="9" t="s">
        <v>280</v>
      </c>
      <c r="F829" s="9" t="s">
        <v>334</v>
      </c>
      <c r="G829" s="9" t="s">
        <v>240</v>
      </c>
      <c r="H829" s="10">
        <v>16430083.119999999</v>
      </c>
      <c r="I829" s="10">
        <v>9066880.6300000008</v>
      </c>
      <c r="J829" s="10">
        <v>9949802.2100000009</v>
      </c>
      <c r="K829" s="10">
        <v>11058091.98</v>
      </c>
      <c r="L829" s="10">
        <v>8886676.1799999997</v>
      </c>
      <c r="M829" s="10">
        <v>27217969.210000001</v>
      </c>
      <c r="N829" s="10">
        <v>9153733.0399999991</v>
      </c>
      <c r="O829" s="10">
        <v>8367027.46</v>
      </c>
      <c r="P829" s="10">
        <v>8632402.2899999991</v>
      </c>
      <c r="Q829" s="10">
        <v>7041984.3200000003</v>
      </c>
      <c r="R829" s="10">
        <v>115804650.44</v>
      </c>
    </row>
    <row r="830" spans="1:18" ht="12.75" x14ac:dyDescent="0.2">
      <c r="A830" s="9" t="s">
        <v>332</v>
      </c>
      <c r="B830" s="9" t="s">
        <v>239</v>
      </c>
      <c r="C830" s="9" t="s">
        <v>240</v>
      </c>
      <c r="D830" s="9" t="s">
        <v>96</v>
      </c>
      <c r="E830" s="9" t="s">
        <v>281</v>
      </c>
      <c r="F830" s="9" t="s">
        <v>334</v>
      </c>
      <c r="G830" s="9" t="s">
        <v>240</v>
      </c>
      <c r="H830" s="10">
        <v>16430083.119999999</v>
      </c>
      <c r="I830" s="10">
        <v>9066880.6300000008</v>
      </c>
      <c r="J830" s="10">
        <v>9949802.2100000009</v>
      </c>
      <c r="K830" s="10">
        <v>11058091.98</v>
      </c>
      <c r="L830" s="10">
        <v>8886676.1799999997</v>
      </c>
      <c r="M830" s="10">
        <v>27217969.210000001</v>
      </c>
      <c r="N830" s="10">
        <v>9153733.0399999991</v>
      </c>
      <c r="O830" s="10">
        <v>8367027.46</v>
      </c>
      <c r="P830" s="10">
        <v>8632402.2899999991</v>
      </c>
      <c r="Q830" s="10">
        <v>7041984.3200000003</v>
      </c>
      <c r="R830" s="10">
        <v>115804650.44</v>
      </c>
    </row>
    <row r="831" spans="1:18" ht="12.75" x14ac:dyDescent="0.2">
      <c r="A831" s="9" t="s">
        <v>332</v>
      </c>
      <c r="B831" s="9" t="s">
        <v>239</v>
      </c>
      <c r="C831" s="9" t="s">
        <v>240</v>
      </c>
      <c r="D831" s="9" t="s">
        <v>96</v>
      </c>
      <c r="E831" s="9" t="s">
        <v>282</v>
      </c>
      <c r="F831" s="9" t="s">
        <v>334</v>
      </c>
      <c r="G831" s="9" t="s">
        <v>240</v>
      </c>
      <c r="H831" s="10">
        <v>16430083.119999999</v>
      </c>
      <c r="I831" s="10">
        <v>9066880.6300000008</v>
      </c>
      <c r="J831" s="10">
        <v>9949802.2100000009</v>
      </c>
      <c r="K831" s="10">
        <v>11058091.98</v>
      </c>
      <c r="L831" s="10">
        <v>8886676.1799999997</v>
      </c>
      <c r="M831" s="10">
        <v>27217969.210000001</v>
      </c>
      <c r="N831" s="10">
        <v>9153733.0399999991</v>
      </c>
      <c r="O831" s="10">
        <v>8367027.46</v>
      </c>
      <c r="P831" s="10">
        <v>8632402.2899999991</v>
      </c>
      <c r="Q831" s="10">
        <v>7041984.3200000003</v>
      </c>
      <c r="R831" s="10">
        <v>115804650.44</v>
      </c>
    </row>
    <row r="832" spans="1:18" ht="12.75" x14ac:dyDescent="0.2">
      <c r="A832" s="9" t="s">
        <v>332</v>
      </c>
      <c r="B832" s="9" t="s">
        <v>239</v>
      </c>
      <c r="C832" s="9" t="s">
        <v>240</v>
      </c>
      <c r="D832" s="9" t="s">
        <v>96</v>
      </c>
      <c r="E832" s="9" t="s">
        <v>283</v>
      </c>
      <c r="F832" s="9" t="s">
        <v>334</v>
      </c>
      <c r="G832" s="9" t="s">
        <v>240</v>
      </c>
      <c r="H832" s="10">
        <v>16430083.119999999</v>
      </c>
      <c r="I832" s="10">
        <v>9066880.6300000008</v>
      </c>
      <c r="J832" s="10">
        <v>9949802.2100000009</v>
      </c>
      <c r="K832" s="10">
        <v>11058091.98</v>
      </c>
      <c r="L832" s="10">
        <v>8886676.1799999997</v>
      </c>
      <c r="M832" s="10">
        <v>27217969.210000001</v>
      </c>
      <c r="N832" s="10">
        <v>9153733.0399999991</v>
      </c>
      <c r="O832" s="10">
        <v>8367027.46</v>
      </c>
      <c r="P832" s="10">
        <v>8632402.2899999991</v>
      </c>
      <c r="Q832" s="10">
        <v>7041984.3200000003</v>
      </c>
      <c r="R832" s="10">
        <v>115804650.44</v>
      </c>
    </row>
    <row r="833" spans="1:18" ht="12.75" x14ac:dyDescent="0.2">
      <c r="A833" s="9" t="s">
        <v>332</v>
      </c>
      <c r="B833" s="9" t="s">
        <v>239</v>
      </c>
      <c r="C833" s="9" t="s">
        <v>240</v>
      </c>
      <c r="D833" s="9" t="s">
        <v>96</v>
      </c>
      <c r="E833" s="9" t="s">
        <v>284</v>
      </c>
      <c r="F833" s="9" t="s">
        <v>334</v>
      </c>
      <c r="G833" s="9" t="s">
        <v>240</v>
      </c>
      <c r="H833" s="10">
        <v>16430083.119999999</v>
      </c>
      <c r="I833" s="10">
        <v>9066880.6300000008</v>
      </c>
      <c r="J833" s="10">
        <v>9949802.2100000009</v>
      </c>
      <c r="K833" s="10">
        <v>11058091.98</v>
      </c>
      <c r="L833" s="10">
        <v>8886676.1799999997</v>
      </c>
      <c r="M833" s="10">
        <v>27217969.210000001</v>
      </c>
      <c r="N833" s="10">
        <v>9153733.0399999991</v>
      </c>
      <c r="O833" s="10">
        <v>8367027.46</v>
      </c>
      <c r="P833" s="10">
        <v>8632402.2899999991</v>
      </c>
      <c r="Q833" s="10">
        <v>7041984.3200000003</v>
      </c>
      <c r="R833" s="10">
        <v>115804650.44</v>
      </c>
    </row>
    <row r="834" spans="1:18" ht="12.75" x14ac:dyDescent="0.2">
      <c r="A834" s="9" t="s">
        <v>332</v>
      </c>
      <c r="B834" s="9" t="s">
        <v>239</v>
      </c>
      <c r="C834" s="9" t="s">
        <v>240</v>
      </c>
      <c r="D834" s="9" t="s">
        <v>96</v>
      </c>
      <c r="E834" s="9" t="s">
        <v>285</v>
      </c>
      <c r="F834" s="9" t="s">
        <v>334</v>
      </c>
      <c r="G834" s="9" t="s">
        <v>240</v>
      </c>
      <c r="H834" s="10">
        <v>16430083.119999999</v>
      </c>
      <c r="I834" s="10">
        <v>9066880.6300000008</v>
      </c>
      <c r="J834" s="10">
        <v>9949802.2100000009</v>
      </c>
      <c r="K834" s="10">
        <v>11058091.98</v>
      </c>
      <c r="L834" s="10">
        <v>8886676.1799999997</v>
      </c>
      <c r="M834" s="10">
        <v>27217969.210000001</v>
      </c>
      <c r="N834" s="10">
        <v>9153733.0399999991</v>
      </c>
      <c r="O834" s="10">
        <v>8367027.46</v>
      </c>
      <c r="P834" s="10">
        <v>8632402.2899999991</v>
      </c>
      <c r="Q834" s="10">
        <v>7041984.3200000003</v>
      </c>
      <c r="R834" s="10">
        <v>115804650.44</v>
      </c>
    </row>
    <row r="835" spans="1:18" ht="12.75" x14ac:dyDescent="0.2">
      <c r="A835" s="9" t="s">
        <v>332</v>
      </c>
      <c r="B835" s="9" t="s">
        <v>239</v>
      </c>
      <c r="C835" s="9" t="s">
        <v>240</v>
      </c>
      <c r="D835" s="9" t="s">
        <v>96</v>
      </c>
      <c r="E835" s="9" t="s">
        <v>286</v>
      </c>
      <c r="F835" s="9" t="s">
        <v>334</v>
      </c>
      <c r="G835" s="9" t="s">
        <v>240</v>
      </c>
      <c r="H835" s="10">
        <v>16430083.119999999</v>
      </c>
      <c r="I835" s="10">
        <v>9066880.6300000008</v>
      </c>
      <c r="J835" s="10">
        <v>9949802.2100000009</v>
      </c>
      <c r="K835" s="10">
        <v>11058091.98</v>
      </c>
      <c r="L835" s="10">
        <v>8886676.1799999997</v>
      </c>
      <c r="M835" s="10">
        <v>27217969.210000001</v>
      </c>
      <c r="N835" s="10">
        <v>9153733.0399999991</v>
      </c>
      <c r="O835" s="10">
        <v>8367027.46</v>
      </c>
      <c r="P835" s="10">
        <v>8632402.2899999991</v>
      </c>
      <c r="Q835" s="10">
        <v>7041984.3200000003</v>
      </c>
      <c r="R835" s="10">
        <v>115804650.44</v>
      </c>
    </row>
    <row r="836" spans="1:18" ht="12.75" x14ac:dyDescent="0.2">
      <c r="A836" s="9" t="s">
        <v>332</v>
      </c>
      <c r="B836" s="9" t="s">
        <v>239</v>
      </c>
      <c r="C836" s="9" t="s">
        <v>240</v>
      </c>
      <c r="D836" s="9" t="s">
        <v>112</v>
      </c>
      <c r="E836" s="9" t="s">
        <v>288</v>
      </c>
      <c r="F836" s="9" t="s">
        <v>334</v>
      </c>
      <c r="G836" s="9" t="s">
        <v>240</v>
      </c>
      <c r="H836" s="10">
        <v>51891431.420000002</v>
      </c>
      <c r="I836" s="10">
        <v>48524681.840000004</v>
      </c>
      <c r="J836" s="10">
        <v>57867283.210000001</v>
      </c>
      <c r="K836" s="10">
        <v>56973344.189999998</v>
      </c>
      <c r="L836" s="10">
        <v>53256888.57</v>
      </c>
      <c r="M836" s="10">
        <v>51118740.460000001</v>
      </c>
      <c r="N836" s="10">
        <v>48771828.5</v>
      </c>
      <c r="O836" s="10">
        <v>51322936.859999999</v>
      </c>
      <c r="P836" s="10">
        <v>59835549.829999998</v>
      </c>
      <c r="Q836" s="10">
        <v>47805036.659999996</v>
      </c>
      <c r="R836" s="10">
        <v>527367721.54000002</v>
      </c>
    </row>
    <row r="837" spans="1:18" ht="12.75" x14ac:dyDescent="0.2">
      <c r="A837" s="9" t="s">
        <v>332</v>
      </c>
      <c r="B837" s="9" t="s">
        <v>239</v>
      </c>
      <c r="C837" s="9" t="s">
        <v>240</v>
      </c>
      <c r="D837" s="9" t="s">
        <v>112</v>
      </c>
      <c r="E837" s="9" t="s">
        <v>289</v>
      </c>
      <c r="F837" s="9" t="s">
        <v>334</v>
      </c>
      <c r="G837" s="9" t="s">
        <v>240</v>
      </c>
      <c r="H837" s="10">
        <v>51891431.420000002</v>
      </c>
      <c r="I837" s="10">
        <v>48524681.840000004</v>
      </c>
      <c r="J837" s="10">
        <v>57867283.210000001</v>
      </c>
      <c r="K837" s="10">
        <v>56973344.189999998</v>
      </c>
      <c r="L837" s="10">
        <v>53256888.57</v>
      </c>
      <c r="M837" s="10">
        <v>51118740.460000001</v>
      </c>
      <c r="N837" s="10">
        <v>48771828.5</v>
      </c>
      <c r="O837" s="10">
        <v>51322936.859999999</v>
      </c>
      <c r="P837" s="10">
        <v>59835549.829999998</v>
      </c>
      <c r="Q837" s="10">
        <v>47805036.659999996</v>
      </c>
      <c r="R837" s="10">
        <v>527367721.54000002</v>
      </c>
    </row>
    <row r="838" spans="1:18" ht="12.75" x14ac:dyDescent="0.2">
      <c r="A838" s="9" t="s">
        <v>332</v>
      </c>
      <c r="B838" s="9" t="s">
        <v>239</v>
      </c>
      <c r="C838" s="9" t="s">
        <v>240</v>
      </c>
      <c r="D838" s="9" t="s">
        <v>112</v>
      </c>
      <c r="E838" s="9" t="s">
        <v>290</v>
      </c>
      <c r="F838" s="9" t="s">
        <v>334</v>
      </c>
      <c r="G838" s="9" t="s">
        <v>240</v>
      </c>
      <c r="H838" s="10">
        <v>51891431.420000002</v>
      </c>
      <c r="I838" s="10">
        <v>48524681.840000004</v>
      </c>
      <c r="J838" s="10">
        <v>57867283.210000001</v>
      </c>
      <c r="K838" s="10">
        <v>56973344.189999998</v>
      </c>
      <c r="L838" s="10">
        <v>53256888.57</v>
      </c>
      <c r="M838" s="10">
        <v>51118740.460000001</v>
      </c>
      <c r="N838" s="10">
        <v>48771828.5</v>
      </c>
      <c r="O838" s="10">
        <v>51322936.859999999</v>
      </c>
      <c r="P838" s="10">
        <v>59835549.829999998</v>
      </c>
      <c r="Q838" s="10">
        <v>47805036.659999996</v>
      </c>
      <c r="R838" s="10">
        <v>527367721.54000002</v>
      </c>
    </row>
    <row r="839" spans="1:18" ht="12.75" x14ac:dyDescent="0.2">
      <c r="A839" s="9" t="s">
        <v>332</v>
      </c>
      <c r="B839" s="9" t="s">
        <v>239</v>
      </c>
      <c r="C839" s="9" t="s">
        <v>240</v>
      </c>
      <c r="D839" s="9" t="s">
        <v>112</v>
      </c>
      <c r="E839" s="9" t="s">
        <v>291</v>
      </c>
      <c r="F839" s="9" t="s">
        <v>334</v>
      </c>
      <c r="G839" s="9" t="s">
        <v>240</v>
      </c>
      <c r="H839" s="10">
        <v>51891431.420000002</v>
      </c>
      <c r="I839" s="10">
        <v>48524681.840000004</v>
      </c>
      <c r="J839" s="10">
        <v>57867283.210000001</v>
      </c>
      <c r="K839" s="10">
        <v>56973344.189999998</v>
      </c>
      <c r="L839" s="10">
        <v>53256888.57</v>
      </c>
      <c r="M839" s="10">
        <v>51118740.460000001</v>
      </c>
      <c r="N839" s="10">
        <v>48771828.5</v>
      </c>
      <c r="O839" s="10">
        <v>51322936.859999999</v>
      </c>
      <c r="P839" s="10">
        <v>59835549.829999998</v>
      </c>
      <c r="Q839" s="10">
        <v>47805036.659999996</v>
      </c>
      <c r="R839" s="10">
        <v>527367721.54000002</v>
      </c>
    </row>
    <row r="840" spans="1:18" ht="12.75" x14ac:dyDescent="0.2">
      <c r="A840" s="9" t="s">
        <v>332</v>
      </c>
      <c r="B840" s="9" t="s">
        <v>239</v>
      </c>
      <c r="C840" s="9" t="s">
        <v>240</v>
      </c>
      <c r="D840" s="9" t="s">
        <v>112</v>
      </c>
      <c r="E840" s="9" t="s">
        <v>292</v>
      </c>
      <c r="F840" s="9" t="s">
        <v>334</v>
      </c>
      <c r="G840" s="9" t="s">
        <v>240</v>
      </c>
      <c r="H840" s="10">
        <v>51891431.420000002</v>
      </c>
      <c r="I840" s="10">
        <v>48524681.840000004</v>
      </c>
      <c r="J840" s="10">
        <v>57867283.210000001</v>
      </c>
      <c r="K840" s="10">
        <v>56973344.189999998</v>
      </c>
      <c r="L840" s="10">
        <v>53256888.57</v>
      </c>
      <c r="M840" s="10">
        <v>51118740.460000001</v>
      </c>
      <c r="N840" s="10">
        <v>48771828.5</v>
      </c>
      <c r="O840" s="10">
        <v>51322936.859999999</v>
      </c>
      <c r="P840" s="10">
        <v>59835549.829999998</v>
      </c>
      <c r="Q840" s="10">
        <v>47805036.659999996</v>
      </c>
      <c r="R840" s="10">
        <v>527367721.54000002</v>
      </c>
    </row>
    <row r="841" spans="1:18" ht="12.75" x14ac:dyDescent="0.2">
      <c r="A841" s="9" t="s">
        <v>332</v>
      </c>
      <c r="B841" s="9" t="s">
        <v>239</v>
      </c>
      <c r="C841" s="9" t="s">
        <v>240</v>
      </c>
      <c r="D841" s="9" t="s">
        <v>112</v>
      </c>
      <c r="E841" s="9" t="s">
        <v>293</v>
      </c>
      <c r="F841" s="9" t="s">
        <v>334</v>
      </c>
      <c r="G841" s="9" t="s">
        <v>240</v>
      </c>
      <c r="H841" s="10">
        <v>51891431.420000002</v>
      </c>
      <c r="I841" s="10">
        <v>48524681.840000004</v>
      </c>
      <c r="J841" s="10">
        <v>57867283.210000001</v>
      </c>
      <c r="K841" s="10">
        <v>56973344.189999998</v>
      </c>
      <c r="L841" s="10">
        <v>53256888.57</v>
      </c>
      <c r="M841" s="10">
        <v>51118740.460000001</v>
      </c>
      <c r="N841" s="10">
        <v>48771828.5</v>
      </c>
      <c r="O841" s="10">
        <v>51322936.859999999</v>
      </c>
      <c r="P841" s="10">
        <v>59835549.829999998</v>
      </c>
      <c r="Q841" s="10">
        <v>47805036.659999996</v>
      </c>
      <c r="R841" s="10">
        <v>527367721.54000002</v>
      </c>
    </row>
    <row r="842" spans="1:18" ht="12.75" x14ac:dyDescent="0.2">
      <c r="A842" s="9" t="s">
        <v>332</v>
      </c>
      <c r="B842" s="9" t="s">
        <v>239</v>
      </c>
      <c r="C842" s="9" t="s">
        <v>240</v>
      </c>
      <c r="D842" s="9" t="s">
        <v>112</v>
      </c>
      <c r="E842" s="9" t="s">
        <v>294</v>
      </c>
      <c r="F842" s="9" t="s">
        <v>334</v>
      </c>
      <c r="G842" s="9" t="s">
        <v>240</v>
      </c>
      <c r="H842" s="10">
        <v>51891431.420000002</v>
      </c>
      <c r="I842" s="10">
        <v>48524681.840000004</v>
      </c>
      <c r="J842" s="10">
        <v>57867283.210000001</v>
      </c>
      <c r="K842" s="10">
        <v>56973344.189999998</v>
      </c>
      <c r="L842" s="10">
        <v>53256888.57</v>
      </c>
      <c r="M842" s="10">
        <v>51118740.460000001</v>
      </c>
      <c r="N842" s="10">
        <v>48771828.5</v>
      </c>
      <c r="O842" s="10">
        <v>51322936.859999999</v>
      </c>
      <c r="P842" s="10">
        <v>59835549.829999998</v>
      </c>
      <c r="Q842" s="10">
        <v>47805036.659999996</v>
      </c>
      <c r="R842" s="10">
        <v>527367721.54000002</v>
      </c>
    </row>
    <row r="843" spans="1:18" ht="12.75" x14ac:dyDescent="0.2">
      <c r="A843" s="9" t="s">
        <v>332</v>
      </c>
      <c r="B843" s="9" t="s">
        <v>239</v>
      </c>
      <c r="C843" s="9" t="s">
        <v>240</v>
      </c>
      <c r="D843" s="9" t="s">
        <v>112</v>
      </c>
      <c r="E843" s="9" t="s">
        <v>295</v>
      </c>
      <c r="F843" s="9" t="s">
        <v>334</v>
      </c>
      <c r="G843" s="9" t="s">
        <v>240</v>
      </c>
      <c r="H843" s="10">
        <v>51891431.420000002</v>
      </c>
      <c r="I843" s="10">
        <v>48524681.840000004</v>
      </c>
      <c r="J843" s="10">
        <v>57867283.210000001</v>
      </c>
      <c r="K843" s="10">
        <v>56973344.189999998</v>
      </c>
      <c r="L843" s="10">
        <v>53256888.57</v>
      </c>
      <c r="M843" s="10">
        <v>51118740.460000001</v>
      </c>
      <c r="N843" s="10">
        <v>48771828.5</v>
      </c>
      <c r="O843" s="10">
        <v>51322936.859999999</v>
      </c>
      <c r="P843" s="10">
        <v>59835549.829999998</v>
      </c>
      <c r="Q843" s="10">
        <v>47805036.659999996</v>
      </c>
      <c r="R843" s="10">
        <v>527367721.54000002</v>
      </c>
    </row>
    <row r="844" spans="1:18" ht="12.75" x14ac:dyDescent="0.2">
      <c r="A844" s="9" t="s">
        <v>332</v>
      </c>
      <c r="B844" s="9" t="s">
        <v>239</v>
      </c>
      <c r="C844" s="9" t="s">
        <v>240</v>
      </c>
      <c r="D844" s="9" t="s">
        <v>112</v>
      </c>
      <c r="E844" s="9" t="s">
        <v>296</v>
      </c>
      <c r="F844" s="9" t="s">
        <v>334</v>
      </c>
      <c r="G844" s="9" t="s">
        <v>240</v>
      </c>
      <c r="H844" s="10">
        <v>51891431.420000002</v>
      </c>
      <c r="I844" s="10">
        <v>48524681.840000004</v>
      </c>
      <c r="J844" s="10">
        <v>57867283.210000001</v>
      </c>
      <c r="K844" s="10">
        <v>56973344.189999998</v>
      </c>
      <c r="L844" s="10">
        <v>53256888.57</v>
      </c>
      <c r="M844" s="10">
        <v>51118740.460000001</v>
      </c>
      <c r="N844" s="10">
        <v>48771828.5</v>
      </c>
      <c r="O844" s="10">
        <v>51322936.859999999</v>
      </c>
      <c r="P844" s="10">
        <v>59835549.829999998</v>
      </c>
      <c r="Q844" s="10">
        <v>47805036.659999996</v>
      </c>
      <c r="R844" s="10">
        <v>527367721.54000002</v>
      </c>
    </row>
    <row r="845" spans="1:18" ht="12.75" x14ac:dyDescent="0.2">
      <c r="A845" s="9" t="s">
        <v>332</v>
      </c>
      <c r="B845" s="9" t="s">
        <v>239</v>
      </c>
      <c r="C845" s="9" t="s">
        <v>240</v>
      </c>
      <c r="D845" s="9" t="s">
        <v>112</v>
      </c>
      <c r="E845" s="9" t="s">
        <v>297</v>
      </c>
      <c r="F845" s="9" t="s">
        <v>334</v>
      </c>
      <c r="G845" s="9" t="s">
        <v>240</v>
      </c>
      <c r="H845" s="10">
        <v>51891431.420000002</v>
      </c>
      <c r="I845" s="10">
        <v>48524681.840000004</v>
      </c>
      <c r="J845" s="10">
        <v>57867283.210000001</v>
      </c>
      <c r="K845" s="10">
        <v>56973344.189999998</v>
      </c>
      <c r="L845" s="10">
        <v>53256888.57</v>
      </c>
      <c r="M845" s="10">
        <v>51118740.460000001</v>
      </c>
      <c r="N845" s="10">
        <v>48771828.5</v>
      </c>
      <c r="O845" s="10">
        <v>51322936.859999999</v>
      </c>
      <c r="P845" s="10">
        <v>59835549.829999998</v>
      </c>
      <c r="Q845" s="10">
        <v>47805036.659999996</v>
      </c>
      <c r="R845" s="10">
        <v>527367721.54000002</v>
      </c>
    </row>
    <row r="846" spans="1:18" ht="12.75" x14ac:dyDescent="0.2">
      <c r="A846" s="9" t="s">
        <v>332</v>
      </c>
      <c r="B846" s="9" t="s">
        <v>239</v>
      </c>
      <c r="C846" s="9" t="s">
        <v>240</v>
      </c>
      <c r="D846" s="9" t="s">
        <v>112</v>
      </c>
      <c r="E846" s="9" t="s">
        <v>298</v>
      </c>
      <c r="F846" s="9" t="s">
        <v>334</v>
      </c>
      <c r="G846" s="9" t="s">
        <v>240</v>
      </c>
      <c r="H846" s="10">
        <v>51891431.420000002</v>
      </c>
      <c r="I846" s="10">
        <v>48524681.840000004</v>
      </c>
      <c r="J846" s="10">
        <v>57867283.210000001</v>
      </c>
      <c r="K846" s="10">
        <v>56973344.189999998</v>
      </c>
      <c r="L846" s="10">
        <v>53256888.57</v>
      </c>
      <c r="M846" s="10">
        <v>51118740.460000001</v>
      </c>
      <c r="N846" s="10">
        <v>48771828.5</v>
      </c>
      <c r="O846" s="10">
        <v>51322936.859999999</v>
      </c>
      <c r="P846" s="10">
        <v>59835549.829999998</v>
      </c>
      <c r="Q846" s="10">
        <v>47805036.659999996</v>
      </c>
      <c r="R846" s="10">
        <v>527367721.54000002</v>
      </c>
    </row>
    <row r="847" spans="1:18" ht="12.75" x14ac:dyDescent="0.2">
      <c r="A847" s="9" t="s">
        <v>335</v>
      </c>
      <c r="B847" s="9" t="s">
        <v>239</v>
      </c>
      <c r="C847" s="9" t="s">
        <v>240</v>
      </c>
      <c r="D847" s="9" t="s">
        <v>112</v>
      </c>
      <c r="E847" s="9" t="s">
        <v>299</v>
      </c>
      <c r="F847" s="9" t="s">
        <v>334</v>
      </c>
      <c r="G847" s="9" t="s">
        <v>240</v>
      </c>
      <c r="H847" s="10">
        <v>16984912.859999999</v>
      </c>
      <c r="I847" s="10">
        <v>17717836.920000002</v>
      </c>
      <c r="J847" s="10">
        <v>17751048.010000002</v>
      </c>
      <c r="K847" s="10">
        <v>19076115.510000002</v>
      </c>
      <c r="L847" s="10">
        <v>17092819.949999999</v>
      </c>
      <c r="M847" s="10">
        <v>17675667.629999999</v>
      </c>
      <c r="N847" s="10">
        <v>18596555.039999999</v>
      </c>
      <c r="O847" s="10">
        <v>16408756.41</v>
      </c>
      <c r="P847" s="10">
        <v>21143531.710000001</v>
      </c>
      <c r="Q847" s="10">
        <v>17137186.920000002</v>
      </c>
      <c r="R847" s="10">
        <v>179584430.96000001</v>
      </c>
    </row>
    <row r="848" spans="1:18" ht="12.75" x14ac:dyDescent="0.2">
      <c r="A848" s="9" t="s">
        <v>332</v>
      </c>
      <c r="B848" s="9" t="s">
        <v>239</v>
      </c>
      <c r="C848" s="9" t="s">
        <v>240</v>
      </c>
      <c r="D848" s="9" t="s">
        <v>112</v>
      </c>
      <c r="E848" s="9" t="s">
        <v>300</v>
      </c>
      <c r="F848" s="9" t="s">
        <v>334</v>
      </c>
      <c r="G848" s="9" t="s">
        <v>240</v>
      </c>
      <c r="H848" s="10">
        <v>51891431.420000002</v>
      </c>
      <c r="I848" s="10">
        <v>48524681.840000004</v>
      </c>
      <c r="J848" s="10">
        <v>57867283.210000001</v>
      </c>
      <c r="K848" s="10">
        <v>56973344.189999998</v>
      </c>
      <c r="L848" s="10">
        <v>53256888.57</v>
      </c>
      <c r="M848" s="10">
        <v>51118740.460000001</v>
      </c>
      <c r="N848" s="10">
        <v>48771828.5</v>
      </c>
      <c r="O848" s="10">
        <v>51322936.859999999</v>
      </c>
      <c r="P848" s="10">
        <v>59835549.829999998</v>
      </c>
      <c r="Q848" s="10">
        <v>47805036.659999996</v>
      </c>
      <c r="R848" s="10">
        <v>527367721.54000002</v>
      </c>
    </row>
    <row r="849" spans="1:18" ht="12.75" x14ac:dyDescent="0.2">
      <c r="A849" s="9" t="s">
        <v>332</v>
      </c>
      <c r="B849" s="9" t="s">
        <v>239</v>
      </c>
      <c r="C849" s="9" t="s">
        <v>240</v>
      </c>
      <c r="D849" s="9" t="s">
        <v>112</v>
      </c>
      <c r="E849" s="9" t="s">
        <v>301</v>
      </c>
      <c r="F849" s="9" t="s">
        <v>334</v>
      </c>
      <c r="G849" s="9" t="s">
        <v>240</v>
      </c>
      <c r="H849" s="10">
        <v>51891431.420000002</v>
      </c>
      <c r="I849" s="10">
        <v>48524681.840000004</v>
      </c>
      <c r="J849" s="10">
        <v>57867283.210000001</v>
      </c>
      <c r="K849" s="10">
        <v>56973344.189999998</v>
      </c>
      <c r="L849" s="10">
        <v>53256888.57</v>
      </c>
      <c r="M849" s="10">
        <v>51118740.460000001</v>
      </c>
      <c r="N849" s="10">
        <v>48771828.5</v>
      </c>
      <c r="O849" s="10">
        <v>51322936.859999999</v>
      </c>
      <c r="P849" s="10">
        <v>59835549.829999998</v>
      </c>
      <c r="Q849" s="10">
        <v>47805036.659999996</v>
      </c>
      <c r="R849" s="10">
        <v>527367721.54000002</v>
      </c>
    </row>
    <row r="850" spans="1:18" ht="12.75" x14ac:dyDescent="0.2">
      <c r="A850" s="9" t="s">
        <v>335</v>
      </c>
      <c r="B850" s="9" t="s">
        <v>239</v>
      </c>
      <c r="C850" s="9" t="s">
        <v>240</v>
      </c>
      <c r="D850" s="9" t="s">
        <v>112</v>
      </c>
      <c r="E850" s="9" t="s">
        <v>302</v>
      </c>
      <c r="F850" s="9" t="s">
        <v>334</v>
      </c>
      <c r="G850" s="9" t="s">
        <v>240</v>
      </c>
      <c r="H850" s="10">
        <v>16984912.859999999</v>
      </c>
      <c r="I850" s="10">
        <v>17717836.920000002</v>
      </c>
      <c r="J850" s="10">
        <v>17751048.010000002</v>
      </c>
      <c r="K850" s="10">
        <v>19076115.510000002</v>
      </c>
      <c r="L850" s="10">
        <v>17092819.949999999</v>
      </c>
      <c r="M850" s="10">
        <v>17675667.629999999</v>
      </c>
      <c r="N850" s="10">
        <v>18596555.039999999</v>
      </c>
      <c r="O850" s="10">
        <v>16408756.41</v>
      </c>
      <c r="P850" s="10">
        <v>21143531.710000001</v>
      </c>
      <c r="Q850" s="10">
        <v>17137186.920000002</v>
      </c>
      <c r="R850" s="10">
        <v>179584430.96000001</v>
      </c>
    </row>
    <row r="851" spans="1:18" ht="12.75" x14ac:dyDescent="0.2">
      <c r="A851" s="9" t="s">
        <v>332</v>
      </c>
      <c r="B851" s="9" t="s">
        <v>239</v>
      </c>
      <c r="C851" s="9" t="s">
        <v>240</v>
      </c>
      <c r="D851" s="9" t="s">
        <v>74</v>
      </c>
      <c r="E851" s="9" t="s">
        <v>303</v>
      </c>
      <c r="F851" s="9" t="s">
        <v>334</v>
      </c>
      <c r="G851" s="9" t="s">
        <v>240</v>
      </c>
      <c r="H851" s="10">
        <v>88707603.299999997</v>
      </c>
      <c r="I851" s="10">
        <v>85073481.319999993</v>
      </c>
      <c r="J851" s="10">
        <v>84883860.019999996</v>
      </c>
      <c r="K851" s="10">
        <v>95099151.209999993</v>
      </c>
      <c r="L851" s="10">
        <v>91402467.790000007</v>
      </c>
      <c r="M851" s="10">
        <v>86341727.420000002</v>
      </c>
      <c r="N851" s="10">
        <v>86395829.680000007</v>
      </c>
      <c r="O851" s="10">
        <v>89066920.170000002</v>
      </c>
      <c r="P851" s="10">
        <v>101873001.29000001</v>
      </c>
      <c r="Q851" s="10">
        <v>85128736.010000005</v>
      </c>
      <c r="R851" s="10">
        <v>893972778.21000004</v>
      </c>
    </row>
    <row r="852" spans="1:18" ht="12.75" x14ac:dyDescent="0.2">
      <c r="A852" s="9" t="s">
        <v>335</v>
      </c>
      <c r="B852" s="9" t="s">
        <v>239</v>
      </c>
      <c r="C852" s="9" t="s">
        <v>240</v>
      </c>
      <c r="D852" s="9" t="s">
        <v>74</v>
      </c>
      <c r="E852" s="9" t="s">
        <v>303</v>
      </c>
      <c r="F852" s="9" t="s">
        <v>334</v>
      </c>
      <c r="G852" s="9" t="s">
        <v>240</v>
      </c>
      <c r="H852" s="10">
        <v>78173953.439999998</v>
      </c>
      <c r="I852" s="10">
        <v>79002250.219999999</v>
      </c>
      <c r="J852" s="10">
        <v>83921943.689999998</v>
      </c>
      <c r="K852" s="10">
        <v>85156893.340000004</v>
      </c>
      <c r="L852" s="10">
        <v>80994399.239999995</v>
      </c>
      <c r="M852" s="10">
        <v>81732824.980000004</v>
      </c>
      <c r="N852" s="10">
        <v>87716270.219999999</v>
      </c>
      <c r="O852" s="10">
        <v>83820601.079999998</v>
      </c>
      <c r="P852" s="10">
        <v>89878226.049999997</v>
      </c>
      <c r="Q852" s="10">
        <v>85783534.010000005</v>
      </c>
      <c r="R852" s="10">
        <v>836180896.26999998</v>
      </c>
    </row>
    <row r="853" spans="1:18" ht="12.75" x14ac:dyDescent="0.2">
      <c r="A853" s="9" t="s">
        <v>335</v>
      </c>
      <c r="B853" s="9" t="s">
        <v>239</v>
      </c>
      <c r="C853" s="9" t="s">
        <v>240</v>
      </c>
      <c r="D853" s="9" t="s">
        <v>74</v>
      </c>
      <c r="E853" s="9" t="s">
        <v>248</v>
      </c>
      <c r="F853" s="9" t="s">
        <v>334</v>
      </c>
      <c r="G853" s="9" t="s">
        <v>240</v>
      </c>
      <c r="H853" s="10">
        <v>78173953.439999998</v>
      </c>
      <c r="I853" s="10">
        <v>79002250.219999999</v>
      </c>
      <c r="J853" s="10">
        <v>83921943.689999998</v>
      </c>
      <c r="K853" s="10">
        <v>85156893.340000004</v>
      </c>
      <c r="L853" s="10">
        <v>80994399.239999995</v>
      </c>
      <c r="M853" s="10">
        <v>81732824.980000004</v>
      </c>
      <c r="N853" s="10">
        <v>87716270.219999999</v>
      </c>
      <c r="O853" s="10">
        <v>83820601.079999998</v>
      </c>
      <c r="P853" s="10">
        <v>89878226.049999997</v>
      </c>
      <c r="Q853" s="10">
        <v>85783534.010000005</v>
      </c>
      <c r="R853" s="10">
        <v>836180896.26999998</v>
      </c>
    </row>
    <row r="854" spans="1:18" ht="12.75" x14ac:dyDescent="0.2">
      <c r="A854" s="9" t="s">
        <v>335</v>
      </c>
      <c r="B854" s="9" t="s">
        <v>239</v>
      </c>
      <c r="C854" s="9" t="s">
        <v>240</v>
      </c>
      <c r="D854" s="9" t="s">
        <v>74</v>
      </c>
      <c r="E854" s="9" t="s">
        <v>249</v>
      </c>
      <c r="F854" s="9" t="s">
        <v>334</v>
      </c>
      <c r="G854" s="9" t="s">
        <v>240</v>
      </c>
      <c r="H854" s="10">
        <v>78173953.439999998</v>
      </c>
      <c r="I854" s="10">
        <v>79002250.219999999</v>
      </c>
      <c r="J854" s="10">
        <v>83921943.689999998</v>
      </c>
      <c r="K854" s="10">
        <v>85156893.340000004</v>
      </c>
      <c r="L854" s="10">
        <v>80994399.239999995</v>
      </c>
      <c r="M854" s="10">
        <v>81732824.980000004</v>
      </c>
      <c r="N854" s="10">
        <v>87716270.219999999</v>
      </c>
      <c r="O854" s="10">
        <v>83820601.079999998</v>
      </c>
      <c r="P854" s="10">
        <v>89878226.049999997</v>
      </c>
      <c r="Q854" s="10">
        <v>85783534.010000005</v>
      </c>
      <c r="R854" s="10">
        <v>836180896.26999998</v>
      </c>
    </row>
    <row r="855" spans="1:18" ht="12.75" x14ac:dyDescent="0.2">
      <c r="A855" s="9" t="s">
        <v>335</v>
      </c>
      <c r="B855" s="9" t="s">
        <v>239</v>
      </c>
      <c r="C855" s="9" t="s">
        <v>240</v>
      </c>
      <c r="D855" s="9" t="s">
        <v>52</v>
      </c>
      <c r="E855" s="9" t="s">
        <v>253</v>
      </c>
      <c r="F855" s="9" t="s">
        <v>334</v>
      </c>
      <c r="G855" s="9" t="s">
        <v>240</v>
      </c>
      <c r="H855" s="10">
        <v>63428563.240000002</v>
      </c>
      <c r="I855" s="10">
        <v>71753010.989999995</v>
      </c>
      <c r="J855" s="10">
        <v>62575439.32</v>
      </c>
      <c r="K855" s="10">
        <v>64966580.329999998</v>
      </c>
      <c r="L855" s="10">
        <v>65910720.329999998</v>
      </c>
      <c r="M855" s="10">
        <v>67355944.359999999</v>
      </c>
      <c r="N855" s="10">
        <v>71094840.609999999</v>
      </c>
      <c r="O855" s="10">
        <v>67572230.409999996</v>
      </c>
      <c r="P855" s="10">
        <v>75317999.430000007</v>
      </c>
      <c r="Q855" s="10">
        <v>75622504.340000004</v>
      </c>
      <c r="R855" s="10">
        <v>685597833.36000001</v>
      </c>
    </row>
    <row r="856" spans="1:18" ht="12.75" x14ac:dyDescent="0.2">
      <c r="A856" s="9" t="s">
        <v>335</v>
      </c>
      <c r="B856" s="9" t="s">
        <v>239</v>
      </c>
      <c r="C856" s="9" t="s">
        <v>240</v>
      </c>
      <c r="D856" s="9" t="s">
        <v>52</v>
      </c>
      <c r="E856" s="9" t="s">
        <v>267</v>
      </c>
      <c r="F856" s="9" t="s">
        <v>334</v>
      </c>
      <c r="G856" s="9" t="s">
        <v>240</v>
      </c>
      <c r="H856" s="10">
        <v>63428563.240000002</v>
      </c>
      <c r="I856" s="10">
        <v>71753010.989999995</v>
      </c>
      <c r="J856" s="10">
        <v>62575439.32</v>
      </c>
      <c r="K856" s="10">
        <v>64966580.329999998</v>
      </c>
      <c r="L856" s="10">
        <v>65910720.329999998</v>
      </c>
      <c r="M856" s="10">
        <v>67355944.359999999</v>
      </c>
      <c r="N856" s="10">
        <v>71094840.609999999</v>
      </c>
      <c r="O856" s="10">
        <v>67572230.409999996</v>
      </c>
      <c r="P856" s="10">
        <v>75317999.430000007</v>
      </c>
      <c r="Q856" s="10">
        <v>75622504.340000004</v>
      </c>
      <c r="R856" s="10">
        <v>685597833.36000001</v>
      </c>
    </row>
    <row r="857" spans="1:18" ht="12.75" x14ac:dyDescent="0.2">
      <c r="A857" s="9" t="s">
        <v>335</v>
      </c>
      <c r="B857" s="9" t="s">
        <v>239</v>
      </c>
      <c r="C857" s="9" t="s">
        <v>240</v>
      </c>
      <c r="D857" s="9" t="s">
        <v>52</v>
      </c>
      <c r="E857" s="9" t="s">
        <v>268</v>
      </c>
      <c r="F857" s="9" t="s">
        <v>334</v>
      </c>
      <c r="G857" s="9" t="s">
        <v>240</v>
      </c>
      <c r="H857" s="10">
        <v>63428563.240000002</v>
      </c>
      <c r="I857" s="10">
        <v>71753010.989999995</v>
      </c>
      <c r="J857" s="10">
        <v>62575439.32</v>
      </c>
      <c r="K857" s="10">
        <v>64966580.329999998</v>
      </c>
      <c r="L857" s="10">
        <v>65910720.329999998</v>
      </c>
      <c r="M857" s="10">
        <v>67355944.359999999</v>
      </c>
      <c r="N857" s="10">
        <v>71094840.609999999</v>
      </c>
      <c r="O857" s="10">
        <v>67572230.409999996</v>
      </c>
      <c r="P857" s="10">
        <v>75317999.430000007</v>
      </c>
      <c r="Q857" s="10">
        <v>75622504.340000004</v>
      </c>
      <c r="R857" s="10">
        <v>685597833.36000001</v>
      </c>
    </row>
    <row r="858" spans="1:18" ht="12.75" x14ac:dyDescent="0.2">
      <c r="A858" s="9" t="s">
        <v>332</v>
      </c>
      <c r="B858" s="9" t="s">
        <v>239</v>
      </c>
      <c r="C858" s="9" t="s">
        <v>240</v>
      </c>
      <c r="D858" s="9" t="s">
        <v>52</v>
      </c>
      <c r="E858" s="9" t="s">
        <v>304</v>
      </c>
      <c r="F858" s="9" t="s">
        <v>334</v>
      </c>
      <c r="G858" s="9" t="s">
        <v>240</v>
      </c>
      <c r="H858" s="10">
        <v>19649179.359999999</v>
      </c>
      <c r="I858" s="10">
        <v>15194374.25</v>
      </c>
      <c r="J858" s="10">
        <v>15695221.66</v>
      </c>
      <c r="K858" s="10">
        <v>17767863.890000001</v>
      </c>
      <c r="L858" s="10">
        <v>15910609.619999999</v>
      </c>
      <c r="M858" s="10">
        <v>17194158.620000001</v>
      </c>
      <c r="N858" s="10">
        <v>17010679.030000001</v>
      </c>
      <c r="O858" s="10">
        <v>16846026.600000001</v>
      </c>
      <c r="P858" s="10">
        <v>19115774.129999999</v>
      </c>
      <c r="Q858" s="10">
        <v>18166635.16</v>
      </c>
      <c r="R858" s="10">
        <v>172550522.31999999</v>
      </c>
    </row>
    <row r="859" spans="1:18" ht="12.75" x14ac:dyDescent="0.2">
      <c r="A859" s="9" t="s">
        <v>332</v>
      </c>
      <c r="B859" s="9" t="s">
        <v>239</v>
      </c>
      <c r="C859" s="9" t="s">
        <v>240</v>
      </c>
      <c r="D859" s="9" t="s">
        <v>52</v>
      </c>
      <c r="E859" s="9" t="s">
        <v>305</v>
      </c>
      <c r="F859" s="9" t="s">
        <v>334</v>
      </c>
      <c r="G859" s="9" t="s">
        <v>240</v>
      </c>
      <c r="H859" s="10">
        <v>19649179.359999999</v>
      </c>
      <c r="I859" s="10">
        <v>15194374.25</v>
      </c>
      <c r="J859" s="10">
        <v>15695221.66</v>
      </c>
      <c r="K859" s="10">
        <v>17767863.890000001</v>
      </c>
      <c r="L859" s="10">
        <v>15910609.619999999</v>
      </c>
      <c r="M859" s="10">
        <v>17194158.620000001</v>
      </c>
      <c r="N859" s="10">
        <v>17010679.030000001</v>
      </c>
      <c r="O859" s="10">
        <v>16846026.600000001</v>
      </c>
      <c r="P859" s="10">
        <v>19115774.129999999</v>
      </c>
      <c r="Q859" s="10">
        <v>18166635.16</v>
      </c>
      <c r="R859" s="10">
        <v>172550522.31999999</v>
      </c>
    </row>
    <row r="860" spans="1:18" ht="12.75" x14ac:dyDescent="0.2">
      <c r="A860" s="9" t="s">
        <v>335</v>
      </c>
      <c r="B860" s="9" t="s">
        <v>239</v>
      </c>
      <c r="C860" s="9" t="s">
        <v>240</v>
      </c>
      <c r="D860" s="9" t="s">
        <v>87</v>
      </c>
      <c r="E860" s="9" t="s">
        <v>270</v>
      </c>
      <c r="F860" s="9" t="s">
        <v>334</v>
      </c>
      <c r="G860" s="9" t="s">
        <v>240</v>
      </c>
      <c r="H860" s="10">
        <v>47024475.100000001</v>
      </c>
      <c r="I860" s="10">
        <v>49991795.100000001</v>
      </c>
      <c r="J860" s="10">
        <v>49247085.979999997</v>
      </c>
      <c r="K860" s="10">
        <v>54016213.57</v>
      </c>
      <c r="L860" s="10">
        <v>52824011.649999999</v>
      </c>
      <c r="M860" s="10">
        <v>50085759.109999999</v>
      </c>
      <c r="N860" s="10">
        <v>52565211.670000002</v>
      </c>
      <c r="O860" s="10">
        <v>48438848.380000003</v>
      </c>
      <c r="P860" s="10">
        <v>59762088.579999998</v>
      </c>
      <c r="Q860" s="10">
        <v>53291739.310000002</v>
      </c>
      <c r="R860" s="10">
        <v>517247228.44999999</v>
      </c>
    </row>
    <row r="861" spans="1:18" ht="12.75" x14ac:dyDescent="0.2">
      <c r="A861" s="9" t="s">
        <v>335</v>
      </c>
      <c r="B861" s="9" t="s">
        <v>239</v>
      </c>
      <c r="C861" s="9" t="s">
        <v>240</v>
      </c>
      <c r="D861" s="9" t="s">
        <v>87</v>
      </c>
      <c r="E861" s="9" t="s">
        <v>273</v>
      </c>
      <c r="F861" s="9" t="s">
        <v>334</v>
      </c>
      <c r="G861" s="9" t="s">
        <v>240</v>
      </c>
      <c r="H861" s="10">
        <v>47024475.100000001</v>
      </c>
      <c r="I861" s="10">
        <v>49991795.100000001</v>
      </c>
      <c r="J861" s="10">
        <v>49247085.979999997</v>
      </c>
      <c r="K861" s="10">
        <v>54016213.57</v>
      </c>
      <c r="L861" s="10">
        <v>52824011.649999999</v>
      </c>
      <c r="M861" s="10">
        <v>50085759.109999999</v>
      </c>
      <c r="N861" s="10">
        <v>52565211.670000002</v>
      </c>
      <c r="O861" s="10">
        <v>48438848.380000003</v>
      </c>
      <c r="P861" s="10">
        <v>59762088.579999998</v>
      </c>
      <c r="Q861" s="10">
        <v>53291739.310000002</v>
      </c>
      <c r="R861" s="10">
        <v>517247228.44999999</v>
      </c>
    </row>
    <row r="862" spans="1:18" ht="12.75" x14ac:dyDescent="0.2">
      <c r="A862" s="9" t="s">
        <v>335</v>
      </c>
      <c r="B862" s="9" t="s">
        <v>239</v>
      </c>
      <c r="C862" s="9" t="s">
        <v>240</v>
      </c>
      <c r="D862" s="9" t="s">
        <v>87</v>
      </c>
      <c r="E862" s="9" t="s">
        <v>276</v>
      </c>
      <c r="F862" s="9" t="s">
        <v>334</v>
      </c>
      <c r="G862" s="9" t="s">
        <v>240</v>
      </c>
      <c r="H862" s="10">
        <v>47024475.100000001</v>
      </c>
      <c r="I862" s="10">
        <v>49991795.100000001</v>
      </c>
      <c r="J862" s="10">
        <v>49247085.979999997</v>
      </c>
      <c r="K862" s="10">
        <v>54016213.57</v>
      </c>
      <c r="L862" s="10">
        <v>52824011.649999999</v>
      </c>
      <c r="M862" s="10">
        <v>50085759.109999999</v>
      </c>
      <c r="N862" s="10">
        <v>52565211.670000002</v>
      </c>
      <c r="O862" s="10">
        <v>48438848.380000003</v>
      </c>
      <c r="P862" s="10">
        <v>59762088.579999998</v>
      </c>
      <c r="Q862" s="10">
        <v>53291739.310000002</v>
      </c>
      <c r="R862" s="10">
        <v>517247228.44999999</v>
      </c>
    </row>
    <row r="863" spans="1:18" ht="12.75" x14ac:dyDescent="0.2">
      <c r="A863" s="9" t="s">
        <v>335</v>
      </c>
      <c r="B863" s="9" t="s">
        <v>239</v>
      </c>
      <c r="C863" s="9" t="s">
        <v>240</v>
      </c>
      <c r="D863" s="9" t="s">
        <v>87</v>
      </c>
      <c r="E863" s="9" t="s">
        <v>274</v>
      </c>
      <c r="F863" s="9" t="s">
        <v>334</v>
      </c>
      <c r="G863" s="9" t="s">
        <v>240</v>
      </c>
      <c r="H863" s="10">
        <v>47024475.100000001</v>
      </c>
      <c r="I863" s="10">
        <v>49991795.100000001</v>
      </c>
      <c r="J863" s="10">
        <v>49247085.979999997</v>
      </c>
      <c r="K863" s="10">
        <v>54016213.57</v>
      </c>
      <c r="L863" s="10">
        <v>52824011.649999999</v>
      </c>
      <c r="M863" s="10">
        <v>50085759.109999999</v>
      </c>
      <c r="N863" s="10">
        <v>52565211.670000002</v>
      </c>
      <c r="O863" s="10">
        <v>48438848.380000003</v>
      </c>
      <c r="P863" s="10">
        <v>59762088.579999998</v>
      </c>
      <c r="Q863" s="10">
        <v>53291739.310000002</v>
      </c>
      <c r="R863" s="10">
        <v>517247228.44999999</v>
      </c>
    </row>
    <row r="864" spans="1:18" ht="12.75" x14ac:dyDescent="0.2">
      <c r="A864" s="9" t="s">
        <v>335</v>
      </c>
      <c r="B864" s="9" t="s">
        <v>239</v>
      </c>
      <c r="C864" s="9" t="s">
        <v>240</v>
      </c>
      <c r="D864" s="9" t="s">
        <v>96</v>
      </c>
      <c r="E864" s="9" t="s">
        <v>286</v>
      </c>
      <c r="F864" s="9" t="s">
        <v>334</v>
      </c>
      <c r="G864" s="9" t="s">
        <v>240</v>
      </c>
      <c r="H864" s="10">
        <v>11436874.130000001</v>
      </c>
      <c r="I864" s="10">
        <v>13366227.060000001</v>
      </c>
      <c r="J864" s="10">
        <v>13232438.939999999</v>
      </c>
      <c r="K864" s="10">
        <v>14292268.369999999</v>
      </c>
      <c r="L864" s="10">
        <v>10840131.1</v>
      </c>
      <c r="M864" s="10">
        <v>12454160.16</v>
      </c>
      <c r="N864" s="10">
        <v>18706660.699999999</v>
      </c>
      <c r="O864" s="10">
        <v>10436300.310000001</v>
      </c>
      <c r="P864" s="10">
        <v>10949115.199999999</v>
      </c>
      <c r="Q864" s="10">
        <v>8169775.4800000004</v>
      </c>
      <c r="R864" s="10">
        <v>123883951.45</v>
      </c>
    </row>
    <row r="865" spans="1:18" ht="12.75" x14ac:dyDescent="0.2">
      <c r="A865" s="9" t="s">
        <v>335</v>
      </c>
      <c r="B865" s="9" t="s">
        <v>239</v>
      </c>
      <c r="C865" s="9" t="s">
        <v>240</v>
      </c>
      <c r="D865" s="9" t="s">
        <v>96</v>
      </c>
      <c r="E865" s="9" t="s">
        <v>281</v>
      </c>
      <c r="F865" s="9" t="s">
        <v>334</v>
      </c>
      <c r="G865" s="9" t="s">
        <v>240</v>
      </c>
      <c r="H865" s="10">
        <v>11436874.130000001</v>
      </c>
      <c r="I865" s="10">
        <v>13366227.060000001</v>
      </c>
      <c r="J865" s="10">
        <v>13232438.939999999</v>
      </c>
      <c r="K865" s="10">
        <v>14292268.369999999</v>
      </c>
      <c r="L865" s="10">
        <v>10840131.1</v>
      </c>
      <c r="M865" s="10">
        <v>12454160.16</v>
      </c>
      <c r="N865" s="10">
        <v>18706660.699999999</v>
      </c>
      <c r="O865" s="10">
        <v>10436300.310000001</v>
      </c>
      <c r="P865" s="10">
        <v>10949115.199999999</v>
      </c>
      <c r="Q865" s="10">
        <v>8169775.4800000004</v>
      </c>
      <c r="R865" s="10">
        <v>123883951.45</v>
      </c>
    </row>
    <row r="866" spans="1:18" ht="12.75" x14ac:dyDescent="0.2">
      <c r="A866" s="9" t="s">
        <v>335</v>
      </c>
      <c r="B866" s="9" t="s">
        <v>239</v>
      </c>
      <c r="C866" s="9" t="s">
        <v>240</v>
      </c>
      <c r="D866" s="9" t="s">
        <v>96</v>
      </c>
      <c r="E866" s="9" t="s">
        <v>282</v>
      </c>
      <c r="F866" s="9" t="s">
        <v>334</v>
      </c>
      <c r="G866" s="9" t="s">
        <v>240</v>
      </c>
      <c r="H866" s="10">
        <v>11436874.130000001</v>
      </c>
      <c r="I866" s="10">
        <v>13366227.060000001</v>
      </c>
      <c r="J866" s="10">
        <v>13232438.939999999</v>
      </c>
      <c r="K866" s="10">
        <v>14292268.369999999</v>
      </c>
      <c r="L866" s="10">
        <v>10840131.1</v>
      </c>
      <c r="M866" s="10">
        <v>12454160.16</v>
      </c>
      <c r="N866" s="10">
        <v>18706660.699999999</v>
      </c>
      <c r="O866" s="10">
        <v>10436300.310000001</v>
      </c>
      <c r="P866" s="10">
        <v>10949115.199999999</v>
      </c>
      <c r="Q866" s="10">
        <v>8169775.4800000004</v>
      </c>
      <c r="R866" s="10">
        <v>123883951.45</v>
      </c>
    </row>
    <row r="867" spans="1:18" ht="12.75" x14ac:dyDescent="0.2">
      <c r="A867" s="9" t="s">
        <v>335</v>
      </c>
      <c r="B867" s="9" t="s">
        <v>239</v>
      </c>
      <c r="C867" s="9" t="s">
        <v>240</v>
      </c>
      <c r="D867" s="9" t="s">
        <v>112</v>
      </c>
      <c r="E867" s="9" t="s">
        <v>294</v>
      </c>
      <c r="F867" s="9" t="s">
        <v>334</v>
      </c>
      <c r="G867" s="9" t="s">
        <v>240</v>
      </c>
      <c r="H867" s="10">
        <v>16984912.859999999</v>
      </c>
      <c r="I867" s="10">
        <v>17717836.920000002</v>
      </c>
      <c r="J867" s="10">
        <v>17751048.010000002</v>
      </c>
      <c r="K867" s="10">
        <v>19076115.510000002</v>
      </c>
      <c r="L867" s="10">
        <v>17092819.949999999</v>
      </c>
      <c r="M867" s="10">
        <v>17675667.629999999</v>
      </c>
      <c r="N867" s="10">
        <v>18596555.039999999</v>
      </c>
      <c r="O867" s="10">
        <v>16408756.41</v>
      </c>
      <c r="P867" s="10">
        <v>21143531.710000001</v>
      </c>
      <c r="Q867" s="10">
        <v>17137186.920000002</v>
      </c>
      <c r="R867" s="10">
        <v>179584430.96000001</v>
      </c>
    </row>
    <row r="868" spans="1:18" ht="12.75" x14ac:dyDescent="0.2">
      <c r="A868" s="9" t="s">
        <v>335</v>
      </c>
      <c r="B868" s="9" t="s">
        <v>239</v>
      </c>
      <c r="C868" s="9" t="s">
        <v>240</v>
      </c>
      <c r="D868" s="9" t="s">
        <v>112</v>
      </c>
      <c r="E868" s="9" t="s">
        <v>292</v>
      </c>
      <c r="F868" s="9" t="s">
        <v>334</v>
      </c>
      <c r="G868" s="9" t="s">
        <v>240</v>
      </c>
      <c r="H868" s="10">
        <v>16984912.859999999</v>
      </c>
      <c r="I868" s="10">
        <v>17717836.920000002</v>
      </c>
      <c r="J868" s="10">
        <v>17751048.010000002</v>
      </c>
      <c r="K868" s="10">
        <v>19076115.510000002</v>
      </c>
      <c r="L868" s="10">
        <v>17092819.949999999</v>
      </c>
      <c r="M868" s="10">
        <v>17675667.629999999</v>
      </c>
      <c r="N868" s="10">
        <v>18596555.039999999</v>
      </c>
      <c r="O868" s="10">
        <v>16408756.41</v>
      </c>
      <c r="P868" s="10">
        <v>21143531.710000001</v>
      </c>
      <c r="Q868" s="10">
        <v>17137186.920000002</v>
      </c>
      <c r="R868" s="10">
        <v>179584430.96000001</v>
      </c>
    </row>
    <row r="869" spans="1:18" ht="12.75" x14ac:dyDescent="0.2">
      <c r="A869" s="9" t="s">
        <v>335</v>
      </c>
      <c r="B869" s="9" t="s">
        <v>239</v>
      </c>
      <c r="C869" s="9" t="s">
        <v>240</v>
      </c>
      <c r="D869" s="9" t="s">
        <v>112</v>
      </c>
      <c r="E869" s="9" t="s">
        <v>301</v>
      </c>
      <c r="F869" s="9" t="s">
        <v>334</v>
      </c>
      <c r="G869" s="9" t="s">
        <v>240</v>
      </c>
      <c r="H869" s="10">
        <v>16984912.859999999</v>
      </c>
      <c r="I869" s="10">
        <v>17717836.920000002</v>
      </c>
      <c r="J869" s="10">
        <v>17751048.010000002</v>
      </c>
      <c r="K869" s="10">
        <v>19076115.510000002</v>
      </c>
      <c r="L869" s="10">
        <v>17092819.949999999</v>
      </c>
      <c r="M869" s="10">
        <v>17675667.629999999</v>
      </c>
      <c r="N869" s="10">
        <v>18596555.039999999</v>
      </c>
      <c r="O869" s="10">
        <v>16408756.41</v>
      </c>
      <c r="P869" s="10">
        <v>21143531.710000001</v>
      </c>
      <c r="Q869" s="10">
        <v>17137186.920000002</v>
      </c>
      <c r="R869" s="10">
        <v>179584430.96000001</v>
      </c>
    </row>
    <row r="870" spans="1:18" ht="12.75" x14ac:dyDescent="0.2">
      <c r="A870" s="9" t="s">
        <v>335</v>
      </c>
      <c r="B870" s="9" t="s">
        <v>239</v>
      </c>
      <c r="C870" s="9" t="s">
        <v>240</v>
      </c>
      <c r="D870" s="9" t="s">
        <v>112</v>
      </c>
      <c r="E870" s="9" t="s">
        <v>300</v>
      </c>
      <c r="F870" s="9" t="s">
        <v>334</v>
      </c>
      <c r="G870" s="9" t="s">
        <v>240</v>
      </c>
      <c r="H870" s="10">
        <v>16984912.859999999</v>
      </c>
      <c r="I870" s="10">
        <v>17717836.920000002</v>
      </c>
      <c r="J870" s="10">
        <v>17751048.010000002</v>
      </c>
      <c r="K870" s="10">
        <v>19076115.510000002</v>
      </c>
      <c r="L870" s="10">
        <v>17092819.949999999</v>
      </c>
      <c r="M870" s="10">
        <v>17675667.629999999</v>
      </c>
      <c r="N870" s="10">
        <v>18596555.039999999</v>
      </c>
      <c r="O870" s="10">
        <v>16408756.41</v>
      </c>
      <c r="P870" s="10">
        <v>21143531.710000001</v>
      </c>
      <c r="Q870" s="10">
        <v>17137186.920000002</v>
      </c>
      <c r="R870" s="10">
        <v>179584430.96000001</v>
      </c>
    </row>
    <row r="871" spans="1:18" ht="12.75" x14ac:dyDescent="0.2">
      <c r="A871" s="9" t="s">
        <v>349</v>
      </c>
      <c r="B871" s="9" t="s">
        <v>239</v>
      </c>
      <c r="C871" s="9" t="s">
        <v>306</v>
      </c>
      <c r="D871" s="9" t="s">
        <v>238</v>
      </c>
      <c r="E871" s="9" t="s">
        <v>241</v>
      </c>
      <c r="F871" s="9" t="s">
        <v>334</v>
      </c>
      <c r="G871" s="9" t="s">
        <v>306</v>
      </c>
      <c r="H871" s="10">
        <v>-451932.92</v>
      </c>
      <c r="I871" s="10">
        <v>-450880.7</v>
      </c>
      <c r="J871" s="10">
        <v>-500452.78</v>
      </c>
      <c r="K871" s="10">
        <v>-561511.39</v>
      </c>
      <c r="L871" s="10">
        <v>-534617.43000000005</v>
      </c>
      <c r="M871" s="10">
        <v>-558540.71</v>
      </c>
      <c r="N871" s="10">
        <v>-468991.36</v>
      </c>
      <c r="O871" s="10">
        <v>-512858.69</v>
      </c>
      <c r="P871" s="10">
        <v>-580105.93999999994</v>
      </c>
      <c r="Q871" s="10">
        <v>-577953.36</v>
      </c>
      <c r="R871" s="10">
        <v>-5197845.28</v>
      </c>
    </row>
    <row r="872" spans="1:18" ht="12.75" x14ac:dyDescent="0.2">
      <c r="A872" s="9" t="s">
        <v>349</v>
      </c>
      <c r="B872" s="9" t="s">
        <v>239</v>
      </c>
      <c r="C872" s="9" t="s">
        <v>306</v>
      </c>
      <c r="D872" s="9" t="s">
        <v>238</v>
      </c>
      <c r="E872" s="9" t="s">
        <v>242</v>
      </c>
      <c r="F872" s="9" t="s">
        <v>334</v>
      </c>
      <c r="G872" s="9" t="s">
        <v>306</v>
      </c>
      <c r="H872" s="10">
        <v>-401841.76</v>
      </c>
      <c r="I872" s="10">
        <v>-400906.16</v>
      </c>
      <c r="J872" s="10">
        <v>-444983.79</v>
      </c>
      <c r="K872" s="10">
        <v>-499274.81</v>
      </c>
      <c r="L872" s="10">
        <v>-475361.71</v>
      </c>
      <c r="M872" s="10">
        <v>-496633.39</v>
      </c>
      <c r="N872" s="10">
        <v>-417009.48</v>
      </c>
      <c r="O872" s="10">
        <v>-456014.66</v>
      </c>
      <c r="P872" s="10">
        <v>-515808.39</v>
      </c>
      <c r="Q872" s="10">
        <v>-513894.39</v>
      </c>
      <c r="R872" s="10">
        <v>-4621728.54</v>
      </c>
    </row>
    <row r="873" spans="1:18" ht="12.75" x14ac:dyDescent="0.2">
      <c r="A873" s="9" t="s">
        <v>332</v>
      </c>
      <c r="B873" s="9" t="s">
        <v>239</v>
      </c>
      <c r="C873" s="9" t="s">
        <v>306</v>
      </c>
      <c r="D873" s="9" t="s">
        <v>74</v>
      </c>
      <c r="E873" s="9" t="s">
        <v>244</v>
      </c>
      <c r="F873" s="9" t="s">
        <v>334</v>
      </c>
      <c r="G873" s="9" t="s">
        <v>306</v>
      </c>
      <c r="H873" s="10">
        <v>-1808910.59</v>
      </c>
      <c r="I873" s="10">
        <v>-1662906.16</v>
      </c>
      <c r="J873" s="10">
        <v>-1853941.51</v>
      </c>
      <c r="K873" s="10">
        <v>-1899931.65</v>
      </c>
      <c r="L873" s="10">
        <v>-1960182.08</v>
      </c>
      <c r="M873" s="10">
        <v>-1857141.9</v>
      </c>
      <c r="N873" s="10">
        <v>-1793676.52</v>
      </c>
      <c r="O873" s="10">
        <v>-1881168.41</v>
      </c>
      <c r="P873" s="10">
        <v>-1940172.92</v>
      </c>
      <c r="Q873" s="10">
        <v>-1872439.88</v>
      </c>
      <c r="R873" s="10">
        <v>-18530471.620000001</v>
      </c>
    </row>
    <row r="874" spans="1:18" ht="12.75" x14ac:dyDescent="0.2">
      <c r="A874" s="9" t="s">
        <v>332</v>
      </c>
      <c r="B874" s="9" t="s">
        <v>239</v>
      </c>
      <c r="C874" s="9" t="s">
        <v>306</v>
      </c>
      <c r="D874" s="9" t="s">
        <v>74</v>
      </c>
      <c r="E874" s="9" t="s">
        <v>245</v>
      </c>
      <c r="F874" s="9" t="s">
        <v>334</v>
      </c>
      <c r="G874" s="9" t="s">
        <v>306</v>
      </c>
      <c r="H874" s="10">
        <v>-1808910.59</v>
      </c>
      <c r="I874" s="10">
        <v>-1662906.16</v>
      </c>
      <c r="J874" s="10">
        <v>-1853941.51</v>
      </c>
      <c r="K874" s="10">
        <v>-1899931.65</v>
      </c>
      <c r="L874" s="10">
        <v>-1960182.08</v>
      </c>
      <c r="M874" s="10">
        <v>-1857141.9</v>
      </c>
      <c r="N874" s="10">
        <v>-1793676.52</v>
      </c>
      <c r="O874" s="10">
        <v>-1881168.41</v>
      </c>
      <c r="P874" s="10">
        <v>-1940172.92</v>
      </c>
      <c r="Q874" s="10">
        <v>-1872439.88</v>
      </c>
      <c r="R874" s="10">
        <v>-18530471.620000001</v>
      </c>
    </row>
    <row r="875" spans="1:18" ht="12.75" x14ac:dyDescent="0.2">
      <c r="A875" s="9" t="s">
        <v>332</v>
      </c>
      <c r="B875" s="9" t="s">
        <v>239</v>
      </c>
      <c r="C875" s="9" t="s">
        <v>306</v>
      </c>
      <c r="D875" s="9" t="s">
        <v>74</v>
      </c>
      <c r="E875" s="9" t="s">
        <v>246</v>
      </c>
      <c r="F875" s="9" t="s">
        <v>334</v>
      </c>
      <c r="G875" s="9" t="s">
        <v>306</v>
      </c>
      <c r="H875" s="10">
        <v>-1808910.59</v>
      </c>
      <c r="I875" s="10">
        <v>-1662906.16</v>
      </c>
      <c r="J875" s="10">
        <v>-1853941.51</v>
      </c>
      <c r="K875" s="10">
        <v>-1899931.65</v>
      </c>
      <c r="L875" s="10">
        <v>-1960182.08</v>
      </c>
      <c r="M875" s="10">
        <v>-1857141.9</v>
      </c>
      <c r="N875" s="10">
        <v>-1793676.52</v>
      </c>
      <c r="O875" s="10">
        <v>-1881168.41</v>
      </c>
      <c r="P875" s="10">
        <v>-1940172.92</v>
      </c>
      <c r="Q875" s="10">
        <v>-1872439.88</v>
      </c>
      <c r="R875" s="10">
        <v>-18530471.620000001</v>
      </c>
    </row>
    <row r="876" spans="1:18" ht="12.75" x14ac:dyDescent="0.2">
      <c r="A876" s="9" t="s">
        <v>332</v>
      </c>
      <c r="B876" s="9" t="s">
        <v>239</v>
      </c>
      <c r="C876" s="9" t="s">
        <v>306</v>
      </c>
      <c r="D876" s="9" t="s">
        <v>74</v>
      </c>
      <c r="E876" s="9" t="s">
        <v>247</v>
      </c>
      <c r="F876" s="9" t="s">
        <v>334</v>
      </c>
      <c r="G876" s="9" t="s">
        <v>306</v>
      </c>
      <c r="H876" s="10">
        <v>-1808910.59</v>
      </c>
      <c r="I876" s="10">
        <v>-1662906.16</v>
      </c>
      <c r="J876" s="10">
        <v>-1853941.51</v>
      </c>
      <c r="K876" s="10">
        <v>-1899931.65</v>
      </c>
      <c r="L876" s="10">
        <v>-1960182.08</v>
      </c>
      <c r="M876" s="10">
        <v>-1857141.9</v>
      </c>
      <c r="N876" s="10">
        <v>-1793676.52</v>
      </c>
      <c r="O876" s="10">
        <v>-1881168.41</v>
      </c>
      <c r="P876" s="10">
        <v>-1940172.92</v>
      </c>
      <c r="Q876" s="10">
        <v>-1872439.88</v>
      </c>
      <c r="R876" s="10">
        <v>-18530471.620000001</v>
      </c>
    </row>
    <row r="877" spans="1:18" ht="12.75" x14ac:dyDescent="0.2">
      <c r="A877" s="9" t="s">
        <v>332</v>
      </c>
      <c r="B877" s="9" t="s">
        <v>239</v>
      </c>
      <c r="C877" s="9" t="s">
        <v>306</v>
      </c>
      <c r="D877" s="9" t="s">
        <v>74</v>
      </c>
      <c r="E877" s="9" t="s">
        <v>248</v>
      </c>
      <c r="F877" s="9" t="s">
        <v>334</v>
      </c>
      <c r="G877" s="9" t="s">
        <v>306</v>
      </c>
      <c r="H877" s="10">
        <v>-1808910.59</v>
      </c>
      <c r="I877" s="10">
        <v>-1662906.16</v>
      </c>
      <c r="J877" s="10">
        <v>-1853941.51</v>
      </c>
      <c r="K877" s="10">
        <v>-1899931.65</v>
      </c>
      <c r="L877" s="10">
        <v>-1960182.08</v>
      </c>
      <c r="M877" s="10">
        <v>-1857141.9</v>
      </c>
      <c r="N877" s="10">
        <v>-1793676.52</v>
      </c>
      <c r="O877" s="10">
        <v>-1881168.41</v>
      </c>
      <c r="P877" s="10">
        <v>-1940172.92</v>
      </c>
      <c r="Q877" s="10">
        <v>-1872439.88</v>
      </c>
      <c r="R877" s="10">
        <v>-18530471.620000001</v>
      </c>
    </row>
    <row r="878" spans="1:18" ht="12.75" x14ac:dyDescent="0.2">
      <c r="A878" s="9" t="s">
        <v>332</v>
      </c>
      <c r="B878" s="9" t="s">
        <v>239</v>
      </c>
      <c r="C878" s="9" t="s">
        <v>306</v>
      </c>
      <c r="D878" s="9" t="s">
        <v>74</v>
      </c>
      <c r="E878" s="9" t="s">
        <v>249</v>
      </c>
      <c r="F878" s="9" t="s">
        <v>334</v>
      </c>
      <c r="G878" s="9" t="s">
        <v>306</v>
      </c>
      <c r="H878" s="10">
        <v>-1808910.59</v>
      </c>
      <c r="I878" s="10">
        <v>-1662906.16</v>
      </c>
      <c r="J878" s="10">
        <v>-1853941.51</v>
      </c>
      <c r="K878" s="10">
        <v>-1899931.65</v>
      </c>
      <c r="L878" s="10">
        <v>-1960182.08</v>
      </c>
      <c r="M878" s="10">
        <v>-1857141.9</v>
      </c>
      <c r="N878" s="10">
        <v>-1793676.52</v>
      </c>
      <c r="O878" s="10">
        <v>-1881168.41</v>
      </c>
      <c r="P878" s="10">
        <v>-1940172.92</v>
      </c>
      <c r="Q878" s="10">
        <v>-1872439.88</v>
      </c>
      <c r="R878" s="10">
        <v>-18530471.620000001</v>
      </c>
    </row>
    <row r="879" spans="1:18" ht="12.75" x14ac:dyDescent="0.2">
      <c r="A879" s="9" t="s">
        <v>332</v>
      </c>
      <c r="B879" s="9" t="s">
        <v>239</v>
      </c>
      <c r="C879" s="9" t="s">
        <v>306</v>
      </c>
      <c r="D879" s="9" t="s">
        <v>74</v>
      </c>
      <c r="E879" s="9" t="s">
        <v>250</v>
      </c>
      <c r="F879" s="9" t="s">
        <v>334</v>
      </c>
      <c r="G879" s="9" t="s">
        <v>306</v>
      </c>
      <c r="H879" s="10">
        <v>-1808910.59</v>
      </c>
      <c r="I879" s="10">
        <v>-1662906.16</v>
      </c>
      <c r="J879" s="10">
        <v>-1853941.51</v>
      </c>
      <c r="K879" s="10">
        <v>-1899931.65</v>
      </c>
      <c r="L879" s="10">
        <v>-1960182.08</v>
      </c>
      <c r="M879" s="10">
        <v>-1857141.9</v>
      </c>
      <c r="N879" s="10">
        <v>-1793676.52</v>
      </c>
      <c r="O879" s="10">
        <v>-1881168.41</v>
      </c>
      <c r="P879" s="10">
        <v>-1940172.92</v>
      </c>
      <c r="Q879" s="10">
        <v>-1872439.88</v>
      </c>
      <c r="R879" s="10">
        <v>-18530471.620000001</v>
      </c>
    </row>
    <row r="880" spans="1:18" ht="12.75" x14ac:dyDescent="0.2">
      <c r="A880" s="9" t="s">
        <v>332</v>
      </c>
      <c r="B880" s="9" t="s">
        <v>239</v>
      </c>
      <c r="C880" s="9" t="s">
        <v>306</v>
      </c>
      <c r="D880" s="9" t="s">
        <v>74</v>
      </c>
      <c r="E880" s="9" t="s">
        <v>251</v>
      </c>
      <c r="F880" s="9" t="s">
        <v>334</v>
      </c>
      <c r="G880" s="9" t="s">
        <v>306</v>
      </c>
      <c r="H880" s="10">
        <v>-1808910.59</v>
      </c>
      <c r="I880" s="10">
        <v>-1662906.16</v>
      </c>
      <c r="J880" s="10">
        <v>-1853941.51</v>
      </c>
      <c r="K880" s="10">
        <v>-1899931.65</v>
      </c>
      <c r="L880" s="10">
        <v>-1960182.08</v>
      </c>
      <c r="M880" s="10">
        <v>-1857141.9</v>
      </c>
      <c r="N880" s="10">
        <v>-1793676.52</v>
      </c>
      <c r="O880" s="10">
        <v>-1881168.41</v>
      </c>
      <c r="P880" s="10">
        <v>-1940172.92</v>
      </c>
      <c r="Q880" s="10">
        <v>-1872439.88</v>
      </c>
      <c r="R880" s="10">
        <v>-18530471.620000001</v>
      </c>
    </row>
    <row r="881" spans="1:18" ht="12.75" x14ac:dyDescent="0.2">
      <c r="A881" s="9" t="s">
        <v>332</v>
      </c>
      <c r="B881" s="9" t="s">
        <v>239</v>
      </c>
      <c r="C881" s="9" t="s">
        <v>306</v>
      </c>
      <c r="D881" s="9" t="s">
        <v>52</v>
      </c>
      <c r="E881" s="9" t="s">
        <v>253</v>
      </c>
      <c r="F881" s="9" t="s">
        <v>334</v>
      </c>
      <c r="G881" s="9" t="s">
        <v>306</v>
      </c>
      <c r="H881" s="10">
        <v>-312610.90999999997</v>
      </c>
      <c r="I881" s="10">
        <v>-238008.16</v>
      </c>
      <c r="J881" s="10">
        <v>-261743.43</v>
      </c>
      <c r="K881" s="10">
        <v>-287323.17</v>
      </c>
      <c r="L881" s="10">
        <v>-281558.02</v>
      </c>
      <c r="M881" s="10">
        <v>-287041.12</v>
      </c>
      <c r="N881" s="10">
        <v>-272095.45</v>
      </c>
      <c r="O881" s="10">
        <v>-290512.83</v>
      </c>
      <c r="P881" s="10">
        <v>-310719.78000000003</v>
      </c>
      <c r="Q881" s="10">
        <v>-328557.21999999997</v>
      </c>
      <c r="R881" s="10">
        <v>-2870170.09</v>
      </c>
    </row>
    <row r="882" spans="1:18" ht="12.75" x14ac:dyDescent="0.2">
      <c r="A882" s="9" t="s">
        <v>332</v>
      </c>
      <c r="B882" s="9" t="s">
        <v>239</v>
      </c>
      <c r="C882" s="9" t="s">
        <v>306</v>
      </c>
      <c r="D882" s="9" t="s">
        <v>52</v>
      </c>
      <c r="E882" s="9" t="s">
        <v>254</v>
      </c>
      <c r="F882" s="9" t="s">
        <v>334</v>
      </c>
      <c r="G882" s="9" t="s">
        <v>306</v>
      </c>
      <c r="H882" s="10">
        <v>-312610.90999999997</v>
      </c>
      <c r="I882" s="10">
        <v>-238008.16</v>
      </c>
      <c r="J882" s="10">
        <v>-261743.43</v>
      </c>
      <c r="K882" s="10">
        <v>-287323.17</v>
      </c>
      <c r="L882" s="10">
        <v>-281558.02</v>
      </c>
      <c r="M882" s="10">
        <v>-287041.12</v>
      </c>
      <c r="N882" s="10">
        <v>-272095.45</v>
      </c>
      <c r="O882" s="10">
        <v>-290512.83</v>
      </c>
      <c r="P882" s="10">
        <v>-310719.78000000003</v>
      </c>
      <c r="Q882" s="10">
        <v>-328557.21999999997</v>
      </c>
      <c r="R882" s="10">
        <v>-2870170.09</v>
      </c>
    </row>
    <row r="883" spans="1:18" ht="12.75" x14ac:dyDescent="0.2">
      <c r="A883" s="9" t="s">
        <v>332</v>
      </c>
      <c r="B883" s="9" t="s">
        <v>239</v>
      </c>
      <c r="C883" s="9" t="s">
        <v>306</v>
      </c>
      <c r="D883" s="9" t="s">
        <v>52</v>
      </c>
      <c r="E883" s="9" t="s">
        <v>255</v>
      </c>
      <c r="F883" s="9" t="s">
        <v>334</v>
      </c>
      <c r="G883" s="9" t="s">
        <v>306</v>
      </c>
      <c r="H883" s="10">
        <v>-312610.90999999997</v>
      </c>
      <c r="I883" s="10">
        <v>-238008.16</v>
      </c>
      <c r="J883" s="10">
        <v>-261743.43</v>
      </c>
      <c r="K883" s="10">
        <v>-287323.17</v>
      </c>
      <c r="L883" s="10">
        <v>-281558.02</v>
      </c>
      <c r="M883" s="10">
        <v>-287041.12</v>
      </c>
      <c r="N883" s="10">
        <v>-272095.45</v>
      </c>
      <c r="O883" s="10">
        <v>-290512.83</v>
      </c>
      <c r="P883" s="10">
        <v>-310719.78000000003</v>
      </c>
      <c r="Q883" s="10">
        <v>-328557.21999999997</v>
      </c>
      <c r="R883" s="10">
        <v>-2870170.09</v>
      </c>
    </row>
    <row r="884" spans="1:18" ht="12.75" x14ac:dyDescent="0.2">
      <c r="A884" s="9" t="s">
        <v>332</v>
      </c>
      <c r="B884" s="9" t="s">
        <v>239</v>
      </c>
      <c r="C884" s="9" t="s">
        <v>306</v>
      </c>
      <c r="D884" s="9" t="s">
        <v>52</v>
      </c>
      <c r="E884" s="9" t="s">
        <v>256</v>
      </c>
      <c r="F884" s="9" t="s">
        <v>334</v>
      </c>
      <c r="G884" s="9" t="s">
        <v>306</v>
      </c>
      <c r="H884" s="10">
        <v>-312610.90999999997</v>
      </c>
      <c r="I884" s="10">
        <v>-238008.16</v>
      </c>
      <c r="J884" s="10">
        <v>-261743.43</v>
      </c>
      <c r="K884" s="10">
        <v>-287323.17</v>
      </c>
      <c r="L884" s="10">
        <v>-281558.02</v>
      </c>
      <c r="M884" s="10">
        <v>-287041.12</v>
      </c>
      <c r="N884" s="10">
        <v>-272095.45</v>
      </c>
      <c r="O884" s="10">
        <v>-290512.83</v>
      </c>
      <c r="P884" s="10">
        <v>-310719.78000000003</v>
      </c>
      <c r="Q884" s="10">
        <v>-328557.21999999997</v>
      </c>
      <c r="R884" s="10">
        <v>-2870170.09</v>
      </c>
    </row>
    <row r="885" spans="1:18" ht="12.75" x14ac:dyDescent="0.2">
      <c r="A885" s="9" t="s">
        <v>332</v>
      </c>
      <c r="B885" s="9" t="s">
        <v>239</v>
      </c>
      <c r="C885" s="9" t="s">
        <v>306</v>
      </c>
      <c r="D885" s="9" t="s">
        <v>52</v>
      </c>
      <c r="E885" s="9" t="s">
        <v>257</v>
      </c>
      <c r="F885" s="9" t="s">
        <v>334</v>
      </c>
      <c r="G885" s="9" t="s">
        <v>306</v>
      </c>
      <c r="H885" s="10">
        <v>-312610.90999999997</v>
      </c>
      <c r="I885" s="10">
        <v>-238008.16</v>
      </c>
      <c r="J885" s="10">
        <v>-261743.43</v>
      </c>
      <c r="K885" s="10">
        <v>-287323.17</v>
      </c>
      <c r="L885" s="10">
        <v>-281558.02</v>
      </c>
      <c r="M885" s="10">
        <v>-287041.12</v>
      </c>
      <c r="N885" s="10">
        <v>-272095.45</v>
      </c>
      <c r="O885" s="10">
        <v>-290512.83</v>
      </c>
      <c r="P885" s="10">
        <v>-310719.78000000003</v>
      </c>
      <c r="Q885" s="10">
        <v>-328557.21999999997</v>
      </c>
      <c r="R885" s="10">
        <v>-2870170.09</v>
      </c>
    </row>
    <row r="886" spans="1:18" ht="12.75" x14ac:dyDescent="0.2">
      <c r="A886" s="9" t="s">
        <v>332</v>
      </c>
      <c r="B886" s="9" t="s">
        <v>239</v>
      </c>
      <c r="C886" s="9" t="s">
        <v>306</v>
      </c>
      <c r="D886" s="9" t="s">
        <v>52</v>
      </c>
      <c r="E886" s="9" t="s">
        <v>258</v>
      </c>
      <c r="F886" s="9" t="s">
        <v>334</v>
      </c>
      <c r="G886" s="9" t="s">
        <v>306</v>
      </c>
      <c r="H886" s="10">
        <v>-312610.90999999997</v>
      </c>
      <c r="I886" s="10">
        <v>-238008.16</v>
      </c>
      <c r="J886" s="10">
        <v>-261743.43</v>
      </c>
      <c r="K886" s="10">
        <v>-287323.17</v>
      </c>
      <c r="L886" s="10">
        <v>-281558.02</v>
      </c>
      <c r="M886" s="10">
        <v>-287041.12</v>
      </c>
      <c r="N886" s="10">
        <v>-272095.45</v>
      </c>
      <c r="O886" s="10">
        <v>-290512.83</v>
      </c>
      <c r="P886" s="10">
        <v>-310719.78000000003</v>
      </c>
      <c r="Q886" s="10">
        <v>-328557.21999999997</v>
      </c>
      <c r="R886" s="10">
        <v>-2870170.09</v>
      </c>
    </row>
    <row r="887" spans="1:18" ht="12.75" x14ac:dyDescent="0.2">
      <c r="A887" s="9" t="s">
        <v>332</v>
      </c>
      <c r="B887" s="9" t="s">
        <v>239</v>
      </c>
      <c r="C887" s="9" t="s">
        <v>306</v>
      </c>
      <c r="D887" s="9" t="s">
        <v>52</v>
      </c>
      <c r="E887" s="9" t="s">
        <v>259</v>
      </c>
      <c r="F887" s="9" t="s">
        <v>334</v>
      </c>
      <c r="G887" s="9" t="s">
        <v>306</v>
      </c>
      <c r="H887" s="10">
        <v>-312610.90999999997</v>
      </c>
      <c r="I887" s="10">
        <v>-238008.16</v>
      </c>
      <c r="J887" s="10">
        <v>-261743.43</v>
      </c>
      <c r="K887" s="10">
        <v>-287323.17</v>
      </c>
      <c r="L887" s="10">
        <v>-281558.02</v>
      </c>
      <c r="M887" s="10">
        <v>-287041.12</v>
      </c>
      <c r="N887" s="10">
        <v>-272095.45</v>
      </c>
      <c r="O887" s="10">
        <v>-290512.83</v>
      </c>
      <c r="P887" s="10">
        <v>-310719.78000000003</v>
      </c>
      <c r="Q887" s="10">
        <v>-328557.21999999997</v>
      </c>
      <c r="R887" s="10">
        <v>-2870170.09</v>
      </c>
    </row>
    <row r="888" spans="1:18" ht="12.75" x14ac:dyDescent="0.2">
      <c r="A888" s="9" t="s">
        <v>332</v>
      </c>
      <c r="B888" s="9" t="s">
        <v>239</v>
      </c>
      <c r="C888" s="9" t="s">
        <v>306</v>
      </c>
      <c r="D888" s="9" t="s">
        <v>52</v>
      </c>
      <c r="E888" s="9" t="s">
        <v>260</v>
      </c>
      <c r="F888" s="9" t="s">
        <v>334</v>
      </c>
      <c r="G888" s="9" t="s">
        <v>306</v>
      </c>
      <c r="H888" s="10">
        <v>-312610.90999999997</v>
      </c>
      <c r="I888" s="10">
        <v>-238008.16</v>
      </c>
      <c r="J888" s="10">
        <v>-261743.43</v>
      </c>
      <c r="K888" s="10">
        <v>-287323.17</v>
      </c>
      <c r="L888" s="10">
        <v>-281558.02</v>
      </c>
      <c r="M888" s="10">
        <v>-287041.12</v>
      </c>
      <c r="N888" s="10">
        <v>-272095.45</v>
      </c>
      <c r="O888" s="10">
        <v>-290512.83</v>
      </c>
      <c r="P888" s="10">
        <v>-310719.78000000003</v>
      </c>
      <c r="Q888" s="10">
        <v>-328557.21999999997</v>
      </c>
      <c r="R888" s="10">
        <v>-2870170.09</v>
      </c>
    </row>
    <row r="889" spans="1:18" ht="12.75" x14ac:dyDescent="0.2">
      <c r="A889" s="9" t="s">
        <v>332</v>
      </c>
      <c r="B889" s="9" t="s">
        <v>239</v>
      </c>
      <c r="C889" s="9" t="s">
        <v>306</v>
      </c>
      <c r="D889" s="9" t="s">
        <v>52</v>
      </c>
      <c r="E889" s="9" t="s">
        <v>261</v>
      </c>
      <c r="F889" s="9" t="s">
        <v>334</v>
      </c>
      <c r="G889" s="9" t="s">
        <v>306</v>
      </c>
      <c r="H889" s="10">
        <v>-312610.90999999997</v>
      </c>
      <c r="I889" s="10">
        <v>-238008.16</v>
      </c>
      <c r="J889" s="10">
        <v>-261743.43</v>
      </c>
      <c r="K889" s="10">
        <v>-287323.17</v>
      </c>
      <c r="L889" s="10">
        <v>-281558.02</v>
      </c>
      <c r="M889" s="10">
        <v>-287041.12</v>
      </c>
      <c r="N889" s="10">
        <v>-272095.45</v>
      </c>
      <c r="O889" s="10">
        <v>-290512.83</v>
      </c>
      <c r="P889" s="10">
        <v>-310719.78000000003</v>
      </c>
      <c r="Q889" s="10">
        <v>-328557.21999999997</v>
      </c>
      <c r="R889" s="10">
        <v>-2870170.09</v>
      </c>
    </row>
    <row r="890" spans="1:18" ht="12.75" x14ac:dyDescent="0.2">
      <c r="A890" s="9" t="s">
        <v>332</v>
      </c>
      <c r="B890" s="9" t="s">
        <v>239</v>
      </c>
      <c r="C890" s="9" t="s">
        <v>306</v>
      </c>
      <c r="D890" s="9" t="s">
        <v>52</v>
      </c>
      <c r="E890" s="9" t="s">
        <v>262</v>
      </c>
      <c r="F890" s="9" t="s">
        <v>334</v>
      </c>
      <c r="G890" s="9" t="s">
        <v>306</v>
      </c>
      <c r="H890" s="10">
        <v>-312610.90999999997</v>
      </c>
      <c r="I890" s="10">
        <v>-238008.16</v>
      </c>
      <c r="J890" s="10">
        <v>-261743.43</v>
      </c>
      <c r="K890" s="10">
        <v>-287323.17</v>
      </c>
      <c r="L890" s="10">
        <v>-281558.02</v>
      </c>
      <c r="M890" s="10">
        <v>-287041.12</v>
      </c>
      <c r="N890" s="10">
        <v>-272095.45</v>
      </c>
      <c r="O890" s="10">
        <v>-290512.83</v>
      </c>
      <c r="P890" s="10">
        <v>-310719.78000000003</v>
      </c>
      <c r="Q890" s="10">
        <v>-328557.21999999997</v>
      </c>
      <c r="R890" s="10">
        <v>-2870170.09</v>
      </c>
    </row>
    <row r="891" spans="1:18" ht="12.75" x14ac:dyDescent="0.2">
      <c r="A891" s="9" t="s">
        <v>332</v>
      </c>
      <c r="B891" s="9" t="s">
        <v>239</v>
      </c>
      <c r="C891" s="9" t="s">
        <v>306</v>
      </c>
      <c r="D891" s="9" t="s">
        <v>52</v>
      </c>
      <c r="E891" s="9" t="s">
        <v>263</v>
      </c>
      <c r="F891" s="9" t="s">
        <v>334</v>
      </c>
      <c r="G891" s="9" t="s">
        <v>306</v>
      </c>
      <c r="H891" s="10">
        <v>-312610.90999999997</v>
      </c>
      <c r="I891" s="10">
        <v>-238008.16</v>
      </c>
      <c r="J891" s="10">
        <v>-261743.43</v>
      </c>
      <c r="K891" s="10">
        <v>-287323.17</v>
      </c>
      <c r="L891" s="10">
        <v>-281558.02</v>
      </c>
      <c r="M891" s="10">
        <v>-287041.12</v>
      </c>
      <c r="N891" s="10">
        <v>-272095.45</v>
      </c>
      <c r="O891" s="10">
        <v>-290512.83</v>
      </c>
      <c r="P891" s="10">
        <v>-310719.78000000003</v>
      </c>
      <c r="Q891" s="10">
        <v>-328557.21999999997</v>
      </c>
      <c r="R891" s="10">
        <v>-2870170.09</v>
      </c>
    </row>
    <row r="892" spans="1:18" ht="12.75" x14ac:dyDescent="0.2">
      <c r="A892" s="9" t="s">
        <v>332</v>
      </c>
      <c r="B892" s="9" t="s">
        <v>239</v>
      </c>
      <c r="C892" s="9" t="s">
        <v>306</v>
      </c>
      <c r="D892" s="9" t="s">
        <v>52</v>
      </c>
      <c r="E892" s="9" t="s">
        <v>264</v>
      </c>
      <c r="F892" s="9" t="s">
        <v>334</v>
      </c>
      <c r="G892" s="9" t="s">
        <v>306</v>
      </c>
      <c r="H892" s="10">
        <v>-312610.90999999997</v>
      </c>
      <c r="I892" s="10">
        <v>-238008.16</v>
      </c>
      <c r="J892" s="10">
        <v>-261743.43</v>
      </c>
      <c r="K892" s="10">
        <v>-287323.17</v>
      </c>
      <c r="L892" s="10">
        <v>-281558.02</v>
      </c>
      <c r="M892" s="10">
        <v>-287041.12</v>
      </c>
      <c r="N892" s="10">
        <v>-272095.45</v>
      </c>
      <c r="O892" s="10">
        <v>-290512.83</v>
      </c>
      <c r="P892" s="10">
        <v>-310719.78000000003</v>
      </c>
      <c r="Q892" s="10">
        <v>-328557.21999999997</v>
      </c>
      <c r="R892" s="10">
        <v>-2870170.09</v>
      </c>
    </row>
    <row r="893" spans="1:18" ht="12.75" x14ac:dyDescent="0.2">
      <c r="A893" s="9" t="s">
        <v>332</v>
      </c>
      <c r="B893" s="9" t="s">
        <v>239</v>
      </c>
      <c r="C893" s="9" t="s">
        <v>306</v>
      </c>
      <c r="D893" s="9" t="s">
        <v>52</v>
      </c>
      <c r="E893" s="9" t="s">
        <v>265</v>
      </c>
      <c r="F893" s="9" t="s">
        <v>334</v>
      </c>
      <c r="G893" s="9" t="s">
        <v>306</v>
      </c>
      <c r="H893" s="10">
        <v>-312610.90999999997</v>
      </c>
      <c r="I893" s="10">
        <v>-238008.16</v>
      </c>
      <c r="J893" s="10">
        <v>-261743.43</v>
      </c>
      <c r="K893" s="10">
        <v>-287323.17</v>
      </c>
      <c r="L893" s="10">
        <v>-281558.02</v>
      </c>
      <c r="M893" s="10">
        <v>-287041.12</v>
      </c>
      <c r="N893" s="10">
        <v>-272095.45</v>
      </c>
      <c r="O893" s="10">
        <v>-290512.83</v>
      </c>
      <c r="P893" s="10">
        <v>-310719.78000000003</v>
      </c>
      <c r="Q893" s="10">
        <v>-328557.21999999997</v>
      </c>
      <c r="R893" s="10">
        <v>-2870170.09</v>
      </c>
    </row>
    <row r="894" spans="1:18" ht="12.75" x14ac:dyDescent="0.2">
      <c r="A894" s="9" t="s">
        <v>332</v>
      </c>
      <c r="B894" s="9" t="s">
        <v>239</v>
      </c>
      <c r="C894" s="9" t="s">
        <v>306</v>
      </c>
      <c r="D894" s="9" t="s">
        <v>52</v>
      </c>
      <c r="E894" s="9" t="s">
        <v>266</v>
      </c>
      <c r="F894" s="9" t="s">
        <v>334</v>
      </c>
      <c r="G894" s="9" t="s">
        <v>306</v>
      </c>
      <c r="H894" s="10">
        <v>-312610.90999999997</v>
      </c>
      <c r="I894" s="10">
        <v>-238008.16</v>
      </c>
      <c r="J894" s="10">
        <v>-261743.43</v>
      </c>
      <c r="K894" s="10">
        <v>-287323.17</v>
      </c>
      <c r="L894" s="10">
        <v>-281558.02</v>
      </c>
      <c r="M894" s="10">
        <v>-287041.12</v>
      </c>
      <c r="N894" s="10">
        <v>-272095.45</v>
      </c>
      <c r="O894" s="10">
        <v>-290512.83</v>
      </c>
      <c r="P894" s="10">
        <v>-310719.78000000003</v>
      </c>
      <c r="Q894" s="10">
        <v>-328557.21999999997</v>
      </c>
      <c r="R894" s="10">
        <v>-2870170.09</v>
      </c>
    </row>
    <row r="895" spans="1:18" ht="12.75" x14ac:dyDescent="0.2">
      <c r="A895" s="9" t="s">
        <v>332</v>
      </c>
      <c r="B895" s="9" t="s">
        <v>239</v>
      </c>
      <c r="C895" s="9" t="s">
        <v>306</v>
      </c>
      <c r="D895" s="9" t="s">
        <v>52</v>
      </c>
      <c r="E895" s="9" t="s">
        <v>267</v>
      </c>
      <c r="F895" s="9" t="s">
        <v>334</v>
      </c>
      <c r="G895" s="9" t="s">
        <v>306</v>
      </c>
      <c r="H895" s="10">
        <v>-312610.90999999997</v>
      </c>
      <c r="I895" s="10">
        <v>-238008.16</v>
      </c>
      <c r="J895" s="10">
        <v>-261743.43</v>
      </c>
      <c r="K895" s="10">
        <v>-287323.17</v>
      </c>
      <c r="L895" s="10">
        <v>-281558.02</v>
      </c>
      <c r="M895" s="10">
        <v>-287041.12</v>
      </c>
      <c r="N895" s="10">
        <v>-272095.45</v>
      </c>
      <c r="O895" s="10">
        <v>-290512.83</v>
      </c>
      <c r="P895" s="10">
        <v>-310719.78000000003</v>
      </c>
      <c r="Q895" s="10">
        <v>-328557.21999999997</v>
      </c>
      <c r="R895" s="10">
        <v>-2870170.09</v>
      </c>
    </row>
    <row r="896" spans="1:18" ht="12.75" x14ac:dyDescent="0.2">
      <c r="A896" s="9" t="s">
        <v>332</v>
      </c>
      <c r="B896" s="9" t="s">
        <v>239</v>
      </c>
      <c r="C896" s="9" t="s">
        <v>306</v>
      </c>
      <c r="D896" s="9" t="s">
        <v>52</v>
      </c>
      <c r="E896" s="9" t="s">
        <v>268</v>
      </c>
      <c r="F896" s="9" t="s">
        <v>334</v>
      </c>
      <c r="G896" s="9" t="s">
        <v>306</v>
      </c>
      <c r="H896" s="10">
        <v>-312610.90999999997</v>
      </c>
      <c r="I896" s="10">
        <v>-238008.16</v>
      </c>
      <c r="J896" s="10">
        <v>-261743.43</v>
      </c>
      <c r="K896" s="10">
        <v>-287323.17</v>
      </c>
      <c r="L896" s="10">
        <v>-281558.02</v>
      </c>
      <c r="M896" s="10">
        <v>-287041.12</v>
      </c>
      <c r="N896" s="10">
        <v>-272095.45</v>
      </c>
      <c r="O896" s="10">
        <v>-290512.83</v>
      </c>
      <c r="P896" s="10">
        <v>-310719.78000000003</v>
      </c>
      <c r="Q896" s="10">
        <v>-328557.21999999997</v>
      </c>
      <c r="R896" s="10">
        <v>-2870170.09</v>
      </c>
    </row>
    <row r="897" spans="1:18" ht="12.75" x14ac:dyDescent="0.2">
      <c r="A897" s="9" t="s">
        <v>332</v>
      </c>
      <c r="B897" s="9" t="s">
        <v>239</v>
      </c>
      <c r="C897" s="9" t="s">
        <v>306</v>
      </c>
      <c r="D897" s="9" t="s">
        <v>87</v>
      </c>
      <c r="E897" s="9" t="s">
        <v>270</v>
      </c>
      <c r="F897" s="9" t="s">
        <v>334</v>
      </c>
      <c r="G897" s="9" t="s">
        <v>306</v>
      </c>
      <c r="H897" s="10">
        <v>-1850667.13</v>
      </c>
      <c r="I897" s="10">
        <v>-1678343.71</v>
      </c>
      <c r="J897" s="10">
        <v>-1716168.06</v>
      </c>
      <c r="K897" s="10">
        <v>-1831875.89</v>
      </c>
      <c r="L897" s="10">
        <v>-1863782.67</v>
      </c>
      <c r="M897" s="10">
        <v>-2030560.87</v>
      </c>
      <c r="N897" s="10">
        <v>-1828464.77</v>
      </c>
      <c r="O897" s="10">
        <v>-1931872.54</v>
      </c>
      <c r="P897" s="10">
        <v>-1977306.05</v>
      </c>
      <c r="Q897" s="10">
        <v>-1878610.79</v>
      </c>
      <c r="R897" s="10">
        <v>-18587652.48</v>
      </c>
    </row>
    <row r="898" spans="1:18" ht="12.75" x14ac:dyDescent="0.2">
      <c r="A898" s="9" t="s">
        <v>332</v>
      </c>
      <c r="B898" s="9" t="s">
        <v>239</v>
      </c>
      <c r="C898" s="9" t="s">
        <v>306</v>
      </c>
      <c r="D898" s="9" t="s">
        <v>87</v>
      </c>
      <c r="E898" s="9" t="s">
        <v>271</v>
      </c>
      <c r="F898" s="9" t="s">
        <v>334</v>
      </c>
      <c r="G898" s="9" t="s">
        <v>306</v>
      </c>
      <c r="H898" s="10">
        <v>-1850667.13</v>
      </c>
      <c r="I898" s="10">
        <v>-1678343.71</v>
      </c>
      <c r="J898" s="10">
        <v>-1716168.06</v>
      </c>
      <c r="K898" s="10">
        <v>-1831875.89</v>
      </c>
      <c r="L898" s="10">
        <v>-1863782.67</v>
      </c>
      <c r="M898" s="10">
        <v>-2030560.87</v>
      </c>
      <c r="N898" s="10">
        <v>-1828464.77</v>
      </c>
      <c r="O898" s="10">
        <v>-1931872.54</v>
      </c>
      <c r="P898" s="10">
        <v>-1977306.05</v>
      </c>
      <c r="Q898" s="10">
        <v>-1878610.79</v>
      </c>
      <c r="R898" s="10">
        <v>-18587652.48</v>
      </c>
    </row>
    <row r="899" spans="1:18" ht="12.75" x14ac:dyDescent="0.2">
      <c r="A899" s="9" t="s">
        <v>332</v>
      </c>
      <c r="B899" s="9" t="s">
        <v>239</v>
      </c>
      <c r="C899" s="9" t="s">
        <v>306</v>
      </c>
      <c r="D899" s="9" t="s">
        <v>87</v>
      </c>
      <c r="E899" s="9" t="s">
        <v>272</v>
      </c>
      <c r="F899" s="9" t="s">
        <v>334</v>
      </c>
      <c r="G899" s="9" t="s">
        <v>306</v>
      </c>
      <c r="H899" s="10">
        <v>-1850667.13</v>
      </c>
      <c r="I899" s="10">
        <v>-1678343.71</v>
      </c>
      <c r="J899" s="10">
        <v>-1716168.06</v>
      </c>
      <c r="K899" s="10">
        <v>-1831875.89</v>
      </c>
      <c r="L899" s="10">
        <v>-1863782.67</v>
      </c>
      <c r="M899" s="10">
        <v>-2030560.87</v>
      </c>
      <c r="N899" s="10">
        <v>-1828464.77</v>
      </c>
      <c r="O899" s="10">
        <v>-1931872.54</v>
      </c>
      <c r="P899" s="10">
        <v>-1977306.05</v>
      </c>
      <c r="Q899" s="10">
        <v>-1878610.79</v>
      </c>
      <c r="R899" s="10">
        <v>-18587652.48</v>
      </c>
    </row>
    <row r="900" spans="1:18" ht="12.75" x14ac:dyDescent="0.2">
      <c r="A900" s="9" t="s">
        <v>332</v>
      </c>
      <c r="B900" s="9" t="s">
        <v>239</v>
      </c>
      <c r="C900" s="9" t="s">
        <v>306</v>
      </c>
      <c r="D900" s="9" t="s">
        <v>87</v>
      </c>
      <c r="E900" s="9" t="s">
        <v>273</v>
      </c>
      <c r="F900" s="9" t="s">
        <v>334</v>
      </c>
      <c r="G900" s="9" t="s">
        <v>306</v>
      </c>
      <c r="H900" s="10">
        <v>-1850667.13</v>
      </c>
      <c r="I900" s="10">
        <v>-1678343.71</v>
      </c>
      <c r="J900" s="10">
        <v>-1716168.06</v>
      </c>
      <c r="K900" s="10">
        <v>-1831875.89</v>
      </c>
      <c r="L900" s="10">
        <v>-1863782.67</v>
      </c>
      <c r="M900" s="10">
        <v>-2030560.87</v>
      </c>
      <c r="N900" s="10">
        <v>-1828464.77</v>
      </c>
      <c r="O900" s="10">
        <v>-1931872.54</v>
      </c>
      <c r="P900" s="10">
        <v>-1977306.05</v>
      </c>
      <c r="Q900" s="10">
        <v>-1878610.79</v>
      </c>
      <c r="R900" s="10">
        <v>-18587652.48</v>
      </c>
    </row>
    <row r="901" spans="1:18" ht="12.75" x14ac:dyDescent="0.2">
      <c r="A901" s="9" t="s">
        <v>332</v>
      </c>
      <c r="B901" s="9" t="s">
        <v>239</v>
      </c>
      <c r="C901" s="9" t="s">
        <v>306</v>
      </c>
      <c r="D901" s="9" t="s">
        <v>87</v>
      </c>
      <c r="E901" s="9" t="s">
        <v>274</v>
      </c>
      <c r="F901" s="9" t="s">
        <v>334</v>
      </c>
      <c r="G901" s="9" t="s">
        <v>306</v>
      </c>
      <c r="H901" s="10">
        <v>-1850667.13</v>
      </c>
      <c r="I901" s="10">
        <v>-1678343.71</v>
      </c>
      <c r="J901" s="10">
        <v>-1716168.06</v>
      </c>
      <c r="K901" s="10">
        <v>-1831875.89</v>
      </c>
      <c r="L901" s="10">
        <v>-1863782.67</v>
      </c>
      <c r="M901" s="10">
        <v>-2030560.87</v>
      </c>
      <c r="N901" s="10">
        <v>-1828464.77</v>
      </c>
      <c r="O901" s="10">
        <v>-1931872.54</v>
      </c>
      <c r="P901" s="10">
        <v>-1977306.05</v>
      </c>
      <c r="Q901" s="10">
        <v>-1878610.79</v>
      </c>
      <c r="R901" s="10">
        <v>-18587652.48</v>
      </c>
    </row>
    <row r="902" spans="1:18" ht="12.75" x14ac:dyDescent="0.2">
      <c r="A902" s="9" t="s">
        <v>332</v>
      </c>
      <c r="B902" s="9" t="s">
        <v>239</v>
      </c>
      <c r="C902" s="9" t="s">
        <v>306</v>
      </c>
      <c r="D902" s="9" t="s">
        <v>87</v>
      </c>
      <c r="E902" s="9" t="s">
        <v>275</v>
      </c>
      <c r="F902" s="9" t="s">
        <v>334</v>
      </c>
      <c r="G902" s="9" t="s">
        <v>306</v>
      </c>
      <c r="H902" s="10">
        <v>-1850667.13</v>
      </c>
      <c r="I902" s="10">
        <v>-1678343.71</v>
      </c>
      <c r="J902" s="10">
        <v>-1716168.06</v>
      </c>
      <c r="K902" s="10">
        <v>-1831875.89</v>
      </c>
      <c r="L902" s="10">
        <v>-1863782.67</v>
      </c>
      <c r="M902" s="10">
        <v>-2030560.87</v>
      </c>
      <c r="N902" s="10">
        <v>-1828464.77</v>
      </c>
      <c r="O902" s="10">
        <v>-1931872.54</v>
      </c>
      <c r="P902" s="10">
        <v>-1977306.05</v>
      </c>
      <c r="Q902" s="10">
        <v>-1878610.79</v>
      </c>
      <c r="R902" s="10">
        <v>-18587652.48</v>
      </c>
    </row>
    <row r="903" spans="1:18" ht="12.75" x14ac:dyDescent="0.2">
      <c r="A903" s="9" t="s">
        <v>332</v>
      </c>
      <c r="B903" s="9" t="s">
        <v>239</v>
      </c>
      <c r="C903" s="9" t="s">
        <v>306</v>
      </c>
      <c r="D903" s="9" t="s">
        <v>87</v>
      </c>
      <c r="E903" s="9" t="s">
        <v>276</v>
      </c>
      <c r="F903" s="9" t="s">
        <v>334</v>
      </c>
      <c r="G903" s="9" t="s">
        <v>306</v>
      </c>
      <c r="H903" s="10">
        <v>-1850667.13</v>
      </c>
      <c r="I903" s="10">
        <v>-1678343.71</v>
      </c>
      <c r="J903" s="10">
        <v>-1716168.06</v>
      </c>
      <c r="K903" s="10">
        <v>-1831875.89</v>
      </c>
      <c r="L903" s="10">
        <v>-1863782.67</v>
      </c>
      <c r="M903" s="10">
        <v>-2030560.87</v>
      </c>
      <c r="N903" s="10">
        <v>-1828464.77</v>
      </c>
      <c r="O903" s="10">
        <v>-1931872.54</v>
      </c>
      <c r="P903" s="10">
        <v>-1977306.05</v>
      </c>
      <c r="Q903" s="10">
        <v>-1878610.79</v>
      </c>
      <c r="R903" s="10">
        <v>-18587652.48</v>
      </c>
    </row>
    <row r="904" spans="1:18" ht="12.75" x14ac:dyDescent="0.2">
      <c r="A904" s="9" t="s">
        <v>332</v>
      </c>
      <c r="B904" s="9" t="s">
        <v>239</v>
      </c>
      <c r="C904" s="9" t="s">
        <v>306</v>
      </c>
      <c r="D904" s="9" t="s">
        <v>96</v>
      </c>
      <c r="E904" s="9" t="s">
        <v>277</v>
      </c>
      <c r="F904" s="9" t="s">
        <v>334</v>
      </c>
      <c r="G904" s="9" t="s">
        <v>306</v>
      </c>
      <c r="H904" s="10">
        <v>-210177.16</v>
      </c>
      <c r="I904" s="10">
        <v>-115812.95</v>
      </c>
      <c r="J904" s="10">
        <v>-125749.75999999999</v>
      </c>
      <c r="K904" s="10">
        <v>-152455.19</v>
      </c>
      <c r="L904" s="10">
        <v>-126670.73</v>
      </c>
      <c r="M904" s="10">
        <v>-510686.81</v>
      </c>
      <c r="N904" s="10">
        <v>-129895.22</v>
      </c>
      <c r="O904" s="10">
        <v>-141552.67000000001</v>
      </c>
      <c r="P904" s="10">
        <v>-136518.85999999999</v>
      </c>
      <c r="Q904" s="10">
        <v>-119573.54</v>
      </c>
      <c r="R904" s="10">
        <v>-1769092.89</v>
      </c>
    </row>
    <row r="905" spans="1:18" ht="12.75" x14ac:dyDescent="0.2">
      <c r="A905" s="9" t="s">
        <v>332</v>
      </c>
      <c r="B905" s="9" t="s">
        <v>239</v>
      </c>
      <c r="C905" s="9" t="s">
        <v>306</v>
      </c>
      <c r="D905" s="9" t="s">
        <v>96</v>
      </c>
      <c r="E905" s="9" t="s">
        <v>278</v>
      </c>
      <c r="F905" s="9" t="s">
        <v>334</v>
      </c>
      <c r="G905" s="9" t="s">
        <v>306</v>
      </c>
      <c r="H905" s="10">
        <v>-210177.16</v>
      </c>
      <c r="I905" s="10">
        <v>-115812.95</v>
      </c>
      <c r="J905" s="10">
        <v>-125749.75999999999</v>
      </c>
      <c r="K905" s="10">
        <v>-152455.19</v>
      </c>
      <c r="L905" s="10">
        <v>-126670.73</v>
      </c>
      <c r="M905" s="10">
        <v>-510686.81</v>
      </c>
      <c r="N905" s="10">
        <v>-129895.22</v>
      </c>
      <c r="O905" s="10">
        <v>-141552.67000000001</v>
      </c>
      <c r="P905" s="10">
        <v>-136518.85999999999</v>
      </c>
      <c r="Q905" s="10">
        <v>-119573.54</v>
      </c>
      <c r="R905" s="10">
        <v>-1769092.89</v>
      </c>
    </row>
    <row r="906" spans="1:18" ht="12.75" x14ac:dyDescent="0.2">
      <c r="A906" s="9" t="s">
        <v>332</v>
      </c>
      <c r="B906" s="9" t="s">
        <v>239</v>
      </c>
      <c r="C906" s="9" t="s">
        <v>306</v>
      </c>
      <c r="D906" s="9" t="s">
        <v>96</v>
      </c>
      <c r="E906" s="9" t="s">
        <v>279</v>
      </c>
      <c r="F906" s="9" t="s">
        <v>334</v>
      </c>
      <c r="G906" s="9" t="s">
        <v>306</v>
      </c>
      <c r="H906" s="10">
        <v>-210177.16</v>
      </c>
      <c r="I906" s="10">
        <v>-115812.95</v>
      </c>
      <c r="J906" s="10">
        <v>-125749.75999999999</v>
      </c>
      <c r="K906" s="10">
        <v>-152455.19</v>
      </c>
      <c r="L906" s="10">
        <v>-126670.73</v>
      </c>
      <c r="M906" s="10">
        <v>-510686.81</v>
      </c>
      <c r="N906" s="10">
        <v>-129895.22</v>
      </c>
      <c r="O906" s="10">
        <v>-141552.67000000001</v>
      </c>
      <c r="P906" s="10">
        <v>-136518.85999999999</v>
      </c>
      <c r="Q906" s="10">
        <v>-119573.54</v>
      </c>
      <c r="R906" s="10">
        <v>-1769092.89</v>
      </c>
    </row>
    <row r="907" spans="1:18" ht="12.75" x14ac:dyDescent="0.2">
      <c r="A907" s="9" t="s">
        <v>332</v>
      </c>
      <c r="B907" s="9" t="s">
        <v>239</v>
      </c>
      <c r="C907" s="9" t="s">
        <v>306</v>
      </c>
      <c r="D907" s="9" t="s">
        <v>96</v>
      </c>
      <c r="E907" s="9" t="s">
        <v>280</v>
      </c>
      <c r="F907" s="9" t="s">
        <v>334</v>
      </c>
      <c r="G907" s="9" t="s">
        <v>306</v>
      </c>
      <c r="H907" s="10">
        <v>-210177.16</v>
      </c>
      <c r="I907" s="10">
        <v>-115812.95</v>
      </c>
      <c r="J907" s="10">
        <v>-125749.75999999999</v>
      </c>
      <c r="K907" s="10">
        <v>-152455.19</v>
      </c>
      <c r="L907" s="10">
        <v>-126670.73</v>
      </c>
      <c r="M907" s="10">
        <v>-510686.81</v>
      </c>
      <c r="N907" s="10">
        <v>-129895.22</v>
      </c>
      <c r="O907" s="10">
        <v>-141552.67000000001</v>
      </c>
      <c r="P907" s="10">
        <v>-136518.85999999999</v>
      </c>
      <c r="Q907" s="10">
        <v>-119573.54</v>
      </c>
      <c r="R907" s="10">
        <v>-1769092.89</v>
      </c>
    </row>
    <row r="908" spans="1:18" ht="12.75" x14ac:dyDescent="0.2">
      <c r="A908" s="9" t="s">
        <v>332</v>
      </c>
      <c r="B908" s="9" t="s">
        <v>239</v>
      </c>
      <c r="C908" s="9" t="s">
        <v>306</v>
      </c>
      <c r="D908" s="9" t="s">
        <v>96</v>
      </c>
      <c r="E908" s="9" t="s">
        <v>281</v>
      </c>
      <c r="F908" s="9" t="s">
        <v>334</v>
      </c>
      <c r="G908" s="9" t="s">
        <v>306</v>
      </c>
      <c r="H908" s="10">
        <v>-210177.16</v>
      </c>
      <c r="I908" s="10">
        <v>-115812.95</v>
      </c>
      <c r="J908" s="10">
        <v>-125749.75999999999</v>
      </c>
      <c r="K908" s="10">
        <v>-152455.19</v>
      </c>
      <c r="L908" s="10">
        <v>-126670.73</v>
      </c>
      <c r="M908" s="10">
        <v>-510686.81</v>
      </c>
      <c r="N908" s="10">
        <v>-129895.22</v>
      </c>
      <c r="O908" s="10">
        <v>-141552.67000000001</v>
      </c>
      <c r="P908" s="10">
        <v>-136518.85999999999</v>
      </c>
      <c r="Q908" s="10">
        <v>-119573.54</v>
      </c>
      <c r="R908" s="10">
        <v>-1769092.89</v>
      </c>
    </row>
    <row r="909" spans="1:18" ht="12.75" x14ac:dyDescent="0.2">
      <c r="A909" s="9" t="s">
        <v>332</v>
      </c>
      <c r="B909" s="9" t="s">
        <v>239</v>
      </c>
      <c r="C909" s="9" t="s">
        <v>306</v>
      </c>
      <c r="D909" s="9" t="s">
        <v>96</v>
      </c>
      <c r="E909" s="9" t="s">
        <v>282</v>
      </c>
      <c r="F909" s="9" t="s">
        <v>334</v>
      </c>
      <c r="G909" s="9" t="s">
        <v>306</v>
      </c>
      <c r="H909" s="10">
        <v>-210177.16</v>
      </c>
      <c r="I909" s="10">
        <v>-115812.95</v>
      </c>
      <c r="J909" s="10">
        <v>-125749.75999999999</v>
      </c>
      <c r="K909" s="10">
        <v>-152455.19</v>
      </c>
      <c r="L909" s="10">
        <v>-126670.73</v>
      </c>
      <c r="M909" s="10">
        <v>-510686.81</v>
      </c>
      <c r="N909" s="10">
        <v>-129895.22</v>
      </c>
      <c r="O909" s="10">
        <v>-141552.67000000001</v>
      </c>
      <c r="P909" s="10">
        <v>-136518.85999999999</v>
      </c>
      <c r="Q909" s="10">
        <v>-119573.54</v>
      </c>
      <c r="R909" s="10">
        <v>-1769092.89</v>
      </c>
    </row>
    <row r="910" spans="1:18" ht="12.75" x14ac:dyDescent="0.2">
      <c r="A910" s="9" t="s">
        <v>332</v>
      </c>
      <c r="B910" s="9" t="s">
        <v>239</v>
      </c>
      <c r="C910" s="9" t="s">
        <v>306</v>
      </c>
      <c r="D910" s="9" t="s">
        <v>96</v>
      </c>
      <c r="E910" s="9" t="s">
        <v>283</v>
      </c>
      <c r="F910" s="9" t="s">
        <v>334</v>
      </c>
      <c r="G910" s="9" t="s">
        <v>306</v>
      </c>
      <c r="H910" s="10">
        <v>-210177.16</v>
      </c>
      <c r="I910" s="10">
        <v>-115812.95</v>
      </c>
      <c r="J910" s="10">
        <v>-125749.75999999999</v>
      </c>
      <c r="K910" s="10">
        <v>-152455.19</v>
      </c>
      <c r="L910" s="10">
        <v>-126670.73</v>
      </c>
      <c r="M910" s="10">
        <v>-510686.81</v>
      </c>
      <c r="N910" s="10">
        <v>-129895.22</v>
      </c>
      <c r="O910" s="10">
        <v>-141552.67000000001</v>
      </c>
      <c r="P910" s="10">
        <v>-136518.85999999999</v>
      </c>
      <c r="Q910" s="10">
        <v>-119573.54</v>
      </c>
      <c r="R910" s="10">
        <v>-1769092.89</v>
      </c>
    </row>
    <row r="911" spans="1:18" ht="12.75" x14ac:dyDescent="0.2">
      <c r="A911" s="9" t="s">
        <v>332</v>
      </c>
      <c r="B911" s="9" t="s">
        <v>239</v>
      </c>
      <c r="C911" s="9" t="s">
        <v>306</v>
      </c>
      <c r="D911" s="9" t="s">
        <v>96</v>
      </c>
      <c r="E911" s="9" t="s">
        <v>284</v>
      </c>
      <c r="F911" s="9" t="s">
        <v>334</v>
      </c>
      <c r="G911" s="9" t="s">
        <v>306</v>
      </c>
      <c r="H911" s="10">
        <v>-210177.16</v>
      </c>
      <c r="I911" s="10">
        <v>-115812.95</v>
      </c>
      <c r="J911" s="10">
        <v>-125749.75999999999</v>
      </c>
      <c r="K911" s="10">
        <v>-152455.19</v>
      </c>
      <c r="L911" s="10">
        <v>-126670.73</v>
      </c>
      <c r="M911" s="10">
        <v>-510686.81</v>
      </c>
      <c r="N911" s="10">
        <v>-129895.22</v>
      </c>
      <c r="O911" s="10">
        <v>-141552.67000000001</v>
      </c>
      <c r="P911" s="10">
        <v>-136518.85999999999</v>
      </c>
      <c r="Q911" s="10">
        <v>-119573.54</v>
      </c>
      <c r="R911" s="10">
        <v>-1769092.89</v>
      </c>
    </row>
    <row r="912" spans="1:18" ht="12.75" x14ac:dyDescent="0.2">
      <c r="A912" s="9" t="s">
        <v>332</v>
      </c>
      <c r="B912" s="9" t="s">
        <v>239</v>
      </c>
      <c r="C912" s="9" t="s">
        <v>306</v>
      </c>
      <c r="D912" s="9" t="s">
        <v>96</v>
      </c>
      <c r="E912" s="9" t="s">
        <v>285</v>
      </c>
      <c r="F912" s="9" t="s">
        <v>334</v>
      </c>
      <c r="G912" s="9" t="s">
        <v>306</v>
      </c>
      <c r="H912" s="10">
        <v>-210177.16</v>
      </c>
      <c r="I912" s="10">
        <v>-115812.95</v>
      </c>
      <c r="J912" s="10">
        <v>-125749.75999999999</v>
      </c>
      <c r="K912" s="10">
        <v>-152455.19</v>
      </c>
      <c r="L912" s="10">
        <v>-126670.73</v>
      </c>
      <c r="M912" s="10">
        <v>-510686.81</v>
      </c>
      <c r="N912" s="10">
        <v>-129895.22</v>
      </c>
      <c r="O912" s="10">
        <v>-141552.67000000001</v>
      </c>
      <c r="P912" s="10">
        <v>-136518.85999999999</v>
      </c>
      <c r="Q912" s="10">
        <v>-119573.54</v>
      </c>
      <c r="R912" s="10">
        <v>-1769092.89</v>
      </c>
    </row>
    <row r="913" spans="1:18" ht="12.75" x14ac:dyDescent="0.2">
      <c r="A913" s="9" t="s">
        <v>332</v>
      </c>
      <c r="B913" s="9" t="s">
        <v>239</v>
      </c>
      <c r="C913" s="9" t="s">
        <v>306</v>
      </c>
      <c r="D913" s="9" t="s">
        <v>96</v>
      </c>
      <c r="E913" s="9" t="s">
        <v>286</v>
      </c>
      <c r="F913" s="9" t="s">
        <v>334</v>
      </c>
      <c r="G913" s="9" t="s">
        <v>306</v>
      </c>
      <c r="H913" s="10">
        <v>-210177.16</v>
      </c>
      <c r="I913" s="10">
        <v>-115812.95</v>
      </c>
      <c r="J913" s="10">
        <v>-125749.75999999999</v>
      </c>
      <c r="K913" s="10">
        <v>-152455.19</v>
      </c>
      <c r="L913" s="10">
        <v>-126670.73</v>
      </c>
      <c r="M913" s="10">
        <v>-510686.81</v>
      </c>
      <c r="N913" s="10">
        <v>-129895.22</v>
      </c>
      <c r="O913" s="10">
        <v>-141552.67000000001</v>
      </c>
      <c r="P913" s="10">
        <v>-136518.85999999999</v>
      </c>
      <c r="Q913" s="10">
        <v>-119573.54</v>
      </c>
      <c r="R913" s="10">
        <v>-1769092.89</v>
      </c>
    </row>
    <row r="914" spans="1:18" ht="12.75" x14ac:dyDescent="0.2">
      <c r="A914" s="9" t="s">
        <v>332</v>
      </c>
      <c r="B914" s="9" t="s">
        <v>239</v>
      </c>
      <c r="C914" s="9" t="s">
        <v>306</v>
      </c>
      <c r="D914" s="9" t="s">
        <v>112</v>
      </c>
      <c r="E914" s="9" t="s">
        <v>288</v>
      </c>
      <c r="F914" s="9" t="s">
        <v>334</v>
      </c>
      <c r="G914" s="9" t="s">
        <v>306</v>
      </c>
      <c r="H914" s="10">
        <v>-1001098.54</v>
      </c>
      <c r="I914" s="10">
        <v>-1030609.45</v>
      </c>
      <c r="J914" s="10">
        <v>-1090757.67</v>
      </c>
      <c r="K914" s="10">
        <v>-1160126.92</v>
      </c>
      <c r="L914" s="10">
        <v>-1154350.4099999999</v>
      </c>
      <c r="M914" s="10">
        <v>-1195940.69</v>
      </c>
      <c r="N914" s="10">
        <v>-1116125.6299999999</v>
      </c>
      <c r="O914" s="10">
        <v>-1167414.8500000001</v>
      </c>
      <c r="P914" s="10">
        <v>-1193148.31</v>
      </c>
      <c r="Q914" s="10">
        <v>-1122442.6200000001</v>
      </c>
      <c r="R914" s="10">
        <v>-11232015.09</v>
      </c>
    </row>
    <row r="915" spans="1:18" ht="12.75" x14ac:dyDescent="0.2">
      <c r="A915" s="9" t="s">
        <v>332</v>
      </c>
      <c r="B915" s="9" t="s">
        <v>239</v>
      </c>
      <c r="C915" s="9" t="s">
        <v>306</v>
      </c>
      <c r="D915" s="9" t="s">
        <v>112</v>
      </c>
      <c r="E915" s="9" t="s">
        <v>289</v>
      </c>
      <c r="F915" s="9" t="s">
        <v>334</v>
      </c>
      <c r="G915" s="9" t="s">
        <v>306</v>
      </c>
      <c r="H915" s="10">
        <v>-1001098.54</v>
      </c>
      <c r="I915" s="10">
        <v>-1030609.45</v>
      </c>
      <c r="J915" s="10">
        <v>-1090757.67</v>
      </c>
      <c r="K915" s="10">
        <v>-1160126.92</v>
      </c>
      <c r="L915" s="10">
        <v>-1154350.4099999999</v>
      </c>
      <c r="M915" s="10">
        <v>-1195940.69</v>
      </c>
      <c r="N915" s="10">
        <v>-1116125.6299999999</v>
      </c>
      <c r="O915" s="10">
        <v>-1167414.8500000001</v>
      </c>
      <c r="P915" s="10">
        <v>-1193148.31</v>
      </c>
      <c r="Q915" s="10">
        <v>-1122442.6200000001</v>
      </c>
      <c r="R915" s="10">
        <v>-11232015.09</v>
      </c>
    </row>
    <row r="916" spans="1:18" ht="12.75" x14ac:dyDescent="0.2">
      <c r="A916" s="9" t="s">
        <v>332</v>
      </c>
      <c r="B916" s="9" t="s">
        <v>239</v>
      </c>
      <c r="C916" s="9" t="s">
        <v>306</v>
      </c>
      <c r="D916" s="9" t="s">
        <v>112</v>
      </c>
      <c r="E916" s="9" t="s">
        <v>290</v>
      </c>
      <c r="F916" s="9" t="s">
        <v>334</v>
      </c>
      <c r="G916" s="9" t="s">
        <v>306</v>
      </c>
      <c r="H916" s="10">
        <v>-1001098.54</v>
      </c>
      <c r="I916" s="10">
        <v>-1030609.45</v>
      </c>
      <c r="J916" s="10">
        <v>-1090757.67</v>
      </c>
      <c r="K916" s="10">
        <v>-1160126.92</v>
      </c>
      <c r="L916" s="10">
        <v>-1154350.4099999999</v>
      </c>
      <c r="M916" s="10">
        <v>-1195940.69</v>
      </c>
      <c r="N916" s="10">
        <v>-1116125.6299999999</v>
      </c>
      <c r="O916" s="10">
        <v>-1167414.8500000001</v>
      </c>
      <c r="P916" s="10">
        <v>-1193148.31</v>
      </c>
      <c r="Q916" s="10">
        <v>-1122442.6200000001</v>
      </c>
      <c r="R916" s="10">
        <v>-11232015.09</v>
      </c>
    </row>
    <row r="917" spans="1:18" ht="12.75" x14ac:dyDescent="0.2">
      <c r="A917" s="9" t="s">
        <v>332</v>
      </c>
      <c r="B917" s="9" t="s">
        <v>239</v>
      </c>
      <c r="C917" s="9" t="s">
        <v>306</v>
      </c>
      <c r="D917" s="9" t="s">
        <v>112</v>
      </c>
      <c r="E917" s="9" t="s">
        <v>291</v>
      </c>
      <c r="F917" s="9" t="s">
        <v>334</v>
      </c>
      <c r="G917" s="9" t="s">
        <v>306</v>
      </c>
      <c r="H917" s="10">
        <v>-1001098.54</v>
      </c>
      <c r="I917" s="10">
        <v>-1030609.45</v>
      </c>
      <c r="J917" s="10">
        <v>-1090757.67</v>
      </c>
      <c r="K917" s="10">
        <v>-1160126.92</v>
      </c>
      <c r="L917" s="10">
        <v>-1154350.4099999999</v>
      </c>
      <c r="M917" s="10">
        <v>-1195940.69</v>
      </c>
      <c r="N917" s="10">
        <v>-1116125.6299999999</v>
      </c>
      <c r="O917" s="10">
        <v>-1167414.8500000001</v>
      </c>
      <c r="P917" s="10">
        <v>-1193148.31</v>
      </c>
      <c r="Q917" s="10">
        <v>-1122442.6200000001</v>
      </c>
      <c r="R917" s="10">
        <v>-11232015.09</v>
      </c>
    </row>
    <row r="918" spans="1:18" ht="12.75" x14ac:dyDescent="0.2">
      <c r="A918" s="9" t="s">
        <v>332</v>
      </c>
      <c r="B918" s="9" t="s">
        <v>239</v>
      </c>
      <c r="C918" s="9" t="s">
        <v>306</v>
      </c>
      <c r="D918" s="9" t="s">
        <v>112</v>
      </c>
      <c r="E918" s="9" t="s">
        <v>292</v>
      </c>
      <c r="F918" s="9" t="s">
        <v>334</v>
      </c>
      <c r="G918" s="9" t="s">
        <v>306</v>
      </c>
      <c r="H918" s="10">
        <v>-1001098.54</v>
      </c>
      <c r="I918" s="10">
        <v>-1030609.45</v>
      </c>
      <c r="J918" s="10">
        <v>-1090757.67</v>
      </c>
      <c r="K918" s="10">
        <v>-1160126.92</v>
      </c>
      <c r="L918" s="10">
        <v>-1154350.4099999999</v>
      </c>
      <c r="M918" s="10">
        <v>-1195940.69</v>
      </c>
      <c r="N918" s="10">
        <v>-1116125.6299999999</v>
      </c>
      <c r="O918" s="10">
        <v>-1167414.8500000001</v>
      </c>
      <c r="P918" s="10">
        <v>-1193148.31</v>
      </c>
      <c r="Q918" s="10">
        <v>-1122442.6200000001</v>
      </c>
      <c r="R918" s="10">
        <v>-11232015.09</v>
      </c>
    </row>
    <row r="919" spans="1:18" ht="12.75" x14ac:dyDescent="0.2">
      <c r="A919" s="9" t="s">
        <v>332</v>
      </c>
      <c r="B919" s="9" t="s">
        <v>239</v>
      </c>
      <c r="C919" s="9" t="s">
        <v>306</v>
      </c>
      <c r="D919" s="9" t="s">
        <v>112</v>
      </c>
      <c r="E919" s="9" t="s">
        <v>293</v>
      </c>
      <c r="F919" s="9" t="s">
        <v>334</v>
      </c>
      <c r="G919" s="9" t="s">
        <v>306</v>
      </c>
      <c r="H919" s="10">
        <v>-1001098.54</v>
      </c>
      <c r="I919" s="10">
        <v>-1030609.45</v>
      </c>
      <c r="J919" s="10">
        <v>-1090757.67</v>
      </c>
      <c r="K919" s="10">
        <v>-1160126.92</v>
      </c>
      <c r="L919" s="10">
        <v>-1154350.4099999999</v>
      </c>
      <c r="M919" s="10">
        <v>-1195940.69</v>
      </c>
      <c r="N919" s="10">
        <v>-1116125.6299999999</v>
      </c>
      <c r="O919" s="10">
        <v>-1167414.8500000001</v>
      </c>
      <c r="P919" s="10">
        <v>-1193148.31</v>
      </c>
      <c r="Q919" s="10">
        <v>-1122442.6200000001</v>
      </c>
      <c r="R919" s="10">
        <v>-11232015.09</v>
      </c>
    </row>
    <row r="920" spans="1:18" ht="12.75" x14ac:dyDescent="0.2">
      <c r="A920" s="9" t="s">
        <v>332</v>
      </c>
      <c r="B920" s="9" t="s">
        <v>239</v>
      </c>
      <c r="C920" s="9" t="s">
        <v>306</v>
      </c>
      <c r="D920" s="9" t="s">
        <v>112</v>
      </c>
      <c r="E920" s="9" t="s">
        <v>294</v>
      </c>
      <c r="F920" s="9" t="s">
        <v>334</v>
      </c>
      <c r="G920" s="9" t="s">
        <v>306</v>
      </c>
      <c r="H920" s="10">
        <v>-1001098.54</v>
      </c>
      <c r="I920" s="10">
        <v>-1030609.45</v>
      </c>
      <c r="J920" s="10">
        <v>-1090757.67</v>
      </c>
      <c r="K920" s="10">
        <v>-1160126.92</v>
      </c>
      <c r="L920" s="10">
        <v>-1154350.4099999999</v>
      </c>
      <c r="M920" s="10">
        <v>-1195940.69</v>
      </c>
      <c r="N920" s="10">
        <v>-1116125.6299999999</v>
      </c>
      <c r="O920" s="10">
        <v>-1167414.8500000001</v>
      </c>
      <c r="P920" s="10">
        <v>-1193148.31</v>
      </c>
      <c r="Q920" s="10">
        <v>-1122442.6200000001</v>
      </c>
      <c r="R920" s="10">
        <v>-11232015.09</v>
      </c>
    </row>
    <row r="921" spans="1:18" ht="12.75" x14ac:dyDescent="0.2">
      <c r="A921" s="9" t="s">
        <v>332</v>
      </c>
      <c r="B921" s="9" t="s">
        <v>239</v>
      </c>
      <c r="C921" s="9" t="s">
        <v>306</v>
      </c>
      <c r="D921" s="9" t="s">
        <v>112</v>
      </c>
      <c r="E921" s="9" t="s">
        <v>295</v>
      </c>
      <c r="F921" s="9" t="s">
        <v>334</v>
      </c>
      <c r="G921" s="9" t="s">
        <v>306</v>
      </c>
      <c r="H921" s="10">
        <v>-1001098.54</v>
      </c>
      <c r="I921" s="10">
        <v>-1030609.45</v>
      </c>
      <c r="J921" s="10">
        <v>-1090757.67</v>
      </c>
      <c r="K921" s="10">
        <v>-1160126.92</v>
      </c>
      <c r="L921" s="10">
        <v>-1154350.4099999999</v>
      </c>
      <c r="M921" s="10">
        <v>-1195940.69</v>
      </c>
      <c r="N921" s="10">
        <v>-1116125.6299999999</v>
      </c>
      <c r="O921" s="10">
        <v>-1167414.8500000001</v>
      </c>
      <c r="P921" s="10">
        <v>-1193148.31</v>
      </c>
      <c r="Q921" s="10">
        <v>-1122442.6200000001</v>
      </c>
      <c r="R921" s="10">
        <v>-11232015.09</v>
      </c>
    </row>
    <row r="922" spans="1:18" ht="12.75" x14ac:dyDescent="0.2">
      <c r="A922" s="9" t="s">
        <v>332</v>
      </c>
      <c r="B922" s="9" t="s">
        <v>239</v>
      </c>
      <c r="C922" s="9" t="s">
        <v>306</v>
      </c>
      <c r="D922" s="9" t="s">
        <v>112</v>
      </c>
      <c r="E922" s="9" t="s">
        <v>296</v>
      </c>
      <c r="F922" s="9" t="s">
        <v>334</v>
      </c>
      <c r="G922" s="9" t="s">
        <v>306</v>
      </c>
      <c r="H922" s="10">
        <v>-1001098.54</v>
      </c>
      <c r="I922" s="10">
        <v>-1030609.45</v>
      </c>
      <c r="J922" s="10">
        <v>-1090757.67</v>
      </c>
      <c r="K922" s="10">
        <v>-1160126.92</v>
      </c>
      <c r="L922" s="10">
        <v>-1154350.4099999999</v>
      </c>
      <c r="M922" s="10">
        <v>-1195940.69</v>
      </c>
      <c r="N922" s="10">
        <v>-1116125.6299999999</v>
      </c>
      <c r="O922" s="10">
        <v>-1167414.8500000001</v>
      </c>
      <c r="P922" s="10">
        <v>-1193148.31</v>
      </c>
      <c r="Q922" s="10">
        <v>-1122442.6200000001</v>
      </c>
      <c r="R922" s="10">
        <v>-11232015.09</v>
      </c>
    </row>
    <row r="923" spans="1:18" ht="12.75" x14ac:dyDescent="0.2">
      <c r="A923" s="9" t="s">
        <v>332</v>
      </c>
      <c r="B923" s="9" t="s">
        <v>239</v>
      </c>
      <c r="C923" s="9" t="s">
        <v>306</v>
      </c>
      <c r="D923" s="9" t="s">
        <v>112</v>
      </c>
      <c r="E923" s="9" t="s">
        <v>297</v>
      </c>
      <c r="F923" s="9" t="s">
        <v>334</v>
      </c>
      <c r="G923" s="9" t="s">
        <v>306</v>
      </c>
      <c r="H923" s="10">
        <v>-1001098.54</v>
      </c>
      <c r="I923" s="10">
        <v>-1030609.45</v>
      </c>
      <c r="J923" s="10">
        <v>-1090757.67</v>
      </c>
      <c r="K923" s="10">
        <v>-1160126.92</v>
      </c>
      <c r="L923" s="10">
        <v>-1154350.4099999999</v>
      </c>
      <c r="M923" s="10">
        <v>-1195940.69</v>
      </c>
      <c r="N923" s="10">
        <v>-1116125.6299999999</v>
      </c>
      <c r="O923" s="10">
        <v>-1167414.8500000001</v>
      </c>
      <c r="P923" s="10">
        <v>-1193148.31</v>
      </c>
      <c r="Q923" s="10">
        <v>-1122442.6200000001</v>
      </c>
      <c r="R923" s="10">
        <v>-11232015.09</v>
      </c>
    </row>
    <row r="924" spans="1:18" ht="12.75" x14ac:dyDescent="0.2">
      <c r="A924" s="9" t="s">
        <v>332</v>
      </c>
      <c r="B924" s="9" t="s">
        <v>239</v>
      </c>
      <c r="C924" s="9" t="s">
        <v>306</v>
      </c>
      <c r="D924" s="9" t="s">
        <v>112</v>
      </c>
      <c r="E924" s="9" t="s">
        <v>298</v>
      </c>
      <c r="F924" s="9" t="s">
        <v>334</v>
      </c>
      <c r="G924" s="9" t="s">
        <v>306</v>
      </c>
      <c r="H924" s="10">
        <v>-1001098.54</v>
      </c>
      <c r="I924" s="10">
        <v>-1030609.45</v>
      </c>
      <c r="J924" s="10">
        <v>-1090757.67</v>
      </c>
      <c r="K924" s="10">
        <v>-1160126.92</v>
      </c>
      <c r="L924" s="10">
        <v>-1154350.4099999999</v>
      </c>
      <c r="M924" s="10">
        <v>-1195940.69</v>
      </c>
      <c r="N924" s="10">
        <v>-1116125.6299999999</v>
      </c>
      <c r="O924" s="10">
        <v>-1167414.8500000001</v>
      </c>
      <c r="P924" s="10">
        <v>-1193148.31</v>
      </c>
      <c r="Q924" s="10">
        <v>-1122442.6200000001</v>
      </c>
      <c r="R924" s="10">
        <v>-11232015.09</v>
      </c>
    </row>
    <row r="925" spans="1:18" ht="12.75" x14ac:dyDescent="0.2">
      <c r="A925" s="9" t="s">
        <v>335</v>
      </c>
      <c r="B925" s="9" t="s">
        <v>239</v>
      </c>
      <c r="C925" s="9" t="s">
        <v>306</v>
      </c>
      <c r="D925" s="9" t="s">
        <v>112</v>
      </c>
      <c r="E925" s="9" t="s">
        <v>299</v>
      </c>
      <c r="F925" s="9" t="s">
        <v>334</v>
      </c>
      <c r="G925" s="9" t="s">
        <v>306</v>
      </c>
      <c r="H925" s="10">
        <v>-461851.95</v>
      </c>
      <c r="I925" s="10">
        <v>-471898.74</v>
      </c>
      <c r="J925" s="10">
        <v>-480684.15</v>
      </c>
      <c r="K925" s="10">
        <v>-464794.07</v>
      </c>
      <c r="L925" s="10">
        <v>-455169.28000000003</v>
      </c>
      <c r="M925" s="10">
        <v>-465675.29</v>
      </c>
      <c r="N925" s="10">
        <v>-476524.72</v>
      </c>
      <c r="O925" s="10">
        <v>-438382.41</v>
      </c>
      <c r="P925" s="10">
        <v>-509123.62</v>
      </c>
      <c r="Q925" s="10">
        <v>-504919.68</v>
      </c>
      <c r="R925" s="10">
        <v>-4729023.91</v>
      </c>
    </row>
    <row r="926" spans="1:18" ht="12.75" x14ac:dyDescent="0.2">
      <c r="A926" s="9" t="s">
        <v>332</v>
      </c>
      <c r="B926" s="9" t="s">
        <v>239</v>
      </c>
      <c r="C926" s="9" t="s">
        <v>306</v>
      </c>
      <c r="D926" s="9" t="s">
        <v>112</v>
      </c>
      <c r="E926" s="9" t="s">
        <v>300</v>
      </c>
      <c r="F926" s="9" t="s">
        <v>334</v>
      </c>
      <c r="G926" s="9" t="s">
        <v>306</v>
      </c>
      <c r="H926" s="10">
        <v>-1001098.54</v>
      </c>
      <c r="I926" s="10">
        <v>-1030609.45</v>
      </c>
      <c r="J926" s="10">
        <v>-1090757.67</v>
      </c>
      <c r="K926" s="10">
        <v>-1160126.92</v>
      </c>
      <c r="L926" s="10">
        <v>-1154350.4099999999</v>
      </c>
      <c r="M926" s="10">
        <v>-1195940.69</v>
      </c>
      <c r="N926" s="10">
        <v>-1116125.6299999999</v>
      </c>
      <c r="O926" s="10">
        <v>-1167414.8500000001</v>
      </c>
      <c r="P926" s="10">
        <v>-1193148.31</v>
      </c>
      <c r="Q926" s="10">
        <v>-1122442.6200000001</v>
      </c>
      <c r="R926" s="10">
        <v>-11232015.09</v>
      </c>
    </row>
    <row r="927" spans="1:18" ht="12.75" x14ac:dyDescent="0.2">
      <c r="A927" s="9" t="s">
        <v>332</v>
      </c>
      <c r="B927" s="9" t="s">
        <v>239</v>
      </c>
      <c r="C927" s="9" t="s">
        <v>306</v>
      </c>
      <c r="D927" s="9" t="s">
        <v>112</v>
      </c>
      <c r="E927" s="9" t="s">
        <v>301</v>
      </c>
      <c r="F927" s="9" t="s">
        <v>334</v>
      </c>
      <c r="G927" s="9" t="s">
        <v>306</v>
      </c>
      <c r="H927" s="10">
        <v>-1001098.54</v>
      </c>
      <c r="I927" s="10">
        <v>-1030609.45</v>
      </c>
      <c r="J927" s="10">
        <v>-1090757.67</v>
      </c>
      <c r="K927" s="10">
        <v>-1160126.92</v>
      </c>
      <c r="L927" s="10">
        <v>-1154350.4099999999</v>
      </c>
      <c r="M927" s="10">
        <v>-1195940.69</v>
      </c>
      <c r="N927" s="10">
        <v>-1116125.6299999999</v>
      </c>
      <c r="O927" s="10">
        <v>-1167414.8500000001</v>
      </c>
      <c r="P927" s="10">
        <v>-1193148.31</v>
      </c>
      <c r="Q927" s="10">
        <v>-1122442.6200000001</v>
      </c>
      <c r="R927" s="10">
        <v>-11232015.09</v>
      </c>
    </row>
    <row r="928" spans="1:18" ht="12.75" x14ac:dyDescent="0.2">
      <c r="A928" s="9" t="s">
        <v>335</v>
      </c>
      <c r="B928" s="9" t="s">
        <v>239</v>
      </c>
      <c r="C928" s="9" t="s">
        <v>306</v>
      </c>
      <c r="D928" s="9" t="s">
        <v>112</v>
      </c>
      <c r="E928" s="9" t="s">
        <v>302</v>
      </c>
      <c r="F928" s="9" t="s">
        <v>334</v>
      </c>
      <c r="G928" s="9" t="s">
        <v>306</v>
      </c>
      <c r="H928" s="10">
        <v>-461851.95</v>
      </c>
      <c r="I928" s="10">
        <v>-471898.74</v>
      </c>
      <c r="J928" s="10">
        <v>-480684.15</v>
      </c>
      <c r="K928" s="10">
        <v>-464794.07</v>
      </c>
      <c r="L928" s="10">
        <v>-455169.28000000003</v>
      </c>
      <c r="M928" s="10">
        <v>-465675.29</v>
      </c>
      <c r="N928" s="10">
        <v>-476524.72</v>
      </c>
      <c r="O928" s="10">
        <v>-438382.41</v>
      </c>
      <c r="P928" s="10">
        <v>-509123.62</v>
      </c>
      <c r="Q928" s="10">
        <v>-504919.68</v>
      </c>
      <c r="R928" s="10">
        <v>-4729023.91</v>
      </c>
    </row>
    <row r="929" spans="1:18" ht="12.75" x14ac:dyDescent="0.2">
      <c r="A929" s="9" t="s">
        <v>332</v>
      </c>
      <c r="B929" s="9" t="s">
        <v>239</v>
      </c>
      <c r="C929" s="9" t="s">
        <v>306</v>
      </c>
      <c r="D929" s="9" t="s">
        <v>74</v>
      </c>
      <c r="E929" s="9" t="s">
        <v>303</v>
      </c>
      <c r="F929" s="9" t="s">
        <v>334</v>
      </c>
      <c r="G929" s="9" t="s">
        <v>306</v>
      </c>
      <c r="H929" s="10">
        <v>-1808910.59</v>
      </c>
      <c r="I929" s="10">
        <v>-1662906.16</v>
      </c>
      <c r="J929" s="10">
        <v>-1853941.51</v>
      </c>
      <c r="K929" s="10">
        <v>-1899931.65</v>
      </c>
      <c r="L929" s="10">
        <v>-1960182.08</v>
      </c>
      <c r="M929" s="10">
        <v>-1857141.9</v>
      </c>
      <c r="N929" s="10">
        <v>-1793676.52</v>
      </c>
      <c r="O929" s="10">
        <v>-1881168.41</v>
      </c>
      <c r="P929" s="10">
        <v>-1940172.92</v>
      </c>
      <c r="Q929" s="10">
        <v>-1872439.88</v>
      </c>
      <c r="R929" s="10">
        <v>-18530471.620000001</v>
      </c>
    </row>
    <row r="930" spans="1:18" ht="12.75" x14ac:dyDescent="0.2">
      <c r="A930" s="9" t="s">
        <v>335</v>
      </c>
      <c r="B930" s="9" t="s">
        <v>239</v>
      </c>
      <c r="C930" s="9" t="s">
        <v>306</v>
      </c>
      <c r="D930" s="9" t="s">
        <v>74</v>
      </c>
      <c r="E930" s="9" t="s">
        <v>303</v>
      </c>
      <c r="F930" s="9" t="s">
        <v>334</v>
      </c>
      <c r="G930" s="9" t="s">
        <v>306</v>
      </c>
      <c r="H930" s="10">
        <v>-2121439.71</v>
      </c>
      <c r="I930" s="10">
        <v>-1975029.41</v>
      </c>
      <c r="J930" s="10">
        <v>-2135462.58</v>
      </c>
      <c r="K930" s="10">
        <v>-2020795.13</v>
      </c>
      <c r="L930" s="10">
        <v>-2060745.75</v>
      </c>
      <c r="M930" s="10">
        <v>-2046500.47</v>
      </c>
      <c r="N930" s="10">
        <v>-2186122.1</v>
      </c>
      <c r="O930" s="10">
        <v>-2011325.71</v>
      </c>
      <c r="P930" s="10">
        <v>-2067023.09</v>
      </c>
      <c r="Q930" s="10">
        <v>-2206290.88</v>
      </c>
      <c r="R930" s="10">
        <v>-20830734.829999998</v>
      </c>
    </row>
    <row r="931" spans="1:18" ht="12.75" x14ac:dyDescent="0.2">
      <c r="A931" s="9" t="s">
        <v>335</v>
      </c>
      <c r="B931" s="9" t="s">
        <v>239</v>
      </c>
      <c r="C931" s="9" t="s">
        <v>306</v>
      </c>
      <c r="D931" s="9" t="s">
        <v>74</v>
      </c>
      <c r="E931" s="9" t="s">
        <v>248</v>
      </c>
      <c r="F931" s="9" t="s">
        <v>334</v>
      </c>
      <c r="G931" s="9" t="s">
        <v>306</v>
      </c>
      <c r="H931" s="10">
        <v>-2121439.71</v>
      </c>
      <c r="I931" s="10">
        <v>-1975029.41</v>
      </c>
      <c r="J931" s="10">
        <v>-2135462.58</v>
      </c>
      <c r="K931" s="10">
        <v>-2020795.13</v>
      </c>
      <c r="L931" s="10">
        <v>-2060745.75</v>
      </c>
      <c r="M931" s="10">
        <v>-2046500.47</v>
      </c>
      <c r="N931" s="10">
        <v>-2186122.1</v>
      </c>
      <c r="O931" s="10">
        <v>-2011325.71</v>
      </c>
      <c r="P931" s="10">
        <v>-2067023.09</v>
      </c>
      <c r="Q931" s="10">
        <v>-2206290.88</v>
      </c>
      <c r="R931" s="10">
        <v>-20830734.829999998</v>
      </c>
    </row>
    <row r="932" spans="1:18" ht="12.75" x14ac:dyDescent="0.2">
      <c r="A932" s="9" t="s">
        <v>335</v>
      </c>
      <c r="B932" s="9" t="s">
        <v>239</v>
      </c>
      <c r="C932" s="9" t="s">
        <v>306</v>
      </c>
      <c r="D932" s="9" t="s">
        <v>74</v>
      </c>
      <c r="E932" s="9" t="s">
        <v>249</v>
      </c>
      <c r="F932" s="9" t="s">
        <v>334</v>
      </c>
      <c r="G932" s="9" t="s">
        <v>306</v>
      </c>
      <c r="H932" s="10">
        <v>-2121439.71</v>
      </c>
      <c r="I932" s="10">
        <v>-1975029.41</v>
      </c>
      <c r="J932" s="10">
        <v>-2135462.58</v>
      </c>
      <c r="K932" s="10">
        <v>-2020795.13</v>
      </c>
      <c r="L932" s="10">
        <v>-2060745.75</v>
      </c>
      <c r="M932" s="10">
        <v>-2046500.47</v>
      </c>
      <c r="N932" s="10">
        <v>-2186122.1</v>
      </c>
      <c r="O932" s="10">
        <v>-2011325.71</v>
      </c>
      <c r="P932" s="10">
        <v>-2067023.09</v>
      </c>
      <c r="Q932" s="10">
        <v>-2206290.88</v>
      </c>
      <c r="R932" s="10">
        <v>-20830734.829999998</v>
      </c>
    </row>
    <row r="933" spans="1:18" ht="12.75" x14ac:dyDescent="0.2">
      <c r="A933" s="9" t="s">
        <v>335</v>
      </c>
      <c r="B933" s="9" t="s">
        <v>239</v>
      </c>
      <c r="C933" s="9" t="s">
        <v>306</v>
      </c>
      <c r="D933" s="9" t="s">
        <v>52</v>
      </c>
      <c r="E933" s="9" t="s">
        <v>253</v>
      </c>
      <c r="F933" s="9" t="s">
        <v>334</v>
      </c>
      <c r="G933" s="9" t="s">
        <v>306</v>
      </c>
      <c r="H933" s="10">
        <v>-1621446.06</v>
      </c>
      <c r="I933" s="10">
        <v>-1586288.77</v>
      </c>
      <c r="J933" s="10">
        <v>-1678483.68</v>
      </c>
      <c r="K933" s="10">
        <v>-1645175.31</v>
      </c>
      <c r="L933" s="10">
        <v>-1678014.99</v>
      </c>
      <c r="M933" s="10">
        <v>-1787603.68</v>
      </c>
      <c r="N933" s="10">
        <v>-1699312.92</v>
      </c>
      <c r="O933" s="10">
        <v>-1687304.66</v>
      </c>
      <c r="P933" s="10">
        <v>-1884367.37</v>
      </c>
      <c r="Q933" s="10">
        <v>-1881844.56</v>
      </c>
      <c r="R933" s="10">
        <v>-17149842</v>
      </c>
    </row>
    <row r="934" spans="1:18" ht="12.75" x14ac:dyDescent="0.2">
      <c r="A934" s="9" t="s">
        <v>335</v>
      </c>
      <c r="B934" s="9" t="s">
        <v>239</v>
      </c>
      <c r="C934" s="9" t="s">
        <v>306</v>
      </c>
      <c r="D934" s="9" t="s">
        <v>52</v>
      </c>
      <c r="E934" s="9" t="s">
        <v>267</v>
      </c>
      <c r="F934" s="9" t="s">
        <v>334</v>
      </c>
      <c r="G934" s="9" t="s">
        <v>306</v>
      </c>
      <c r="H934" s="10">
        <v>-1621446.06</v>
      </c>
      <c r="I934" s="10">
        <v>-1586288.77</v>
      </c>
      <c r="J934" s="10">
        <v>-1678483.68</v>
      </c>
      <c r="K934" s="10">
        <v>-1645175.31</v>
      </c>
      <c r="L934" s="10">
        <v>-1678014.99</v>
      </c>
      <c r="M934" s="10">
        <v>-1787603.68</v>
      </c>
      <c r="N934" s="10">
        <v>-1699312.92</v>
      </c>
      <c r="O934" s="10">
        <v>-1687304.66</v>
      </c>
      <c r="P934" s="10">
        <v>-1884367.37</v>
      </c>
      <c r="Q934" s="10">
        <v>-1881844.56</v>
      </c>
      <c r="R934" s="10">
        <v>-17149842</v>
      </c>
    </row>
    <row r="935" spans="1:18" ht="12.75" x14ac:dyDescent="0.2">
      <c r="A935" s="9" t="s">
        <v>335</v>
      </c>
      <c r="B935" s="9" t="s">
        <v>239</v>
      </c>
      <c r="C935" s="9" t="s">
        <v>306</v>
      </c>
      <c r="D935" s="9" t="s">
        <v>52</v>
      </c>
      <c r="E935" s="9" t="s">
        <v>268</v>
      </c>
      <c r="F935" s="9" t="s">
        <v>334</v>
      </c>
      <c r="G935" s="9" t="s">
        <v>306</v>
      </c>
      <c r="H935" s="10">
        <v>-1621446.06</v>
      </c>
      <c r="I935" s="10">
        <v>-1586288.77</v>
      </c>
      <c r="J935" s="10">
        <v>-1678483.68</v>
      </c>
      <c r="K935" s="10">
        <v>-1645175.31</v>
      </c>
      <c r="L935" s="10">
        <v>-1678014.99</v>
      </c>
      <c r="M935" s="10">
        <v>-1787603.68</v>
      </c>
      <c r="N935" s="10">
        <v>-1699312.92</v>
      </c>
      <c r="O935" s="10">
        <v>-1687304.66</v>
      </c>
      <c r="P935" s="10">
        <v>-1884367.37</v>
      </c>
      <c r="Q935" s="10">
        <v>-1881844.56</v>
      </c>
      <c r="R935" s="10">
        <v>-17149842</v>
      </c>
    </row>
    <row r="936" spans="1:18" ht="12.75" x14ac:dyDescent="0.2">
      <c r="A936" s="9" t="s">
        <v>332</v>
      </c>
      <c r="B936" s="9" t="s">
        <v>239</v>
      </c>
      <c r="C936" s="9" t="s">
        <v>306</v>
      </c>
      <c r="D936" s="9" t="s">
        <v>52</v>
      </c>
      <c r="E936" s="9" t="s">
        <v>304</v>
      </c>
      <c r="F936" s="9" t="s">
        <v>334</v>
      </c>
      <c r="G936" s="9" t="s">
        <v>306</v>
      </c>
      <c r="H936" s="10">
        <v>-312610.90999999997</v>
      </c>
      <c r="I936" s="10">
        <v>-238008.16</v>
      </c>
      <c r="J936" s="10">
        <v>-261743.43</v>
      </c>
      <c r="K936" s="10">
        <v>-287323.17</v>
      </c>
      <c r="L936" s="10">
        <v>-281558.02</v>
      </c>
      <c r="M936" s="10">
        <v>-287041.12</v>
      </c>
      <c r="N936" s="10">
        <v>-272095.45</v>
      </c>
      <c r="O936" s="10">
        <v>-290512.83</v>
      </c>
      <c r="P936" s="10">
        <v>-310719.78000000003</v>
      </c>
      <c r="Q936" s="10">
        <v>-328557.21999999997</v>
      </c>
      <c r="R936" s="10">
        <v>-2870170.09</v>
      </c>
    </row>
    <row r="937" spans="1:18" ht="12.75" x14ac:dyDescent="0.2">
      <c r="A937" s="9" t="s">
        <v>332</v>
      </c>
      <c r="B937" s="9" t="s">
        <v>239</v>
      </c>
      <c r="C937" s="9" t="s">
        <v>306</v>
      </c>
      <c r="D937" s="9" t="s">
        <v>52</v>
      </c>
      <c r="E937" s="9" t="s">
        <v>305</v>
      </c>
      <c r="F937" s="9" t="s">
        <v>334</v>
      </c>
      <c r="G937" s="9" t="s">
        <v>306</v>
      </c>
      <c r="H937" s="10">
        <v>-312610.90999999997</v>
      </c>
      <c r="I937" s="10">
        <v>-238008.16</v>
      </c>
      <c r="J937" s="10">
        <v>-261743.43</v>
      </c>
      <c r="K937" s="10">
        <v>-287323.17</v>
      </c>
      <c r="L937" s="10">
        <v>-281558.02</v>
      </c>
      <c r="M937" s="10">
        <v>-287041.12</v>
      </c>
      <c r="N937" s="10">
        <v>-272095.45</v>
      </c>
      <c r="O937" s="10">
        <v>-290512.83</v>
      </c>
      <c r="P937" s="10">
        <v>-310719.78000000003</v>
      </c>
      <c r="Q937" s="10">
        <v>-328557.21999999997</v>
      </c>
      <c r="R937" s="10">
        <v>-2870170.09</v>
      </c>
    </row>
    <row r="938" spans="1:18" ht="12.75" x14ac:dyDescent="0.2">
      <c r="A938" s="9" t="s">
        <v>335</v>
      </c>
      <c r="B938" s="9" t="s">
        <v>239</v>
      </c>
      <c r="C938" s="9" t="s">
        <v>306</v>
      </c>
      <c r="D938" s="9" t="s">
        <v>87</v>
      </c>
      <c r="E938" s="9" t="s">
        <v>270</v>
      </c>
      <c r="F938" s="9" t="s">
        <v>334</v>
      </c>
      <c r="G938" s="9" t="s">
        <v>306</v>
      </c>
      <c r="H938" s="10">
        <v>-1218023.07</v>
      </c>
      <c r="I938" s="10">
        <v>-1203134.6399999999</v>
      </c>
      <c r="J938" s="10">
        <v>-1241001.58</v>
      </c>
      <c r="K938" s="10">
        <v>-1327805.43</v>
      </c>
      <c r="L938" s="10">
        <v>-1240426.04</v>
      </c>
      <c r="M938" s="10">
        <v>-1283513.99</v>
      </c>
      <c r="N938" s="10">
        <v>-1274558.1299999999</v>
      </c>
      <c r="O938" s="10">
        <v>-1202356.67</v>
      </c>
      <c r="P938" s="10">
        <v>-1277503.22</v>
      </c>
      <c r="Q938" s="10">
        <v>-1328415.5</v>
      </c>
      <c r="R938" s="10">
        <v>-12596738.27</v>
      </c>
    </row>
    <row r="939" spans="1:18" ht="12.75" x14ac:dyDescent="0.2">
      <c r="A939" s="9" t="s">
        <v>335</v>
      </c>
      <c r="B939" s="9" t="s">
        <v>239</v>
      </c>
      <c r="C939" s="9" t="s">
        <v>306</v>
      </c>
      <c r="D939" s="9" t="s">
        <v>87</v>
      </c>
      <c r="E939" s="9" t="s">
        <v>273</v>
      </c>
      <c r="F939" s="9" t="s">
        <v>334</v>
      </c>
      <c r="G939" s="9" t="s">
        <v>306</v>
      </c>
      <c r="H939" s="10">
        <v>-1218023.07</v>
      </c>
      <c r="I939" s="10">
        <v>-1203134.6399999999</v>
      </c>
      <c r="J939" s="10">
        <v>-1241001.58</v>
      </c>
      <c r="K939" s="10">
        <v>-1327805.43</v>
      </c>
      <c r="L939" s="10">
        <v>-1240426.04</v>
      </c>
      <c r="M939" s="10">
        <v>-1283513.99</v>
      </c>
      <c r="N939" s="10">
        <v>-1274558.1299999999</v>
      </c>
      <c r="O939" s="10">
        <v>-1202356.67</v>
      </c>
      <c r="P939" s="10">
        <v>-1277503.22</v>
      </c>
      <c r="Q939" s="10">
        <v>-1328415.5</v>
      </c>
      <c r="R939" s="10">
        <v>-12596738.27</v>
      </c>
    </row>
    <row r="940" spans="1:18" ht="12.75" x14ac:dyDescent="0.2">
      <c r="A940" s="9" t="s">
        <v>335</v>
      </c>
      <c r="B940" s="9" t="s">
        <v>239</v>
      </c>
      <c r="C940" s="9" t="s">
        <v>306</v>
      </c>
      <c r="D940" s="9" t="s">
        <v>87</v>
      </c>
      <c r="E940" s="9" t="s">
        <v>276</v>
      </c>
      <c r="F940" s="9" t="s">
        <v>334</v>
      </c>
      <c r="G940" s="9" t="s">
        <v>306</v>
      </c>
      <c r="H940" s="10">
        <v>-1218023.07</v>
      </c>
      <c r="I940" s="10">
        <v>-1203134.6399999999</v>
      </c>
      <c r="J940" s="10">
        <v>-1241001.58</v>
      </c>
      <c r="K940" s="10">
        <v>-1327805.43</v>
      </c>
      <c r="L940" s="10">
        <v>-1240426.04</v>
      </c>
      <c r="M940" s="10">
        <v>-1283513.99</v>
      </c>
      <c r="N940" s="10">
        <v>-1274558.1299999999</v>
      </c>
      <c r="O940" s="10">
        <v>-1202356.67</v>
      </c>
      <c r="P940" s="10">
        <v>-1277503.22</v>
      </c>
      <c r="Q940" s="10">
        <v>-1328415.5</v>
      </c>
      <c r="R940" s="10">
        <v>-12596738.27</v>
      </c>
    </row>
    <row r="941" spans="1:18" ht="12.75" x14ac:dyDescent="0.2">
      <c r="A941" s="9" t="s">
        <v>335</v>
      </c>
      <c r="B941" s="9" t="s">
        <v>239</v>
      </c>
      <c r="C941" s="9" t="s">
        <v>306</v>
      </c>
      <c r="D941" s="9" t="s">
        <v>87</v>
      </c>
      <c r="E941" s="9" t="s">
        <v>274</v>
      </c>
      <c r="F941" s="9" t="s">
        <v>334</v>
      </c>
      <c r="G941" s="9" t="s">
        <v>306</v>
      </c>
      <c r="H941" s="10">
        <v>-1218023.07</v>
      </c>
      <c r="I941" s="10">
        <v>-1203134.6399999999</v>
      </c>
      <c r="J941" s="10">
        <v>-1241001.58</v>
      </c>
      <c r="K941" s="10">
        <v>-1327805.43</v>
      </c>
      <c r="L941" s="10">
        <v>-1240426.04</v>
      </c>
      <c r="M941" s="10">
        <v>-1283513.99</v>
      </c>
      <c r="N941" s="10">
        <v>-1274558.1299999999</v>
      </c>
      <c r="O941" s="10">
        <v>-1202356.67</v>
      </c>
      <c r="P941" s="10">
        <v>-1277503.22</v>
      </c>
      <c r="Q941" s="10">
        <v>-1328415.5</v>
      </c>
      <c r="R941" s="10">
        <v>-12596738.27</v>
      </c>
    </row>
    <row r="942" spans="1:18" ht="12.75" x14ac:dyDescent="0.2">
      <c r="A942" s="9" t="s">
        <v>335</v>
      </c>
      <c r="B942" s="9" t="s">
        <v>239</v>
      </c>
      <c r="C942" s="9" t="s">
        <v>306</v>
      </c>
      <c r="D942" s="9" t="s">
        <v>96</v>
      </c>
      <c r="E942" s="9" t="s">
        <v>286</v>
      </c>
      <c r="F942" s="9" t="s">
        <v>334</v>
      </c>
      <c r="G942" s="9" t="s">
        <v>306</v>
      </c>
      <c r="H942" s="10">
        <v>-191603.84</v>
      </c>
      <c r="I942" s="10">
        <v>-222114.62</v>
      </c>
      <c r="J942" s="10">
        <v>-201734.88</v>
      </c>
      <c r="K942" s="10">
        <v>-233632.9</v>
      </c>
      <c r="L942" s="10">
        <v>-174157.13</v>
      </c>
      <c r="M942" s="10">
        <v>-209950.15</v>
      </c>
      <c r="N942" s="10">
        <v>-339639.32</v>
      </c>
      <c r="O942" s="10">
        <v>-239609.02</v>
      </c>
      <c r="P942" s="10">
        <v>-254218.6</v>
      </c>
      <c r="Q942" s="10">
        <v>-228624.96</v>
      </c>
      <c r="R942" s="10">
        <v>-2295285.42</v>
      </c>
    </row>
    <row r="943" spans="1:18" ht="12.75" x14ac:dyDescent="0.2">
      <c r="A943" s="9" t="s">
        <v>335</v>
      </c>
      <c r="B943" s="9" t="s">
        <v>239</v>
      </c>
      <c r="C943" s="9" t="s">
        <v>306</v>
      </c>
      <c r="D943" s="9" t="s">
        <v>96</v>
      </c>
      <c r="E943" s="9" t="s">
        <v>281</v>
      </c>
      <c r="F943" s="9" t="s">
        <v>334</v>
      </c>
      <c r="G943" s="9" t="s">
        <v>306</v>
      </c>
      <c r="H943" s="10">
        <v>-191603.84</v>
      </c>
      <c r="I943" s="10">
        <v>-222114.62</v>
      </c>
      <c r="J943" s="10">
        <v>-201734.88</v>
      </c>
      <c r="K943" s="10">
        <v>-233632.9</v>
      </c>
      <c r="L943" s="10">
        <v>-174157.13</v>
      </c>
      <c r="M943" s="10">
        <v>-209950.15</v>
      </c>
      <c r="N943" s="10">
        <v>-339639.32</v>
      </c>
      <c r="O943" s="10">
        <v>-239609.02</v>
      </c>
      <c r="P943" s="10">
        <v>-254218.6</v>
      </c>
      <c r="Q943" s="10">
        <v>-228624.96</v>
      </c>
      <c r="R943" s="10">
        <v>-2295285.42</v>
      </c>
    </row>
    <row r="944" spans="1:18" ht="12.75" x14ac:dyDescent="0.2">
      <c r="A944" s="9" t="s">
        <v>335</v>
      </c>
      <c r="B944" s="9" t="s">
        <v>239</v>
      </c>
      <c r="C944" s="9" t="s">
        <v>306</v>
      </c>
      <c r="D944" s="9" t="s">
        <v>96</v>
      </c>
      <c r="E944" s="9" t="s">
        <v>282</v>
      </c>
      <c r="F944" s="9" t="s">
        <v>334</v>
      </c>
      <c r="G944" s="9" t="s">
        <v>306</v>
      </c>
      <c r="H944" s="10">
        <v>-191603.84</v>
      </c>
      <c r="I944" s="10">
        <v>-222114.62</v>
      </c>
      <c r="J944" s="10">
        <v>-201734.88</v>
      </c>
      <c r="K944" s="10">
        <v>-233632.9</v>
      </c>
      <c r="L944" s="10">
        <v>-174157.13</v>
      </c>
      <c r="M944" s="10">
        <v>-209950.15</v>
      </c>
      <c r="N944" s="10">
        <v>-339639.32</v>
      </c>
      <c r="O944" s="10">
        <v>-239609.02</v>
      </c>
      <c r="P944" s="10">
        <v>-254218.6</v>
      </c>
      <c r="Q944" s="10">
        <v>-228624.96</v>
      </c>
      <c r="R944" s="10">
        <v>-2295285.42</v>
      </c>
    </row>
    <row r="945" spans="1:18" ht="12.75" x14ac:dyDescent="0.2">
      <c r="A945" s="9" t="s">
        <v>335</v>
      </c>
      <c r="B945" s="9" t="s">
        <v>239</v>
      </c>
      <c r="C945" s="9" t="s">
        <v>306</v>
      </c>
      <c r="D945" s="9" t="s">
        <v>112</v>
      </c>
      <c r="E945" s="9" t="s">
        <v>294</v>
      </c>
      <c r="F945" s="9" t="s">
        <v>334</v>
      </c>
      <c r="G945" s="9" t="s">
        <v>306</v>
      </c>
      <c r="H945" s="10">
        <v>-461851.95</v>
      </c>
      <c r="I945" s="10">
        <v>-471898.74</v>
      </c>
      <c r="J945" s="10">
        <v>-480684.15</v>
      </c>
      <c r="K945" s="10">
        <v>-464794.07</v>
      </c>
      <c r="L945" s="10">
        <v>-455169.28000000003</v>
      </c>
      <c r="M945" s="10">
        <v>-465675.29</v>
      </c>
      <c r="N945" s="10">
        <v>-476524.72</v>
      </c>
      <c r="O945" s="10">
        <v>-438382.41</v>
      </c>
      <c r="P945" s="10">
        <v>-509123.62</v>
      </c>
      <c r="Q945" s="10">
        <v>-504919.68</v>
      </c>
      <c r="R945" s="10">
        <v>-4729023.91</v>
      </c>
    </row>
    <row r="946" spans="1:18" ht="12.75" x14ac:dyDescent="0.2">
      <c r="A946" s="9" t="s">
        <v>335</v>
      </c>
      <c r="B946" s="9" t="s">
        <v>239</v>
      </c>
      <c r="C946" s="9" t="s">
        <v>306</v>
      </c>
      <c r="D946" s="9" t="s">
        <v>112</v>
      </c>
      <c r="E946" s="9" t="s">
        <v>292</v>
      </c>
      <c r="F946" s="9" t="s">
        <v>334</v>
      </c>
      <c r="G946" s="9" t="s">
        <v>306</v>
      </c>
      <c r="H946" s="10">
        <v>-461851.95</v>
      </c>
      <c r="I946" s="10">
        <v>-471898.74</v>
      </c>
      <c r="J946" s="10">
        <v>-480684.15</v>
      </c>
      <c r="K946" s="10">
        <v>-464794.07</v>
      </c>
      <c r="L946" s="10">
        <v>-455169.28000000003</v>
      </c>
      <c r="M946" s="10">
        <v>-465675.29</v>
      </c>
      <c r="N946" s="10">
        <v>-476524.72</v>
      </c>
      <c r="O946" s="10">
        <v>-438382.41</v>
      </c>
      <c r="P946" s="10">
        <v>-509123.62</v>
      </c>
      <c r="Q946" s="10">
        <v>-504919.68</v>
      </c>
      <c r="R946" s="10">
        <v>-4729023.91</v>
      </c>
    </row>
    <row r="947" spans="1:18" ht="12.75" x14ac:dyDescent="0.2">
      <c r="A947" s="9" t="s">
        <v>335</v>
      </c>
      <c r="B947" s="9" t="s">
        <v>239</v>
      </c>
      <c r="C947" s="9" t="s">
        <v>306</v>
      </c>
      <c r="D947" s="9" t="s">
        <v>112</v>
      </c>
      <c r="E947" s="9" t="s">
        <v>301</v>
      </c>
      <c r="F947" s="9" t="s">
        <v>334</v>
      </c>
      <c r="G947" s="9" t="s">
        <v>306</v>
      </c>
      <c r="H947" s="10">
        <v>-461851.95</v>
      </c>
      <c r="I947" s="10">
        <v>-471898.74</v>
      </c>
      <c r="J947" s="10">
        <v>-480684.15</v>
      </c>
      <c r="K947" s="10">
        <v>-464794.07</v>
      </c>
      <c r="L947" s="10">
        <v>-455169.28000000003</v>
      </c>
      <c r="M947" s="10">
        <v>-465675.29</v>
      </c>
      <c r="N947" s="10">
        <v>-476524.72</v>
      </c>
      <c r="O947" s="10">
        <v>-438382.41</v>
      </c>
      <c r="P947" s="10">
        <v>-509123.62</v>
      </c>
      <c r="Q947" s="10">
        <v>-504919.68</v>
      </c>
      <c r="R947" s="10">
        <v>-4729023.91</v>
      </c>
    </row>
    <row r="948" spans="1:18" ht="12.75" x14ac:dyDescent="0.2">
      <c r="A948" s="9" t="s">
        <v>335</v>
      </c>
      <c r="B948" s="9" t="s">
        <v>239</v>
      </c>
      <c r="C948" s="9" t="s">
        <v>306</v>
      </c>
      <c r="D948" s="9" t="s">
        <v>112</v>
      </c>
      <c r="E948" s="9" t="s">
        <v>300</v>
      </c>
      <c r="F948" s="9" t="s">
        <v>334</v>
      </c>
      <c r="G948" s="9" t="s">
        <v>306</v>
      </c>
      <c r="H948" s="10">
        <v>-461851.95</v>
      </c>
      <c r="I948" s="10">
        <v>-471898.74</v>
      </c>
      <c r="J948" s="10">
        <v>-480684.15</v>
      </c>
      <c r="K948" s="10">
        <v>-464794.07</v>
      </c>
      <c r="L948" s="10">
        <v>-455169.28000000003</v>
      </c>
      <c r="M948" s="10">
        <v>-465675.29</v>
      </c>
      <c r="N948" s="10">
        <v>-476524.72</v>
      </c>
      <c r="O948" s="10">
        <v>-438382.41</v>
      </c>
      <c r="P948" s="10">
        <v>-509123.62</v>
      </c>
      <c r="Q948" s="10">
        <v>-504919.68</v>
      </c>
      <c r="R948" s="10">
        <v>-4729023.91</v>
      </c>
    </row>
    <row r="949" spans="1:18" ht="12.75" x14ac:dyDescent="0.2">
      <c r="A949" s="9" t="s">
        <v>349</v>
      </c>
      <c r="B949" s="9" t="s">
        <v>239</v>
      </c>
      <c r="C949" s="9" t="s">
        <v>307</v>
      </c>
      <c r="D949" s="9" t="s">
        <v>238</v>
      </c>
      <c r="E949" s="9" t="s">
        <v>241</v>
      </c>
      <c r="F949" s="9" t="s">
        <v>334</v>
      </c>
      <c r="G949" s="9" t="s">
        <v>307</v>
      </c>
      <c r="H949" s="10">
        <v>-118864.35</v>
      </c>
      <c r="I949" s="10">
        <v>-1002544.77</v>
      </c>
      <c r="J949" s="10">
        <v>-1072017.32</v>
      </c>
      <c r="K949" s="10">
        <v>-1265920.21</v>
      </c>
      <c r="L949" s="10">
        <v>-1054423.6599999999</v>
      </c>
      <c r="M949" s="10">
        <v>-905150.13</v>
      </c>
      <c r="N949" s="10">
        <v>-766664.67</v>
      </c>
      <c r="O949" s="10">
        <v>-808016.62</v>
      </c>
      <c r="P949" s="10">
        <v>-668340.93999999994</v>
      </c>
      <c r="Q949" s="10">
        <v>-739791.34</v>
      </c>
      <c r="R949" s="10">
        <v>-8401734.0099999998</v>
      </c>
    </row>
    <row r="950" spans="1:18" ht="12.75" x14ac:dyDescent="0.2">
      <c r="A950" s="9" t="s">
        <v>349</v>
      </c>
      <c r="B950" s="9" t="s">
        <v>239</v>
      </c>
      <c r="C950" s="9" t="s">
        <v>307</v>
      </c>
      <c r="D950" s="9" t="s">
        <v>238</v>
      </c>
      <c r="E950" s="9" t="s">
        <v>242</v>
      </c>
      <c r="F950" s="9" t="s">
        <v>334</v>
      </c>
      <c r="G950" s="9" t="s">
        <v>307</v>
      </c>
      <c r="H950" s="10">
        <v>-105689.71</v>
      </c>
      <c r="I950" s="10">
        <v>-891425.1</v>
      </c>
      <c r="J950" s="10">
        <v>-953197.49</v>
      </c>
      <c r="K950" s="10">
        <v>-1125608.6399999999</v>
      </c>
      <c r="L950" s="10">
        <v>-937553.86</v>
      </c>
      <c r="M950" s="10">
        <v>-804825.45</v>
      </c>
      <c r="N950" s="10">
        <v>-681689.39</v>
      </c>
      <c r="O950" s="10">
        <v>-718457.99</v>
      </c>
      <c r="P950" s="10">
        <v>-594263.62</v>
      </c>
      <c r="Q950" s="10">
        <v>-657794.63</v>
      </c>
      <c r="R950" s="10">
        <v>-7470505.8799999999</v>
      </c>
    </row>
    <row r="951" spans="1:18" ht="12.75" x14ac:dyDescent="0.2">
      <c r="A951" s="9" t="s">
        <v>332</v>
      </c>
      <c r="B951" s="9" t="s">
        <v>239</v>
      </c>
      <c r="C951" s="9" t="s">
        <v>307</v>
      </c>
      <c r="D951" s="9" t="s">
        <v>74</v>
      </c>
      <c r="E951" s="9" t="s">
        <v>244</v>
      </c>
      <c r="F951" s="9" t="s">
        <v>334</v>
      </c>
      <c r="G951" s="9" t="s">
        <v>307</v>
      </c>
      <c r="H951" s="10">
        <v>-3467192.2</v>
      </c>
      <c r="I951" s="10">
        <v>-9405167.8399999999</v>
      </c>
      <c r="J951" s="10">
        <v>-5005110.55</v>
      </c>
      <c r="K951" s="10">
        <v>-10513285.789999999</v>
      </c>
      <c r="L951" s="10">
        <v>-5408057.9900000002</v>
      </c>
      <c r="M951" s="10">
        <v>-4483754.29</v>
      </c>
      <c r="N951" s="10">
        <v>-5770266.0800000001</v>
      </c>
      <c r="O951" s="10">
        <v>-5220265.9800000004</v>
      </c>
      <c r="P951" s="10">
        <v>-9383420.3499999996</v>
      </c>
      <c r="Q951" s="10">
        <v>-6747047.5999999996</v>
      </c>
      <c r="R951" s="10">
        <v>-65403568.670000002</v>
      </c>
    </row>
    <row r="952" spans="1:18" ht="12.75" x14ac:dyDescent="0.2">
      <c r="A952" s="9" t="s">
        <v>332</v>
      </c>
      <c r="B952" s="9" t="s">
        <v>239</v>
      </c>
      <c r="C952" s="9" t="s">
        <v>307</v>
      </c>
      <c r="D952" s="9" t="s">
        <v>74</v>
      </c>
      <c r="E952" s="9" t="s">
        <v>245</v>
      </c>
      <c r="F952" s="9" t="s">
        <v>334</v>
      </c>
      <c r="G952" s="9" t="s">
        <v>307</v>
      </c>
      <c r="H952" s="10">
        <v>-3467192.2</v>
      </c>
      <c r="I952" s="10">
        <v>-9405167.8399999999</v>
      </c>
      <c r="J952" s="10">
        <v>-5005110.55</v>
      </c>
      <c r="K952" s="10">
        <v>-10513285.789999999</v>
      </c>
      <c r="L952" s="10">
        <v>-5408057.9900000002</v>
      </c>
      <c r="M952" s="10">
        <v>-4483754.29</v>
      </c>
      <c r="N952" s="10">
        <v>-5770266.0800000001</v>
      </c>
      <c r="O952" s="10">
        <v>-5220265.9800000004</v>
      </c>
      <c r="P952" s="10">
        <v>-9383420.3499999996</v>
      </c>
      <c r="Q952" s="10">
        <v>-6747047.5999999996</v>
      </c>
      <c r="R952" s="10">
        <v>-65403568.670000002</v>
      </c>
    </row>
    <row r="953" spans="1:18" ht="12.75" x14ac:dyDescent="0.2">
      <c r="A953" s="9" t="s">
        <v>332</v>
      </c>
      <c r="B953" s="9" t="s">
        <v>239</v>
      </c>
      <c r="C953" s="9" t="s">
        <v>307</v>
      </c>
      <c r="D953" s="9" t="s">
        <v>74</v>
      </c>
      <c r="E953" s="9" t="s">
        <v>246</v>
      </c>
      <c r="F953" s="9" t="s">
        <v>334</v>
      </c>
      <c r="G953" s="9" t="s">
        <v>307</v>
      </c>
      <c r="H953" s="10">
        <v>-3467192.2</v>
      </c>
      <c r="I953" s="10">
        <v>-9405167.8399999999</v>
      </c>
      <c r="J953" s="10">
        <v>-5005110.55</v>
      </c>
      <c r="K953" s="10">
        <v>-10513285.789999999</v>
      </c>
      <c r="L953" s="10">
        <v>-5408057.9900000002</v>
      </c>
      <c r="M953" s="10">
        <v>-4483754.29</v>
      </c>
      <c r="N953" s="10">
        <v>-5770266.0800000001</v>
      </c>
      <c r="O953" s="10">
        <v>-5220265.9800000004</v>
      </c>
      <c r="P953" s="10">
        <v>-9383420.3499999996</v>
      </c>
      <c r="Q953" s="10">
        <v>-6747047.5999999996</v>
      </c>
      <c r="R953" s="10">
        <v>-65403568.670000002</v>
      </c>
    </row>
    <row r="954" spans="1:18" ht="12.75" x14ac:dyDescent="0.2">
      <c r="A954" s="9" t="s">
        <v>332</v>
      </c>
      <c r="B954" s="9" t="s">
        <v>239</v>
      </c>
      <c r="C954" s="9" t="s">
        <v>307</v>
      </c>
      <c r="D954" s="9" t="s">
        <v>74</v>
      </c>
      <c r="E954" s="9" t="s">
        <v>247</v>
      </c>
      <c r="F954" s="9" t="s">
        <v>334</v>
      </c>
      <c r="G954" s="9" t="s">
        <v>307</v>
      </c>
      <c r="H954" s="10">
        <v>-3467192.2</v>
      </c>
      <c r="I954" s="10">
        <v>-9405167.8399999999</v>
      </c>
      <c r="J954" s="10">
        <v>-5005110.55</v>
      </c>
      <c r="K954" s="10">
        <v>-10513285.789999999</v>
      </c>
      <c r="L954" s="10">
        <v>-5408057.9900000002</v>
      </c>
      <c r="M954" s="10">
        <v>-4483754.29</v>
      </c>
      <c r="N954" s="10">
        <v>-5770266.0800000001</v>
      </c>
      <c r="O954" s="10">
        <v>-5220265.9800000004</v>
      </c>
      <c r="P954" s="10">
        <v>-9383420.3499999996</v>
      </c>
      <c r="Q954" s="10">
        <v>-6747047.5999999996</v>
      </c>
      <c r="R954" s="10">
        <v>-65403568.670000002</v>
      </c>
    </row>
    <row r="955" spans="1:18" ht="12.75" x14ac:dyDescent="0.2">
      <c r="A955" s="9" t="s">
        <v>332</v>
      </c>
      <c r="B955" s="9" t="s">
        <v>239</v>
      </c>
      <c r="C955" s="9" t="s">
        <v>307</v>
      </c>
      <c r="D955" s="9" t="s">
        <v>74</v>
      </c>
      <c r="E955" s="9" t="s">
        <v>248</v>
      </c>
      <c r="F955" s="9" t="s">
        <v>334</v>
      </c>
      <c r="G955" s="9" t="s">
        <v>307</v>
      </c>
      <c r="H955" s="10">
        <v>-3467192.2</v>
      </c>
      <c r="I955" s="10">
        <v>-9405167.8399999999</v>
      </c>
      <c r="J955" s="10">
        <v>-5005110.55</v>
      </c>
      <c r="K955" s="10">
        <v>-10513285.789999999</v>
      </c>
      <c r="L955" s="10">
        <v>-5408057.9900000002</v>
      </c>
      <c r="M955" s="10">
        <v>-4483754.29</v>
      </c>
      <c r="N955" s="10">
        <v>-5770266.0800000001</v>
      </c>
      <c r="O955" s="10">
        <v>-5220265.9800000004</v>
      </c>
      <c r="P955" s="10">
        <v>-9383420.3499999996</v>
      </c>
      <c r="Q955" s="10">
        <v>-6747047.5999999996</v>
      </c>
      <c r="R955" s="10">
        <v>-65403568.670000002</v>
      </c>
    </row>
    <row r="956" spans="1:18" ht="12.75" x14ac:dyDescent="0.2">
      <c r="A956" s="9" t="s">
        <v>332</v>
      </c>
      <c r="B956" s="9" t="s">
        <v>239</v>
      </c>
      <c r="C956" s="9" t="s">
        <v>307</v>
      </c>
      <c r="D956" s="9" t="s">
        <v>74</v>
      </c>
      <c r="E956" s="9" t="s">
        <v>249</v>
      </c>
      <c r="F956" s="9" t="s">
        <v>334</v>
      </c>
      <c r="G956" s="9" t="s">
        <v>307</v>
      </c>
      <c r="H956" s="10">
        <v>-3467192.2</v>
      </c>
      <c r="I956" s="10">
        <v>-9405167.8399999999</v>
      </c>
      <c r="J956" s="10">
        <v>-5005110.55</v>
      </c>
      <c r="K956" s="10">
        <v>-10513285.789999999</v>
      </c>
      <c r="L956" s="10">
        <v>-5408057.9900000002</v>
      </c>
      <c r="M956" s="10">
        <v>-4483754.29</v>
      </c>
      <c r="N956" s="10">
        <v>-5770266.0800000001</v>
      </c>
      <c r="O956" s="10">
        <v>-5220265.9800000004</v>
      </c>
      <c r="P956" s="10">
        <v>-9383420.3499999996</v>
      </c>
      <c r="Q956" s="10">
        <v>-6747047.5999999996</v>
      </c>
      <c r="R956" s="10">
        <v>-65403568.670000002</v>
      </c>
    </row>
    <row r="957" spans="1:18" ht="12.75" x14ac:dyDescent="0.2">
      <c r="A957" s="9" t="s">
        <v>332</v>
      </c>
      <c r="B957" s="9" t="s">
        <v>239</v>
      </c>
      <c r="C957" s="9" t="s">
        <v>307</v>
      </c>
      <c r="D957" s="9" t="s">
        <v>74</v>
      </c>
      <c r="E957" s="9" t="s">
        <v>250</v>
      </c>
      <c r="F957" s="9" t="s">
        <v>334</v>
      </c>
      <c r="G957" s="9" t="s">
        <v>307</v>
      </c>
      <c r="H957" s="10">
        <v>-3467192.2</v>
      </c>
      <c r="I957" s="10">
        <v>-9405167.8399999999</v>
      </c>
      <c r="J957" s="10">
        <v>-5005110.55</v>
      </c>
      <c r="K957" s="10">
        <v>-10513285.789999999</v>
      </c>
      <c r="L957" s="10">
        <v>-5408057.9900000002</v>
      </c>
      <c r="M957" s="10">
        <v>-4483754.29</v>
      </c>
      <c r="N957" s="10">
        <v>-5770266.0800000001</v>
      </c>
      <c r="O957" s="10">
        <v>-5220265.9800000004</v>
      </c>
      <c r="P957" s="10">
        <v>-9383420.3499999996</v>
      </c>
      <c r="Q957" s="10">
        <v>-6747047.5999999996</v>
      </c>
      <c r="R957" s="10">
        <v>-65403568.670000002</v>
      </c>
    </row>
    <row r="958" spans="1:18" ht="12.75" x14ac:dyDescent="0.2">
      <c r="A958" s="9" t="s">
        <v>332</v>
      </c>
      <c r="B958" s="9" t="s">
        <v>239</v>
      </c>
      <c r="C958" s="9" t="s">
        <v>307</v>
      </c>
      <c r="D958" s="9" t="s">
        <v>74</v>
      </c>
      <c r="E958" s="9" t="s">
        <v>251</v>
      </c>
      <c r="F958" s="9" t="s">
        <v>334</v>
      </c>
      <c r="G958" s="9" t="s">
        <v>307</v>
      </c>
      <c r="H958" s="10">
        <v>-3467192.2</v>
      </c>
      <c r="I958" s="10">
        <v>-9405167.8399999999</v>
      </c>
      <c r="J958" s="10">
        <v>-5005110.55</v>
      </c>
      <c r="K958" s="10">
        <v>-10513285.789999999</v>
      </c>
      <c r="L958" s="10">
        <v>-5408057.9900000002</v>
      </c>
      <c r="M958" s="10">
        <v>-4483754.29</v>
      </c>
      <c r="N958" s="10">
        <v>-5770266.0800000001</v>
      </c>
      <c r="O958" s="10">
        <v>-5220265.9800000004</v>
      </c>
      <c r="P958" s="10">
        <v>-9383420.3499999996</v>
      </c>
      <c r="Q958" s="10">
        <v>-6747047.5999999996</v>
      </c>
      <c r="R958" s="10">
        <v>-65403568.670000002</v>
      </c>
    </row>
    <row r="959" spans="1:18" ht="12.75" x14ac:dyDescent="0.2">
      <c r="A959" s="9" t="s">
        <v>332</v>
      </c>
      <c r="B959" s="9" t="s">
        <v>239</v>
      </c>
      <c r="C959" s="9" t="s">
        <v>307</v>
      </c>
      <c r="D959" s="9" t="s">
        <v>52</v>
      </c>
      <c r="E959" s="9" t="s">
        <v>253</v>
      </c>
      <c r="F959" s="9" t="s">
        <v>334</v>
      </c>
      <c r="G959" s="9" t="s">
        <v>307</v>
      </c>
      <c r="H959" s="10">
        <v>-2849001.57</v>
      </c>
      <c r="I959" s="10">
        <v>-1310824.03</v>
      </c>
      <c r="J959" s="10">
        <v>-1231422.8899999999</v>
      </c>
      <c r="K959" s="10">
        <v>-1693600.51</v>
      </c>
      <c r="L959" s="10">
        <v>-1896734.07</v>
      </c>
      <c r="M959" s="10">
        <v>-1735439.71</v>
      </c>
      <c r="N959" s="10">
        <v>-1825483.39</v>
      </c>
      <c r="O959" s="10">
        <v>-1002619.76</v>
      </c>
      <c r="P959" s="10">
        <v>-1845339.56</v>
      </c>
      <c r="Q959" s="10">
        <v>-2634187.52</v>
      </c>
      <c r="R959" s="10">
        <v>-18024653.010000002</v>
      </c>
    </row>
    <row r="960" spans="1:18" ht="12.75" x14ac:dyDescent="0.2">
      <c r="A960" s="9" t="s">
        <v>332</v>
      </c>
      <c r="B960" s="9" t="s">
        <v>239</v>
      </c>
      <c r="C960" s="9" t="s">
        <v>307</v>
      </c>
      <c r="D960" s="9" t="s">
        <v>52</v>
      </c>
      <c r="E960" s="9" t="s">
        <v>254</v>
      </c>
      <c r="F960" s="9" t="s">
        <v>334</v>
      </c>
      <c r="G960" s="9" t="s">
        <v>307</v>
      </c>
      <c r="H960" s="10">
        <v>-2849001.57</v>
      </c>
      <c r="I960" s="10">
        <v>-1310824.03</v>
      </c>
      <c r="J960" s="10">
        <v>-1231422.8899999999</v>
      </c>
      <c r="K960" s="10">
        <v>-1693600.51</v>
      </c>
      <c r="L960" s="10">
        <v>-1896734.07</v>
      </c>
      <c r="M960" s="10">
        <v>-1735439.71</v>
      </c>
      <c r="N960" s="10">
        <v>-1825483.39</v>
      </c>
      <c r="O960" s="10">
        <v>-1002619.76</v>
      </c>
      <c r="P960" s="10">
        <v>-1845339.56</v>
      </c>
      <c r="Q960" s="10">
        <v>-2634187.52</v>
      </c>
      <c r="R960" s="10">
        <v>-18024653.010000002</v>
      </c>
    </row>
    <row r="961" spans="1:18" ht="12.75" x14ac:dyDescent="0.2">
      <c r="A961" s="9" t="s">
        <v>332</v>
      </c>
      <c r="B961" s="9" t="s">
        <v>239</v>
      </c>
      <c r="C961" s="9" t="s">
        <v>307</v>
      </c>
      <c r="D961" s="9" t="s">
        <v>52</v>
      </c>
      <c r="E961" s="9" t="s">
        <v>255</v>
      </c>
      <c r="F961" s="9" t="s">
        <v>334</v>
      </c>
      <c r="G961" s="9" t="s">
        <v>307</v>
      </c>
      <c r="H961" s="10">
        <v>-2849001.57</v>
      </c>
      <c r="I961" s="10">
        <v>-1310824.03</v>
      </c>
      <c r="J961" s="10">
        <v>-1231422.8899999999</v>
      </c>
      <c r="K961" s="10">
        <v>-1693600.51</v>
      </c>
      <c r="L961" s="10">
        <v>-1896734.07</v>
      </c>
      <c r="M961" s="10">
        <v>-1735439.71</v>
      </c>
      <c r="N961" s="10">
        <v>-1825483.39</v>
      </c>
      <c r="O961" s="10">
        <v>-1002619.76</v>
      </c>
      <c r="P961" s="10">
        <v>-1845339.56</v>
      </c>
      <c r="Q961" s="10">
        <v>-2634187.52</v>
      </c>
      <c r="R961" s="10">
        <v>-18024653.010000002</v>
      </c>
    </row>
    <row r="962" spans="1:18" ht="12.75" x14ac:dyDescent="0.2">
      <c r="A962" s="9" t="s">
        <v>332</v>
      </c>
      <c r="B962" s="9" t="s">
        <v>239</v>
      </c>
      <c r="C962" s="9" t="s">
        <v>307</v>
      </c>
      <c r="D962" s="9" t="s">
        <v>52</v>
      </c>
      <c r="E962" s="9" t="s">
        <v>256</v>
      </c>
      <c r="F962" s="9" t="s">
        <v>334</v>
      </c>
      <c r="G962" s="9" t="s">
        <v>307</v>
      </c>
      <c r="H962" s="10">
        <v>-2849001.57</v>
      </c>
      <c r="I962" s="10">
        <v>-1310824.03</v>
      </c>
      <c r="J962" s="10">
        <v>-1231422.8899999999</v>
      </c>
      <c r="K962" s="10">
        <v>-1693600.51</v>
      </c>
      <c r="L962" s="10">
        <v>-1896734.07</v>
      </c>
      <c r="M962" s="10">
        <v>-1735439.71</v>
      </c>
      <c r="N962" s="10">
        <v>-1825483.39</v>
      </c>
      <c r="O962" s="10">
        <v>-1002619.76</v>
      </c>
      <c r="P962" s="10">
        <v>-1845339.56</v>
      </c>
      <c r="Q962" s="10">
        <v>-2634187.52</v>
      </c>
      <c r="R962" s="10">
        <v>-18024653.010000002</v>
      </c>
    </row>
    <row r="963" spans="1:18" ht="12.75" x14ac:dyDescent="0.2">
      <c r="A963" s="9" t="s">
        <v>332</v>
      </c>
      <c r="B963" s="9" t="s">
        <v>239</v>
      </c>
      <c r="C963" s="9" t="s">
        <v>307</v>
      </c>
      <c r="D963" s="9" t="s">
        <v>52</v>
      </c>
      <c r="E963" s="9" t="s">
        <v>257</v>
      </c>
      <c r="F963" s="9" t="s">
        <v>334</v>
      </c>
      <c r="G963" s="9" t="s">
        <v>307</v>
      </c>
      <c r="H963" s="10">
        <v>-2849001.57</v>
      </c>
      <c r="I963" s="10">
        <v>-1310824.03</v>
      </c>
      <c r="J963" s="10">
        <v>-1231422.8899999999</v>
      </c>
      <c r="K963" s="10">
        <v>-1693600.51</v>
      </c>
      <c r="L963" s="10">
        <v>-1896734.07</v>
      </c>
      <c r="M963" s="10">
        <v>-1735439.71</v>
      </c>
      <c r="N963" s="10">
        <v>-1825483.39</v>
      </c>
      <c r="O963" s="10">
        <v>-1002619.76</v>
      </c>
      <c r="P963" s="10">
        <v>-1845339.56</v>
      </c>
      <c r="Q963" s="10">
        <v>-2634187.52</v>
      </c>
      <c r="R963" s="10">
        <v>-18024653.010000002</v>
      </c>
    </row>
    <row r="964" spans="1:18" ht="12.75" x14ac:dyDescent="0.2">
      <c r="A964" s="9" t="s">
        <v>332</v>
      </c>
      <c r="B964" s="9" t="s">
        <v>239</v>
      </c>
      <c r="C964" s="9" t="s">
        <v>307</v>
      </c>
      <c r="D964" s="9" t="s">
        <v>52</v>
      </c>
      <c r="E964" s="9" t="s">
        <v>258</v>
      </c>
      <c r="F964" s="9" t="s">
        <v>334</v>
      </c>
      <c r="G964" s="9" t="s">
        <v>307</v>
      </c>
      <c r="H964" s="10">
        <v>-2849001.57</v>
      </c>
      <c r="I964" s="10">
        <v>-1310824.03</v>
      </c>
      <c r="J964" s="10">
        <v>-1231422.8899999999</v>
      </c>
      <c r="K964" s="10">
        <v>-1693600.51</v>
      </c>
      <c r="L964" s="10">
        <v>-1896734.07</v>
      </c>
      <c r="M964" s="10">
        <v>-1735439.71</v>
      </c>
      <c r="N964" s="10">
        <v>-1825483.39</v>
      </c>
      <c r="O964" s="10">
        <v>-1002619.76</v>
      </c>
      <c r="P964" s="10">
        <v>-1845339.56</v>
      </c>
      <c r="Q964" s="10">
        <v>-2634187.52</v>
      </c>
      <c r="R964" s="10">
        <v>-18024653.010000002</v>
      </c>
    </row>
    <row r="965" spans="1:18" ht="12.75" x14ac:dyDescent="0.2">
      <c r="A965" s="9" t="s">
        <v>332</v>
      </c>
      <c r="B965" s="9" t="s">
        <v>239</v>
      </c>
      <c r="C965" s="9" t="s">
        <v>307</v>
      </c>
      <c r="D965" s="9" t="s">
        <v>52</v>
      </c>
      <c r="E965" s="9" t="s">
        <v>259</v>
      </c>
      <c r="F965" s="9" t="s">
        <v>334</v>
      </c>
      <c r="G965" s="9" t="s">
        <v>307</v>
      </c>
      <c r="H965" s="10">
        <v>-2849001.57</v>
      </c>
      <c r="I965" s="10">
        <v>-1310824.03</v>
      </c>
      <c r="J965" s="10">
        <v>-1231422.8899999999</v>
      </c>
      <c r="K965" s="10">
        <v>-1693600.51</v>
      </c>
      <c r="L965" s="10">
        <v>-1896734.07</v>
      </c>
      <c r="M965" s="10">
        <v>-1735439.71</v>
      </c>
      <c r="N965" s="10">
        <v>-1825483.39</v>
      </c>
      <c r="O965" s="10">
        <v>-1002619.76</v>
      </c>
      <c r="P965" s="10">
        <v>-1845339.56</v>
      </c>
      <c r="Q965" s="10">
        <v>-2634187.52</v>
      </c>
      <c r="R965" s="10">
        <v>-18024653.010000002</v>
      </c>
    </row>
    <row r="966" spans="1:18" ht="12.75" x14ac:dyDescent="0.2">
      <c r="A966" s="9" t="s">
        <v>332</v>
      </c>
      <c r="B966" s="9" t="s">
        <v>239</v>
      </c>
      <c r="C966" s="9" t="s">
        <v>307</v>
      </c>
      <c r="D966" s="9" t="s">
        <v>52</v>
      </c>
      <c r="E966" s="9" t="s">
        <v>260</v>
      </c>
      <c r="F966" s="9" t="s">
        <v>334</v>
      </c>
      <c r="G966" s="9" t="s">
        <v>307</v>
      </c>
      <c r="H966" s="10">
        <v>-2849001.57</v>
      </c>
      <c r="I966" s="10">
        <v>-1310824.03</v>
      </c>
      <c r="J966" s="10">
        <v>-1231422.8899999999</v>
      </c>
      <c r="K966" s="10">
        <v>-1693600.51</v>
      </c>
      <c r="L966" s="10">
        <v>-1896734.07</v>
      </c>
      <c r="M966" s="10">
        <v>-1735439.71</v>
      </c>
      <c r="N966" s="10">
        <v>-1825483.39</v>
      </c>
      <c r="O966" s="10">
        <v>-1002619.76</v>
      </c>
      <c r="P966" s="10">
        <v>-1845339.56</v>
      </c>
      <c r="Q966" s="10">
        <v>-2634187.52</v>
      </c>
      <c r="R966" s="10">
        <v>-18024653.010000002</v>
      </c>
    </row>
    <row r="967" spans="1:18" ht="12.75" x14ac:dyDescent="0.2">
      <c r="A967" s="9" t="s">
        <v>332</v>
      </c>
      <c r="B967" s="9" t="s">
        <v>239</v>
      </c>
      <c r="C967" s="9" t="s">
        <v>307</v>
      </c>
      <c r="D967" s="9" t="s">
        <v>52</v>
      </c>
      <c r="E967" s="9" t="s">
        <v>261</v>
      </c>
      <c r="F967" s="9" t="s">
        <v>334</v>
      </c>
      <c r="G967" s="9" t="s">
        <v>307</v>
      </c>
      <c r="H967" s="10">
        <v>-2849001.57</v>
      </c>
      <c r="I967" s="10">
        <v>-1310824.03</v>
      </c>
      <c r="J967" s="10">
        <v>-1231422.8899999999</v>
      </c>
      <c r="K967" s="10">
        <v>-1693600.51</v>
      </c>
      <c r="L967" s="10">
        <v>-1896734.07</v>
      </c>
      <c r="M967" s="10">
        <v>-1735439.71</v>
      </c>
      <c r="N967" s="10">
        <v>-1825483.39</v>
      </c>
      <c r="O967" s="10">
        <v>-1002619.76</v>
      </c>
      <c r="P967" s="10">
        <v>-1845339.56</v>
      </c>
      <c r="Q967" s="10">
        <v>-2634187.52</v>
      </c>
      <c r="R967" s="10">
        <v>-18024653.010000002</v>
      </c>
    </row>
    <row r="968" spans="1:18" ht="12.75" x14ac:dyDescent="0.2">
      <c r="A968" s="9" t="s">
        <v>332</v>
      </c>
      <c r="B968" s="9" t="s">
        <v>239</v>
      </c>
      <c r="C968" s="9" t="s">
        <v>307</v>
      </c>
      <c r="D968" s="9" t="s">
        <v>52</v>
      </c>
      <c r="E968" s="9" t="s">
        <v>262</v>
      </c>
      <c r="F968" s="9" t="s">
        <v>334</v>
      </c>
      <c r="G968" s="9" t="s">
        <v>307</v>
      </c>
      <c r="H968" s="10">
        <v>-2849001.57</v>
      </c>
      <c r="I968" s="10">
        <v>-1310824.03</v>
      </c>
      <c r="J968" s="10">
        <v>-1231422.8899999999</v>
      </c>
      <c r="K968" s="10">
        <v>-1693600.51</v>
      </c>
      <c r="L968" s="10">
        <v>-1896734.07</v>
      </c>
      <c r="M968" s="10">
        <v>-1735439.71</v>
      </c>
      <c r="N968" s="10">
        <v>-1825483.39</v>
      </c>
      <c r="O968" s="10">
        <v>-1002619.76</v>
      </c>
      <c r="P968" s="10">
        <v>-1845339.56</v>
      </c>
      <c r="Q968" s="10">
        <v>-2634187.52</v>
      </c>
      <c r="R968" s="10">
        <v>-18024653.010000002</v>
      </c>
    </row>
    <row r="969" spans="1:18" ht="12.75" x14ac:dyDescent="0.2">
      <c r="A969" s="9" t="s">
        <v>332</v>
      </c>
      <c r="B969" s="9" t="s">
        <v>239</v>
      </c>
      <c r="C969" s="9" t="s">
        <v>307</v>
      </c>
      <c r="D969" s="9" t="s">
        <v>52</v>
      </c>
      <c r="E969" s="9" t="s">
        <v>263</v>
      </c>
      <c r="F969" s="9" t="s">
        <v>334</v>
      </c>
      <c r="G969" s="9" t="s">
        <v>307</v>
      </c>
      <c r="H969" s="10">
        <v>-2849001.57</v>
      </c>
      <c r="I969" s="10">
        <v>-1310824.03</v>
      </c>
      <c r="J969" s="10">
        <v>-1231422.8899999999</v>
      </c>
      <c r="K969" s="10">
        <v>-1693600.51</v>
      </c>
      <c r="L969" s="10">
        <v>-1896734.07</v>
      </c>
      <c r="M969" s="10">
        <v>-1735439.71</v>
      </c>
      <c r="N969" s="10">
        <v>-1825483.39</v>
      </c>
      <c r="O969" s="10">
        <v>-1002619.76</v>
      </c>
      <c r="P969" s="10">
        <v>-1845339.56</v>
      </c>
      <c r="Q969" s="10">
        <v>-2634187.52</v>
      </c>
      <c r="R969" s="10">
        <v>-18024653.010000002</v>
      </c>
    </row>
    <row r="970" spans="1:18" ht="12.75" x14ac:dyDescent="0.2">
      <c r="A970" s="9" t="s">
        <v>332</v>
      </c>
      <c r="B970" s="9" t="s">
        <v>239</v>
      </c>
      <c r="C970" s="9" t="s">
        <v>307</v>
      </c>
      <c r="D970" s="9" t="s">
        <v>52</v>
      </c>
      <c r="E970" s="9" t="s">
        <v>264</v>
      </c>
      <c r="F970" s="9" t="s">
        <v>334</v>
      </c>
      <c r="G970" s="9" t="s">
        <v>307</v>
      </c>
      <c r="H970" s="10">
        <v>-2849001.57</v>
      </c>
      <c r="I970" s="10">
        <v>-1310824.03</v>
      </c>
      <c r="J970" s="10">
        <v>-1231422.8899999999</v>
      </c>
      <c r="K970" s="10">
        <v>-1693600.51</v>
      </c>
      <c r="L970" s="10">
        <v>-1896734.07</v>
      </c>
      <c r="M970" s="10">
        <v>-1735439.71</v>
      </c>
      <c r="N970" s="10">
        <v>-1825483.39</v>
      </c>
      <c r="O970" s="10">
        <v>-1002619.76</v>
      </c>
      <c r="P970" s="10">
        <v>-1845339.56</v>
      </c>
      <c r="Q970" s="10">
        <v>-2634187.52</v>
      </c>
      <c r="R970" s="10">
        <v>-18024653.010000002</v>
      </c>
    </row>
    <row r="971" spans="1:18" ht="12.75" x14ac:dyDescent="0.2">
      <c r="A971" s="9" t="s">
        <v>332</v>
      </c>
      <c r="B971" s="9" t="s">
        <v>239</v>
      </c>
      <c r="C971" s="9" t="s">
        <v>307</v>
      </c>
      <c r="D971" s="9" t="s">
        <v>52</v>
      </c>
      <c r="E971" s="9" t="s">
        <v>265</v>
      </c>
      <c r="F971" s="9" t="s">
        <v>334</v>
      </c>
      <c r="G971" s="9" t="s">
        <v>307</v>
      </c>
      <c r="H971" s="10">
        <v>-2849001.57</v>
      </c>
      <c r="I971" s="10">
        <v>-1310824.03</v>
      </c>
      <c r="J971" s="10">
        <v>-1231422.8899999999</v>
      </c>
      <c r="K971" s="10">
        <v>-1693600.51</v>
      </c>
      <c r="L971" s="10">
        <v>-1896734.07</v>
      </c>
      <c r="M971" s="10">
        <v>-1735439.71</v>
      </c>
      <c r="N971" s="10">
        <v>-1825483.39</v>
      </c>
      <c r="O971" s="10">
        <v>-1002619.76</v>
      </c>
      <c r="P971" s="10">
        <v>-1845339.56</v>
      </c>
      <c r="Q971" s="10">
        <v>-2634187.52</v>
      </c>
      <c r="R971" s="10">
        <v>-18024653.010000002</v>
      </c>
    </row>
    <row r="972" spans="1:18" ht="12.75" x14ac:dyDescent="0.2">
      <c r="A972" s="9" t="s">
        <v>332</v>
      </c>
      <c r="B972" s="9" t="s">
        <v>239</v>
      </c>
      <c r="C972" s="9" t="s">
        <v>307</v>
      </c>
      <c r="D972" s="9" t="s">
        <v>52</v>
      </c>
      <c r="E972" s="9" t="s">
        <v>266</v>
      </c>
      <c r="F972" s="9" t="s">
        <v>334</v>
      </c>
      <c r="G972" s="9" t="s">
        <v>307</v>
      </c>
      <c r="H972" s="10">
        <v>-2849001.57</v>
      </c>
      <c r="I972" s="10">
        <v>-1310824.03</v>
      </c>
      <c r="J972" s="10">
        <v>-1231422.8899999999</v>
      </c>
      <c r="K972" s="10">
        <v>-1693600.51</v>
      </c>
      <c r="L972" s="10">
        <v>-1896734.07</v>
      </c>
      <c r="M972" s="10">
        <v>-1735439.71</v>
      </c>
      <c r="N972" s="10">
        <v>-1825483.39</v>
      </c>
      <c r="O972" s="10">
        <v>-1002619.76</v>
      </c>
      <c r="P972" s="10">
        <v>-1845339.56</v>
      </c>
      <c r="Q972" s="10">
        <v>-2634187.52</v>
      </c>
      <c r="R972" s="10">
        <v>-18024653.010000002</v>
      </c>
    </row>
    <row r="973" spans="1:18" ht="12.75" x14ac:dyDescent="0.2">
      <c r="A973" s="9" t="s">
        <v>332</v>
      </c>
      <c r="B973" s="9" t="s">
        <v>239</v>
      </c>
      <c r="C973" s="9" t="s">
        <v>307</v>
      </c>
      <c r="D973" s="9" t="s">
        <v>52</v>
      </c>
      <c r="E973" s="9" t="s">
        <v>267</v>
      </c>
      <c r="F973" s="9" t="s">
        <v>334</v>
      </c>
      <c r="G973" s="9" t="s">
        <v>307</v>
      </c>
      <c r="H973" s="10">
        <v>-2849001.57</v>
      </c>
      <c r="I973" s="10">
        <v>-1310824.03</v>
      </c>
      <c r="J973" s="10">
        <v>-1231422.8899999999</v>
      </c>
      <c r="K973" s="10">
        <v>-1693600.51</v>
      </c>
      <c r="L973" s="10">
        <v>-1896734.07</v>
      </c>
      <c r="M973" s="10">
        <v>-1735439.71</v>
      </c>
      <c r="N973" s="10">
        <v>-1825483.39</v>
      </c>
      <c r="O973" s="10">
        <v>-1002619.76</v>
      </c>
      <c r="P973" s="10">
        <v>-1845339.56</v>
      </c>
      <c r="Q973" s="10">
        <v>-2634187.52</v>
      </c>
      <c r="R973" s="10">
        <v>-18024653.010000002</v>
      </c>
    </row>
    <row r="974" spans="1:18" ht="12.75" x14ac:dyDescent="0.2">
      <c r="A974" s="9" t="s">
        <v>332</v>
      </c>
      <c r="B974" s="9" t="s">
        <v>239</v>
      </c>
      <c r="C974" s="9" t="s">
        <v>307</v>
      </c>
      <c r="D974" s="9" t="s">
        <v>52</v>
      </c>
      <c r="E974" s="9" t="s">
        <v>268</v>
      </c>
      <c r="F974" s="9" t="s">
        <v>334</v>
      </c>
      <c r="G974" s="9" t="s">
        <v>307</v>
      </c>
      <c r="H974" s="10">
        <v>-2849001.57</v>
      </c>
      <c r="I974" s="10">
        <v>-1310824.03</v>
      </c>
      <c r="J974" s="10">
        <v>-1231422.8899999999</v>
      </c>
      <c r="K974" s="10">
        <v>-1693600.51</v>
      </c>
      <c r="L974" s="10">
        <v>-1896734.07</v>
      </c>
      <c r="M974" s="10">
        <v>-1735439.71</v>
      </c>
      <c r="N974" s="10">
        <v>-1825483.39</v>
      </c>
      <c r="O974" s="10">
        <v>-1002619.76</v>
      </c>
      <c r="P974" s="10">
        <v>-1845339.56</v>
      </c>
      <c r="Q974" s="10">
        <v>-2634187.52</v>
      </c>
      <c r="R974" s="10">
        <v>-18024653.010000002</v>
      </c>
    </row>
    <row r="975" spans="1:18" ht="12.75" x14ac:dyDescent="0.2">
      <c r="A975" s="9" t="s">
        <v>332</v>
      </c>
      <c r="B975" s="9" t="s">
        <v>239</v>
      </c>
      <c r="C975" s="9" t="s">
        <v>307</v>
      </c>
      <c r="D975" s="9" t="s">
        <v>87</v>
      </c>
      <c r="E975" s="9" t="s">
        <v>270</v>
      </c>
      <c r="F975" s="9" t="s">
        <v>334</v>
      </c>
      <c r="G975" s="9" t="s">
        <v>307</v>
      </c>
      <c r="H975" s="10">
        <v>-5931597.3399999999</v>
      </c>
      <c r="I975" s="10">
        <v>-5573297.2999999998</v>
      </c>
      <c r="J975" s="10">
        <v>-4268616.4800000004</v>
      </c>
      <c r="K975" s="10">
        <v>-6504378.5999999996</v>
      </c>
      <c r="L975" s="10">
        <v>-3818639.71</v>
      </c>
      <c r="M975" s="10">
        <v>-5689909.1299999999</v>
      </c>
      <c r="N975" s="10">
        <v>-4584993.46</v>
      </c>
      <c r="O975" s="10">
        <v>-5841706.8099999996</v>
      </c>
      <c r="P975" s="10">
        <v>-6335618.9100000001</v>
      </c>
      <c r="Q975" s="10">
        <v>-5254962.67</v>
      </c>
      <c r="R975" s="10">
        <v>-53803720.409999996</v>
      </c>
    </row>
    <row r="976" spans="1:18" ht="12.75" x14ac:dyDescent="0.2">
      <c r="A976" s="9" t="s">
        <v>332</v>
      </c>
      <c r="B976" s="9" t="s">
        <v>239</v>
      </c>
      <c r="C976" s="9" t="s">
        <v>307</v>
      </c>
      <c r="D976" s="9" t="s">
        <v>87</v>
      </c>
      <c r="E976" s="9" t="s">
        <v>271</v>
      </c>
      <c r="F976" s="9" t="s">
        <v>334</v>
      </c>
      <c r="G976" s="9" t="s">
        <v>307</v>
      </c>
      <c r="H976" s="10">
        <v>-5931597.3399999999</v>
      </c>
      <c r="I976" s="10">
        <v>-5573297.2999999998</v>
      </c>
      <c r="J976" s="10">
        <v>-4268616.4800000004</v>
      </c>
      <c r="K976" s="10">
        <v>-6504378.5999999996</v>
      </c>
      <c r="L976" s="10">
        <v>-3818639.71</v>
      </c>
      <c r="M976" s="10">
        <v>-5689909.1299999999</v>
      </c>
      <c r="N976" s="10">
        <v>-4584993.46</v>
      </c>
      <c r="O976" s="10">
        <v>-5841706.8099999996</v>
      </c>
      <c r="P976" s="10">
        <v>-6335618.9100000001</v>
      </c>
      <c r="Q976" s="10">
        <v>-5254962.67</v>
      </c>
      <c r="R976" s="10">
        <v>-53803720.409999996</v>
      </c>
    </row>
    <row r="977" spans="1:18" ht="12.75" x14ac:dyDescent="0.2">
      <c r="A977" s="9" t="s">
        <v>332</v>
      </c>
      <c r="B977" s="9" t="s">
        <v>239</v>
      </c>
      <c r="C977" s="9" t="s">
        <v>307</v>
      </c>
      <c r="D977" s="9" t="s">
        <v>87</v>
      </c>
      <c r="E977" s="9" t="s">
        <v>272</v>
      </c>
      <c r="F977" s="9" t="s">
        <v>334</v>
      </c>
      <c r="G977" s="9" t="s">
        <v>307</v>
      </c>
      <c r="H977" s="10">
        <v>-5931597.3399999999</v>
      </c>
      <c r="I977" s="10">
        <v>-5573297.2999999998</v>
      </c>
      <c r="J977" s="10">
        <v>-4268616.4800000004</v>
      </c>
      <c r="K977" s="10">
        <v>-6504378.5999999996</v>
      </c>
      <c r="L977" s="10">
        <v>-3818639.71</v>
      </c>
      <c r="M977" s="10">
        <v>-5689909.1299999999</v>
      </c>
      <c r="N977" s="10">
        <v>-4584993.46</v>
      </c>
      <c r="O977" s="10">
        <v>-5841706.8099999996</v>
      </c>
      <c r="P977" s="10">
        <v>-6335618.9100000001</v>
      </c>
      <c r="Q977" s="10">
        <v>-5254962.67</v>
      </c>
      <c r="R977" s="10">
        <v>-53803720.409999996</v>
      </c>
    </row>
    <row r="978" spans="1:18" ht="12.75" x14ac:dyDescent="0.2">
      <c r="A978" s="9" t="s">
        <v>332</v>
      </c>
      <c r="B978" s="9" t="s">
        <v>239</v>
      </c>
      <c r="C978" s="9" t="s">
        <v>307</v>
      </c>
      <c r="D978" s="9" t="s">
        <v>87</v>
      </c>
      <c r="E978" s="9" t="s">
        <v>273</v>
      </c>
      <c r="F978" s="9" t="s">
        <v>334</v>
      </c>
      <c r="G978" s="9" t="s">
        <v>307</v>
      </c>
      <c r="H978" s="10">
        <v>-5931597.3399999999</v>
      </c>
      <c r="I978" s="10">
        <v>-5573297.2999999998</v>
      </c>
      <c r="J978" s="10">
        <v>-4268616.4800000004</v>
      </c>
      <c r="K978" s="10">
        <v>-6504378.5999999996</v>
      </c>
      <c r="L978" s="10">
        <v>-3818639.71</v>
      </c>
      <c r="M978" s="10">
        <v>-5689909.1299999999</v>
      </c>
      <c r="N978" s="10">
        <v>-4584993.46</v>
      </c>
      <c r="O978" s="10">
        <v>-5841706.8099999996</v>
      </c>
      <c r="P978" s="10">
        <v>-6335618.9100000001</v>
      </c>
      <c r="Q978" s="10">
        <v>-5254962.67</v>
      </c>
      <c r="R978" s="10">
        <v>-53803720.409999996</v>
      </c>
    </row>
    <row r="979" spans="1:18" ht="12.75" x14ac:dyDescent="0.2">
      <c r="A979" s="9" t="s">
        <v>332</v>
      </c>
      <c r="B979" s="9" t="s">
        <v>239</v>
      </c>
      <c r="C979" s="9" t="s">
        <v>307</v>
      </c>
      <c r="D979" s="9" t="s">
        <v>87</v>
      </c>
      <c r="E979" s="9" t="s">
        <v>274</v>
      </c>
      <c r="F979" s="9" t="s">
        <v>334</v>
      </c>
      <c r="G979" s="9" t="s">
        <v>307</v>
      </c>
      <c r="H979" s="10">
        <v>-5931597.3399999999</v>
      </c>
      <c r="I979" s="10">
        <v>-5573297.2999999998</v>
      </c>
      <c r="J979" s="10">
        <v>-4268616.4800000004</v>
      </c>
      <c r="K979" s="10">
        <v>-6504378.5999999996</v>
      </c>
      <c r="L979" s="10">
        <v>-3818639.71</v>
      </c>
      <c r="M979" s="10">
        <v>-5689909.1299999999</v>
      </c>
      <c r="N979" s="10">
        <v>-4584993.46</v>
      </c>
      <c r="O979" s="10">
        <v>-5841706.8099999996</v>
      </c>
      <c r="P979" s="10">
        <v>-6335618.9100000001</v>
      </c>
      <c r="Q979" s="10">
        <v>-5254962.67</v>
      </c>
      <c r="R979" s="10">
        <v>-53803720.409999996</v>
      </c>
    </row>
    <row r="980" spans="1:18" ht="12.75" x14ac:dyDescent="0.2">
      <c r="A980" s="9" t="s">
        <v>332</v>
      </c>
      <c r="B980" s="9" t="s">
        <v>239</v>
      </c>
      <c r="C980" s="9" t="s">
        <v>307</v>
      </c>
      <c r="D980" s="9" t="s">
        <v>87</v>
      </c>
      <c r="E980" s="9" t="s">
        <v>275</v>
      </c>
      <c r="F980" s="9" t="s">
        <v>334</v>
      </c>
      <c r="G980" s="9" t="s">
        <v>307</v>
      </c>
      <c r="H980" s="10">
        <v>-5931597.3399999999</v>
      </c>
      <c r="I980" s="10">
        <v>-5573297.2999999998</v>
      </c>
      <c r="J980" s="10">
        <v>-4268616.4800000004</v>
      </c>
      <c r="K980" s="10">
        <v>-6504378.5999999996</v>
      </c>
      <c r="L980" s="10">
        <v>-3818639.71</v>
      </c>
      <c r="M980" s="10">
        <v>-5689909.1299999999</v>
      </c>
      <c r="N980" s="10">
        <v>-4584993.46</v>
      </c>
      <c r="O980" s="10">
        <v>-5841706.8099999996</v>
      </c>
      <c r="P980" s="10">
        <v>-6335618.9100000001</v>
      </c>
      <c r="Q980" s="10">
        <v>-5254962.67</v>
      </c>
      <c r="R980" s="10">
        <v>-53803720.409999996</v>
      </c>
    </row>
    <row r="981" spans="1:18" ht="12.75" x14ac:dyDescent="0.2">
      <c r="A981" s="9" t="s">
        <v>332</v>
      </c>
      <c r="B981" s="9" t="s">
        <v>239</v>
      </c>
      <c r="C981" s="9" t="s">
        <v>307</v>
      </c>
      <c r="D981" s="9" t="s">
        <v>87</v>
      </c>
      <c r="E981" s="9" t="s">
        <v>276</v>
      </c>
      <c r="F981" s="9" t="s">
        <v>334</v>
      </c>
      <c r="G981" s="9" t="s">
        <v>307</v>
      </c>
      <c r="H981" s="10">
        <v>-5931597.3399999999</v>
      </c>
      <c r="I981" s="10">
        <v>-5573297.2999999998</v>
      </c>
      <c r="J981" s="10">
        <v>-4268616.4800000004</v>
      </c>
      <c r="K981" s="10">
        <v>-6504378.5999999996</v>
      </c>
      <c r="L981" s="10">
        <v>-3818639.71</v>
      </c>
      <c r="M981" s="10">
        <v>-5689909.1299999999</v>
      </c>
      <c r="N981" s="10">
        <v>-4584993.46</v>
      </c>
      <c r="O981" s="10">
        <v>-5841706.8099999996</v>
      </c>
      <c r="P981" s="10">
        <v>-6335618.9100000001</v>
      </c>
      <c r="Q981" s="10">
        <v>-5254962.67</v>
      </c>
      <c r="R981" s="10">
        <v>-53803720.409999996</v>
      </c>
    </row>
    <row r="982" spans="1:18" ht="12.75" x14ac:dyDescent="0.2">
      <c r="A982" s="9" t="s">
        <v>332</v>
      </c>
      <c r="B982" s="9" t="s">
        <v>239</v>
      </c>
      <c r="C982" s="9" t="s">
        <v>307</v>
      </c>
      <c r="D982" s="9" t="s">
        <v>96</v>
      </c>
      <c r="E982" s="9" t="s">
        <v>277</v>
      </c>
      <c r="F982" s="9" t="s">
        <v>334</v>
      </c>
      <c r="G982" s="9" t="s">
        <v>307</v>
      </c>
      <c r="H982" s="10">
        <v>-5498881.5099999998</v>
      </c>
      <c r="I982" s="10">
        <v>-470986.77</v>
      </c>
      <c r="J982" s="10">
        <v>-546974.4</v>
      </c>
      <c r="K982" s="10">
        <v>-1310785.99</v>
      </c>
      <c r="L982" s="10">
        <v>295052.32</v>
      </c>
      <c r="M982" s="10">
        <v>-16341087.869999999</v>
      </c>
      <c r="N982" s="10">
        <v>535925.34</v>
      </c>
      <c r="O982" s="10">
        <v>-955579.03</v>
      </c>
      <c r="P982" s="10">
        <v>-799166.12</v>
      </c>
      <c r="Q982" s="10">
        <v>-481127.41</v>
      </c>
      <c r="R982" s="10">
        <v>-25573611.440000001</v>
      </c>
    </row>
    <row r="983" spans="1:18" ht="12.75" x14ac:dyDescent="0.2">
      <c r="A983" s="9" t="s">
        <v>332</v>
      </c>
      <c r="B983" s="9" t="s">
        <v>239</v>
      </c>
      <c r="C983" s="9" t="s">
        <v>307</v>
      </c>
      <c r="D983" s="9" t="s">
        <v>96</v>
      </c>
      <c r="E983" s="9" t="s">
        <v>278</v>
      </c>
      <c r="F983" s="9" t="s">
        <v>334</v>
      </c>
      <c r="G983" s="9" t="s">
        <v>307</v>
      </c>
      <c r="H983" s="10">
        <v>-5498881.5099999998</v>
      </c>
      <c r="I983" s="10">
        <v>-470986.77</v>
      </c>
      <c r="J983" s="10">
        <v>-546974.4</v>
      </c>
      <c r="K983" s="10">
        <v>-1310785.99</v>
      </c>
      <c r="L983" s="10">
        <v>295052.32</v>
      </c>
      <c r="M983" s="10">
        <v>-16341087.869999999</v>
      </c>
      <c r="N983" s="10">
        <v>535925.34</v>
      </c>
      <c r="O983" s="10">
        <v>-955579.03</v>
      </c>
      <c r="P983" s="10">
        <v>-799166.12</v>
      </c>
      <c r="Q983" s="10">
        <v>-481127.41</v>
      </c>
      <c r="R983" s="10">
        <v>-25573611.440000001</v>
      </c>
    </row>
    <row r="984" spans="1:18" ht="12.75" x14ac:dyDescent="0.2">
      <c r="A984" s="9" t="s">
        <v>332</v>
      </c>
      <c r="B984" s="9" t="s">
        <v>239</v>
      </c>
      <c r="C984" s="9" t="s">
        <v>307</v>
      </c>
      <c r="D984" s="9" t="s">
        <v>96</v>
      </c>
      <c r="E984" s="9" t="s">
        <v>279</v>
      </c>
      <c r="F984" s="9" t="s">
        <v>334</v>
      </c>
      <c r="G984" s="9" t="s">
        <v>307</v>
      </c>
      <c r="H984" s="10">
        <v>-5498881.5099999998</v>
      </c>
      <c r="I984" s="10">
        <v>-470986.77</v>
      </c>
      <c r="J984" s="10">
        <v>-546974.4</v>
      </c>
      <c r="K984" s="10">
        <v>-1310785.99</v>
      </c>
      <c r="L984" s="10">
        <v>295052.32</v>
      </c>
      <c r="M984" s="10">
        <v>-16341087.869999999</v>
      </c>
      <c r="N984" s="10">
        <v>535925.34</v>
      </c>
      <c r="O984" s="10">
        <v>-955579.03</v>
      </c>
      <c r="P984" s="10">
        <v>-799166.12</v>
      </c>
      <c r="Q984" s="10">
        <v>-481127.41</v>
      </c>
      <c r="R984" s="10">
        <v>-25573611.440000001</v>
      </c>
    </row>
    <row r="985" spans="1:18" ht="12.75" x14ac:dyDescent="0.2">
      <c r="A985" s="9" t="s">
        <v>332</v>
      </c>
      <c r="B985" s="9" t="s">
        <v>239</v>
      </c>
      <c r="C985" s="9" t="s">
        <v>307</v>
      </c>
      <c r="D985" s="9" t="s">
        <v>96</v>
      </c>
      <c r="E985" s="9" t="s">
        <v>280</v>
      </c>
      <c r="F985" s="9" t="s">
        <v>334</v>
      </c>
      <c r="G985" s="9" t="s">
        <v>307</v>
      </c>
      <c r="H985" s="10">
        <v>-5498881.5099999998</v>
      </c>
      <c r="I985" s="10">
        <v>-470986.77</v>
      </c>
      <c r="J985" s="10">
        <v>-546974.4</v>
      </c>
      <c r="K985" s="10">
        <v>-1310785.99</v>
      </c>
      <c r="L985" s="10">
        <v>295052.32</v>
      </c>
      <c r="M985" s="10">
        <v>-16341087.869999999</v>
      </c>
      <c r="N985" s="10">
        <v>535925.34</v>
      </c>
      <c r="O985" s="10">
        <v>-955579.03</v>
      </c>
      <c r="P985" s="10">
        <v>-799166.12</v>
      </c>
      <c r="Q985" s="10">
        <v>-481127.41</v>
      </c>
      <c r="R985" s="10">
        <v>-25573611.440000001</v>
      </c>
    </row>
    <row r="986" spans="1:18" ht="12.75" x14ac:dyDescent="0.2">
      <c r="A986" s="9" t="s">
        <v>332</v>
      </c>
      <c r="B986" s="9" t="s">
        <v>239</v>
      </c>
      <c r="C986" s="9" t="s">
        <v>307</v>
      </c>
      <c r="D986" s="9" t="s">
        <v>96</v>
      </c>
      <c r="E986" s="9" t="s">
        <v>281</v>
      </c>
      <c r="F986" s="9" t="s">
        <v>334</v>
      </c>
      <c r="G986" s="9" t="s">
        <v>307</v>
      </c>
      <c r="H986" s="10">
        <v>-5498881.5099999998</v>
      </c>
      <c r="I986" s="10">
        <v>-470986.77</v>
      </c>
      <c r="J986" s="10">
        <v>-546974.4</v>
      </c>
      <c r="K986" s="10">
        <v>-1310785.99</v>
      </c>
      <c r="L986" s="10">
        <v>295052.32</v>
      </c>
      <c r="M986" s="10">
        <v>-16341087.869999999</v>
      </c>
      <c r="N986" s="10">
        <v>535925.34</v>
      </c>
      <c r="O986" s="10">
        <v>-955579.03</v>
      </c>
      <c r="P986" s="10">
        <v>-799166.12</v>
      </c>
      <c r="Q986" s="10">
        <v>-481127.41</v>
      </c>
      <c r="R986" s="10">
        <v>-25573611.440000001</v>
      </c>
    </row>
    <row r="987" spans="1:18" ht="12.75" x14ac:dyDescent="0.2">
      <c r="A987" s="9" t="s">
        <v>332</v>
      </c>
      <c r="B987" s="9" t="s">
        <v>239</v>
      </c>
      <c r="C987" s="9" t="s">
        <v>307</v>
      </c>
      <c r="D987" s="9" t="s">
        <v>96</v>
      </c>
      <c r="E987" s="9" t="s">
        <v>282</v>
      </c>
      <c r="F987" s="9" t="s">
        <v>334</v>
      </c>
      <c r="G987" s="9" t="s">
        <v>307</v>
      </c>
      <c r="H987" s="10">
        <v>-5498881.5099999998</v>
      </c>
      <c r="I987" s="10">
        <v>-470986.77</v>
      </c>
      <c r="J987" s="10">
        <v>-546974.4</v>
      </c>
      <c r="K987" s="10">
        <v>-1310785.99</v>
      </c>
      <c r="L987" s="10">
        <v>295052.32</v>
      </c>
      <c r="M987" s="10">
        <v>-16341087.869999999</v>
      </c>
      <c r="N987" s="10">
        <v>535925.34</v>
      </c>
      <c r="O987" s="10">
        <v>-955579.03</v>
      </c>
      <c r="P987" s="10">
        <v>-799166.12</v>
      </c>
      <c r="Q987" s="10">
        <v>-481127.41</v>
      </c>
      <c r="R987" s="10">
        <v>-25573611.440000001</v>
      </c>
    </row>
    <row r="988" spans="1:18" ht="12.75" x14ac:dyDescent="0.2">
      <c r="A988" s="9" t="s">
        <v>332</v>
      </c>
      <c r="B988" s="9" t="s">
        <v>239</v>
      </c>
      <c r="C988" s="9" t="s">
        <v>307</v>
      </c>
      <c r="D988" s="9" t="s">
        <v>96</v>
      </c>
      <c r="E988" s="9" t="s">
        <v>283</v>
      </c>
      <c r="F988" s="9" t="s">
        <v>334</v>
      </c>
      <c r="G988" s="9" t="s">
        <v>307</v>
      </c>
      <c r="H988" s="10">
        <v>-5498881.5099999998</v>
      </c>
      <c r="I988" s="10">
        <v>-470986.77</v>
      </c>
      <c r="J988" s="10">
        <v>-546974.4</v>
      </c>
      <c r="K988" s="10">
        <v>-1310785.99</v>
      </c>
      <c r="L988" s="10">
        <v>295052.32</v>
      </c>
      <c r="M988" s="10">
        <v>-16341087.869999999</v>
      </c>
      <c r="N988" s="10">
        <v>535925.34</v>
      </c>
      <c r="O988" s="10">
        <v>-955579.03</v>
      </c>
      <c r="P988" s="10">
        <v>-799166.12</v>
      </c>
      <c r="Q988" s="10">
        <v>-481127.41</v>
      </c>
      <c r="R988" s="10">
        <v>-25573611.440000001</v>
      </c>
    </row>
    <row r="989" spans="1:18" ht="12.75" x14ac:dyDescent="0.2">
      <c r="A989" s="9" t="s">
        <v>332</v>
      </c>
      <c r="B989" s="9" t="s">
        <v>239</v>
      </c>
      <c r="C989" s="9" t="s">
        <v>307</v>
      </c>
      <c r="D989" s="9" t="s">
        <v>96</v>
      </c>
      <c r="E989" s="9" t="s">
        <v>284</v>
      </c>
      <c r="F989" s="9" t="s">
        <v>334</v>
      </c>
      <c r="G989" s="9" t="s">
        <v>307</v>
      </c>
      <c r="H989" s="10">
        <v>-5498881.5099999998</v>
      </c>
      <c r="I989" s="10">
        <v>-470986.77</v>
      </c>
      <c r="J989" s="10">
        <v>-546974.4</v>
      </c>
      <c r="K989" s="10">
        <v>-1310785.99</v>
      </c>
      <c r="L989" s="10">
        <v>295052.32</v>
      </c>
      <c r="M989" s="10">
        <v>-16341087.869999999</v>
      </c>
      <c r="N989" s="10">
        <v>535925.34</v>
      </c>
      <c r="O989" s="10">
        <v>-955579.03</v>
      </c>
      <c r="P989" s="10">
        <v>-799166.12</v>
      </c>
      <c r="Q989" s="10">
        <v>-481127.41</v>
      </c>
      <c r="R989" s="10">
        <v>-25573611.440000001</v>
      </c>
    </row>
    <row r="990" spans="1:18" ht="12.75" x14ac:dyDescent="0.2">
      <c r="A990" s="9" t="s">
        <v>332</v>
      </c>
      <c r="B990" s="9" t="s">
        <v>239</v>
      </c>
      <c r="C990" s="9" t="s">
        <v>307</v>
      </c>
      <c r="D990" s="9" t="s">
        <v>96</v>
      </c>
      <c r="E990" s="9" t="s">
        <v>285</v>
      </c>
      <c r="F990" s="9" t="s">
        <v>334</v>
      </c>
      <c r="G990" s="9" t="s">
        <v>307</v>
      </c>
      <c r="H990" s="10">
        <v>-5498881.5099999998</v>
      </c>
      <c r="I990" s="10">
        <v>-470986.77</v>
      </c>
      <c r="J990" s="10">
        <v>-546974.4</v>
      </c>
      <c r="K990" s="10">
        <v>-1310785.99</v>
      </c>
      <c r="L990" s="10">
        <v>295052.32</v>
      </c>
      <c r="M990" s="10">
        <v>-16341087.869999999</v>
      </c>
      <c r="N990" s="10">
        <v>535925.34</v>
      </c>
      <c r="O990" s="10">
        <v>-955579.03</v>
      </c>
      <c r="P990" s="10">
        <v>-799166.12</v>
      </c>
      <c r="Q990" s="10">
        <v>-481127.41</v>
      </c>
      <c r="R990" s="10">
        <v>-25573611.440000001</v>
      </c>
    </row>
    <row r="991" spans="1:18" ht="12.75" x14ac:dyDescent="0.2">
      <c r="A991" s="9" t="s">
        <v>332</v>
      </c>
      <c r="B991" s="9" t="s">
        <v>239</v>
      </c>
      <c r="C991" s="9" t="s">
        <v>307</v>
      </c>
      <c r="D991" s="9" t="s">
        <v>96</v>
      </c>
      <c r="E991" s="9" t="s">
        <v>286</v>
      </c>
      <c r="F991" s="9" t="s">
        <v>334</v>
      </c>
      <c r="G991" s="9" t="s">
        <v>307</v>
      </c>
      <c r="H991" s="10">
        <v>-5498881.5099999998</v>
      </c>
      <c r="I991" s="10">
        <v>-470986.77</v>
      </c>
      <c r="J991" s="10">
        <v>-546974.4</v>
      </c>
      <c r="K991" s="10">
        <v>-1310785.99</v>
      </c>
      <c r="L991" s="10">
        <v>295052.32</v>
      </c>
      <c r="M991" s="10">
        <v>-16341087.869999999</v>
      </c>
      <c r="N991" s="10">
        <v>535925.34</v>
      </c>
      <c r="O991" s="10">
        <v>-955579.03</v>
      </c>
      <c r="P991" s="10">
        <v>-799166.12</v>
      </c>
      <c r="Q991" s="10">
        <v>-481127.41</v>
      </c>
      <c r="R991" s="10">
        <v>-25573611.440000001</v>
      </c>
    </row>
    <row r="992" spans="1:18" ht="12.75" x14ac:dyDescent="0.2">
      <c r="A992" s="9" t="s">
        <v>332</v>
      </c>
      <c r="B992" s="9" t="s">
        <v>239</v>
      </c>
      <c r="C992" s="9" t="s">
        <v>307</v>
      </c>
      <c r="D992" s="9" t="s">
        <v>112</v>
      </c>
      <c r="E992" s="9" t="s">
        <v>288</v>
      </c>
      <c r="F992" s="9" t="s">
        <v>334</v>
      </c>
      <c r="G992" s="9" t="s">
        <v>307</v>
      </c>
      <c r="H992" s="10">
        <v>-2099431.04</v>
      </c>
      <c r="I992" s="10">
        <v>-3356351.85</v>
      </c>
      <c r="J992" s="10">
        <v>-3001412.3</v>
      </c>
      <c r="K992" s="10">
        <v>-4479265.0599999996</v>
      </c>
      <c r="L992" s="10">
        <v>-3394424.39</v>
      </c>
      <c r="M992" s="10">
        <v>-3353359.63</v>
      </c>
      <c r="N992" s="10">
        <v>-3223308.76</v>
      </c>
      <c r="O992" s="10">
        <v>-3809404.88</v>
      </c>
      <c r="P992" s="10">
        <v>-4652616.8499999996</v>
      </c>
      <c r="Q992" s="10">
        <v>-3529628.9</v>
      </c>
      <c r="R992" s="10">
        <v>-34899203.659999996</v>
      </c>
    </row>
    <row r="993" spans="1:18" ht="12.75" x14ac:dyDescent="0.2">
      <c r="A993" s="9" t="s">
        <v>332</v>
      </c>
      <c r="B993" s="9" t="s">
        <v>239</v>
      </c>
      <c r="C993" s="9" t="s">
        <v>307</v>
      </c>
      <c r="D993" s="9" t="s">
        <v>112</v>
      </c>
      <c r="E993" s="9" t="s">
        <v>289</v>
      </c>
      <c r="F993" s="9" t="s">
        <v>334</v>
      </c>
      <c r="G993" s="9" t="s">
        <v>307</v>
      </c>
      <c r="H993" s="10">
        <v>-2099431.04</v>
      </c>
      <c r="I993" s="10">
        <v>-3356351.85</v>
      </c>
      <c r="J993" s="10">
        <v>-3001412.3</v>
      </c>
      <c r="K993" s="10">
        <v>-4479265.0599999996</v>
      </c>
      <c r="L993" s="10">
        <v>-3394424.39</v>
      </c>
      <c r="M993" s="10">
        <v>-3353359.63</v>
      </c>
      <c r="N993" s="10">
        <v>-3223308.76</v>
      </c>
      <c r="O993" s="10">
        <v>-3809404.88</v>
      </c>
      <c r="P993" s="10">
        <v>-4652616.8499999996</v>
      </c>
      <c r="Q993" s="10">
        <v>-3529628.9</v>
      </c>
      <c r="R993" s="10">
        <v>-34899203.659999996</v>
      </c>
    </row>
    <row r="994" spans="1:18" ht="12.75" x14ac:dyDescent="0.2">
      <c r="A994" s="9" t="s">
        <v>332</v>
      </c>
      <c r="B994" s="9" t="s">
        <v>239</v>
      </c>
      <c r="C994" s="9" t="s">
        <v>307</v>
      </c>
      <c r="D994" s="9" t="s">
        <v>112</v>
      </c>
      <c r="E994" s="9" t="s">
        <v>290</v>
      </c>
      <c r="F994" s="9" t="s">
        <v>334</v>
      </c>
      <c r="G994" s="9" t="s">
        <v>307</v>
      </c>
      <c r="H994" s="10">
        <v>-2099431.04</v>
      </c>
      <c r="I994" s="10">
        <v>-3356351.85</v>
      </c>
      <c r="J994" s="10">
        <v>-3001412.3</v>
      </c>
      <c r="K994" s="10">
        <v>-4479265.0599999996</v>
      </c>
      <c r="L994" s="10">
        <v>-3394424.39</v>
      </c>
      <c r="M994" s="10">
        <v>-3353359.63</v>
      </c>
      <c r="N994" s="10">
        <v>-3223308.76</v>
      </c>
      <c r="O994" s="10">
        <v>-3809404.88</v>
      </c>
      <c r="P994" s="10">
        <v>-4652616.8499999996</v>
      </c>
      <c r="Q994" s="10">
        <v>-3529628.9</v>
      </c>
      <c r="R994" s="10">
        <v>-34899203.659999996</v>
      </c>
    </row>
    <row r="995" spans="1:18" ht="12.75" x14ac:dyDescent="0.2">
      <c r="A995" s="9" t="s">
        <v>332</v>
      </c>
      <c r="B995" s="9" t="s">
        <v>239</v>
      </c>
      <c r="C995" s="9" t="s">
        <v>307</v>
      </c>
      <c r="D995" s="9" t="s">
        <v>112</v>
      </c>
      <c r="E995" s="9" t="s">
        <v>291</v>
      </c>
      <c r="F995" s="9" t="s">
        <v>334</v>
      </c>
      <c r="G995" s="9" t="s">
        <v>307</v>
      </c>
      <c r="H995" s="10">
        <v>-2099431.04</v>
      </c>
      <c r="I995" s="10">
        <v>-3356351.85</v>
      </c>
      <c r="J995" s="10">
        <v>-3001412.3</v>
      </c>
      <c r="K995" s="10">
        <v>-4479265.0599999996</v>
      </c>
      <c r="L995" s="10">
        <v>-3394424.39</v>
      </c>
      <c r="M995" s="10">
        <v>-3353359.63</v>
      </c>
      <c r="N995" s="10">
        <v>-3223308.76</v>
      </c>
      <c r="O995" s="10">
        <v>-3809404.88</v>
      </c>
      <c r="P995" s="10">
        <v>-4652616.8499999996</v>
      </c>
      <c r="Q995" s="10">
        <v>-3529628.9</v>
      </c>
      <c r="R995" s="10">
        <v>-34899203.659999996</v>
      </c>
    </row>
    <row r="996" spans="1:18" ht="12.75" x14ac:dyDescent="0.2">
      <c r="A996" s="9" t="s">
        <v>332</v>
      </c>
      <c r="B996" s="9" t="s">
        <v>239</v>
      </c>
      <c r="C996" s="9" t="s">
        <v>307</v>
      </c>
      <c r="D996" s="9" t="s">
        <v>112</v>
      </c>
      <c r="E996" s="9" t="s">
        <v>292</v>
      </c>
      <c r="F996" s="9" t="s">
        <v>334</v>
      </c>
      <c r="G996" s="9" t="s">
        <v>307</v>
      </c>
      <c r="H996" s="10">
        <v>-2099431.04</v>
      </c>
      <c r="I996" s="10">
        <v>-3356351.85</v>
      </c>
      <c r="J996" s="10">
        <v>-3001412.3</v>
      </c>
      <c r="K996" s="10">
        <v>-4479265.0599999996</v>
      </c>
      <c r="L996" s="10">
        <v>-3394424.39</v>
      </c>
      <c r="M996" s="10">
        <v>-3353359.63</v>
      </c>
      <c r="N996" s="10">
        <v>-3223308.76</v>
      </c>
      <c r="O996" s="10">
        <v>-3809404.88</v>
      </c>
      <c r="P996" s="10">
        <v>-4652616.8499999996</v>
      </c>
      <c r="Q996" s="10">
        <v>-3529628.9</v>
      </c>
      <c r="R996" s="10">
        <v>-34899203.659999996</v>
      </c>
    </row>
    <row r="997" spans="1:18" ht="12.75" x14ac:dyDescent="0.2">
      <c r="A997" s="9" t="s">
        <v>332</v>
      </c>
      <c r="B997" s="9" t="s">
        <v>239</v>
      </c>
      <c r="C997" s="9" t="s">
        <v>307</v>
      </c>
      <c r="D997" s="9" t="s">
        <v>112</v>
      </c>
      <c r="E997" s="9" t="s">
        <v>293</v>
      </c>
      <c r="F997" s="9" t="s">
        <v>334</v>
      </c>
      <c r="G997" s="9" t="s">
        <v>307</v>
      </c>
      <c r="H997" s="10">
        <v>-2099431.04</v>
      </c>
      <c r="I997" s="10">
        <v>-3356351.85</v>
      </c>
      <c r="J997" s="10">
        <v>-3001412.3</v>
      </c>
      <c r="K997" s="10">
        <v>-4479265.0599999996</v>
      </c>
      <c r="L997" s="10">
        <v>-3394424.39</v>
      </c>
      <c r="M997" s="10">
        <v>-3353359.63</v>
      </c>
      <c r="N997" s="10">
        <v>-3223308.76</v>
      </c>
      <c r="O997" s="10">
        <v>-3809404.88</v>
      </c>
      <c r="P997" s="10">
        <v>-4652616.8499999996</v>
      </c>
      <c r="Q997" s="10">
        <v>-3529628.9</v>
      </c>
      <c r="R997" s="10">
        <v>-34899203.659999996</v>
      </c>
    </row>
    <row r="998" spans="1:18" ht="12.75" x14ac:dyDescent="0.2">
      <c r="A998" s="9" t="s">
        <v>332</v>
      </c>
      <c r="B998" s="9" t="s">
        <v>239</v>
      </c>
      <c r="C998" s="9" t="s">
        <v>307</v>
      </c>
      <c r="D998" s="9" t="s">
        <v>112</v>
      </c>
      <c r="E998" s="9" t="s">
        <v>294</v>
      </c>
      <c r="F998" s="9" t="s">
        <v>334</v>
      </c>
      <c r="G998" s="9" t="s">
        <v>307</v>
      </c>
      <c r="H998" s="10">
        <v>-2099431.04</v>
      </c>
      <c r="I998" s="10">
        <v>-3356351.85</v>
      </c>
      <c r="J998" s="10">
        <v>-3001412.3</v>
      </c>
      <c r="K998" s="10">
        <v>-4479265.0599999996</v>
      </c>
      <c r="L998" s="10">
        <v>-3394424.39</v>
      </c>
      <c r="M998" s="10">
        <v>-3353359.63</v>
      </c>
      <c r="N998" s="10">
        <v>-3223308.76</v>
      </c>
      <c r="O998" s="10">
        <v>-3809404.88</v>
      </c>
      <c r="P998" s="10">
        <v>-4652616.8499999996</v>
      </c>
      <c r="Q998" s="10">
        <v>-3529628.9</v>
      </c>
      <c r="R998" s="10">
        <v>-34899203.659999996</v>
      </c>
    </row>
    <row r="999" spans="1:18" ht="12.75" x14ac:dyDescent="0.2">
      <c r="A999" s="9" t="s">
        <v>332</v>
      </c>
      <c r="B999" s="9" t="s">
        <v>239</v>
      </c>
      <c r="C999" s="9" t="s">
        <v>307</v>
      </c>
      <c r="D999" s="9" t="s">
        <v>112</v>
      </c>
      <c r="E999" s="9" t="s">
        <v>295</v>
      </c>
      <c r="F999" s="9" t="s">
        <v>334</v>
      </c>
      <c r="G999" s="9" t="s">
        <v>307</v>
      </c>
      <c r="H999" s="10">
        <v>-2099431.04</v>
      </c>
      <c r="I999" s="10">
        <v>-3356351.85</v>
      </c>
      <c r="J999" s="10">
        <v>-3001412.3</v>
      </c>
      <c r="K999" s="10">
        <v>-4479265.0599999996</v>
      </c>
      <c r="L999" s="10">
        <v>-3394424.39</v>
      </c>
      <c r="M999" s="10">
        <v>-3353359.63</v>
      </c>
      <c r="N999" s="10">
        <v>-3223308.76</v>
      </c>
      <c r="O999" s="10">
        <v>-3809404.88</v>
      </c>
      <c r="P999" s="10">
        <v>-4652616.8499999996</v>
      </c>
      <c r="Q999" s="10">
        <v>-3529628.9</v>
      </c>
      <c r="R999" s="10">
        <v>-34899203.659999996</v>
      </c>
    </row>
    <row r="1000" spans="1:18" ht="12.75" x14ac:dyDescent="0.2">
      <c r="A1000" s="9" t="s">
        <v>332</v>
      </c>
      <c r="B1000" s="9" t="s">
        <v>239</v>
      </c>
      <c r="C1000" s="9" t="s">
        <v>307</v>
      </c>
      <c r="D1000" s="9" t="s">
        <v>112</v>
      </c>
      <c r="E1000" s="9" t="s">
        <v>296</v>
      </c>
      <c r="F1000" s="9" t="s">
        <v>334</v>
      </c>
      <c r="G1000" s="9" t="s">
        <v>307</v>
      </c>
      <c r="H1000" s="10">
        <v>-2099431.04</v>
      </c>
      <c r="I1000" s="10">
        <v>-3356351.85</v>
      </c>
      <c r="J1000" s="10">
        <v>-3001412.3</v>
      </c>
      <c r="K1000" s="10">
        <v>-4479265.0599999996</v>
      </c>
      <c r="L1000" s="10">
        <v>-3394424.39</v>
      </c>
      <c r="M1000" s="10">
        <v>-3353359.63</v>
      </c>
      <c r="N1000" s="10">
        <v>-3223308.76</v>
      </c>
      <c r="O1000" s="10">
        <v>-3809404.88</v>
      </c>
      <c r="P1000" s="10">
        <v>-4652616.8499999996</v>
      </c>
      <c r="Q1000" s="10">
        <v>-3529628.9</v>
      </c>
      <c r="R1000" s="10">
        <v>-34899203.659999996</v>
      </c>
    </row>
    <row r="1001" spans="1:18" ht="12.75" x14ac:dyDescent="0.2">
      <c r="A1001" s="9" t="s">
        <v>332</v>
      </c>
      <c r="B1001" s="9" t="s">
        <v>239</v>
      </c>
      <c r="C1001" s="9" t="s">
        <v>307</v>
      </c>
      <c r="D1001" s="9" t="s">
        <v>112</v>
      </c>
      <c r="E1001" s="9" t="s">
        <v>297</v>
      </c>
      <c r="F1001" s="9" t="s">
        <v>334</v>
      </c>
      <c r="G1001" s="9" t="s">
        <v>307</v>
      </c>
      <c r="H1001" s="10">
        <v>-2099431.04</v>
      </c>
      <c r="I1001" s="10">
        <v>-3356351.85</v>
      </c>
      <c r="J1001" s="10">
        <v>-3001412.3</v>
      </c>
      <c r="K1001" s="10">
        <v>-4479265.0599999996</v>
      </c>
      <c r="L1001" s="10">
        <v>-3394424.39</v>
      </c>
      <c r="M1001" s="10">
        <v>-3353359.63</v>
      </c>
      <c r="N1001" s="10">
        <v>-3223308.76</v>
      </c>
      <c r="O1001" s="10">
        <v>-3809404.88</v>
      </c>
      <c r="P1001" s="10">
        <v>-4652616.8499999996</v>
      </c>
      <c r="Q1001" s="10">
        <v>-3529628.9</v>
      </c>
      <c r="R1001" s="10">
        <v>-34899203.659999996</v>
      </c>
    </row>
    <row r="1002" spans="1:18" ht="12.75" x14ac:dyDescent="0.2">
      <c r="A1002" s="9" t="s">
        <v>332</v>
      </c>
      <c r="B1002" s="9" t="s">
        <v>239</v>
      </c>
      <c r="C1002" s="9" t="s">
        <v>307</v>
      </c>
      <c r="D1002" s="9" t="s">
        <v>112</v>
      </c>
      <c r="E1002" s="9" t="s">
        <v>298</v>
      </c>
      <c r="F1002" s="9" t="s">
        <v>334</v>
      </c>
      <c r="G1002" s="9" t="s">
        <v>307</v>
      </c>
      <c r="H1002" s="10">
        <v>-2099431.04</v>
      </c>
      <c r="I1002" s="10">
        <v>-3356351.85</v>
      </c>
      <c r="J1002" s="10">
        <v>-3001412.3</v>
      </c>
      <c r="K1002" s="10">
        <v>-4479265.0599999996</v>
      </c>
      <c r="L1002" s="10">
        <v>-3394424.39</v>
      </c>
      <c r="M1002" s="10">
        <v>-3353359.63</v>
      </c>
      <c r="N1002" s="10">
        <v>-3223308.76</v>
      </c>
      <c r="O1002" s="10">
        <v>-3809404.88</v>
      </c>
      <c r="P1002" s="10">
        <v>-4652616.8499999996</v>
      </c>
      <c r="Q1002" s="10">
        <v>-3529628.9</v>
      </c>
      <c r="R1002" s="10">
        <v>-34899203.659999996</v>
      </c>
    </row>
    <row r="1003" spans="1:18" ht="12.75" x14ac:dyDescent="0.2">
      <c r="A1003" s="9" t="s">
        <v>335</v>
      </c>
      <c r="B1003" s="9" t="s">
        <v>239</v>
      </c>
      <c r="C1003" s="9" t="s">
        <v>307</v>
      </c>
      <c r="D1003" s="9" t="s">
        <v>112</v>
      </c>
      <c r="E1003" s="9" t="s">
        <v>299</v>
      </c>
      <c r="F1003" s="9" t="s">
        <v>334</v>
      </c>
      <c r="G1003" s="9" t="s">
        <v>307</v>
      </c>
      <c r="H1003" s="10">
        <v>-317864.21999999997</v>
      </c>
      <c r="I1003" s="10">
        <v>-642876.18999999994</v>
      </c>
      <c r="J1003" s="10">
        <v>-635092.31999999995</v>
      </c>
      <c r="K1003" s="10">
        <v>-725392.99</v>
      </c>
      <c r="L1003" s="10">
        <v>-622811.92000000004</v>
      </c>
      <c r="M1003" s="10">
        <v>-697992.07</v>
      </c>
      <c r="N1003" s="10">
        <v>-748699.84</v>
      </c>
      <c r="O1003" s="10">
        <v>-673954.43</v>
      </c>
      <c r="P1003" s="10">
        <v>-777132.67</v>
      </c>
      <c r="Q1003" s="10">
        <v>-722485.38</v>
      </c>
      <c r="R1003" s="10">
        <v>-6564302.0300000003</v>
      </c>
    </row>
    <row r="1004" spans="1:18" ht="12.75" x14ac:dyDescent="0.2">
      <c r="A1004" s="9" t="s">
        <v>332</v>
      </c>
      <c r="B1004" s="9" t="s">
        <v>239</v>
      </c>
      <c r="C1004" s="9" t="s">
        <v>307</v>
      </c>
      <c r="D1004" s="9" t="s">
        <v>112</v>
      </c>
      <c r="E1004" s="9" t="s">
        <v>300</v>
      </c>
      <c r="F1004" s="9" t="s">
        <v>334</v>
      </c>
      <c r="G1004" s="9" t="s">
        <v>307</v>
      </c>
      <c r="H1004" s="10">
        <v>-2099431.04</v>
      </c>
      <c r="I1004" s="10">
        <v>-3356351.85</v>
      </c>
      <c r="J1004" s="10">
        <v>-3001412.3</v>
      </c>
      <c r="K1004" s="10">
        <v>-4479265.0599999996</v>
      </c>
      <c r="L1004" s="10">
        <v>-3394424.39</v>
      </c>
      <c r="M1004" s="10">
        <v>-3353359.63</v>
      </c>
      <c r="N1004" s="10">
        <v>-3223308.76</v>
      </c>
      <c r="O1004" s="10">
        <v>-3809404.88</v>
      </c>
      <c r="P1004" s="10">
        <v>-4652616.8499999996</v>
      </c>
      <c r="Q1004" s="10">
        <v>-3529628.9</v>
      </c>
      <c r="R1004" s="10">
        <v>-34899203.659999996</v>
      </c>
    </row>
    <row r="1005" spans="1:18" ht="12.75" x14ac:dyDescent="0.2">
      <c r="A1005" s="9" t="s">
        <v>332</v>
      </c>
      <c r="B1005" s="9" t="s">
        <v>239</v>
      </c>
      <c r="C1005" s="9" t="s">
        <v>307</v>
      </c>
      <c r="D1005" s="9" t="s">
        <v>112</v>
      </c>
      <c r="E1005" s="9" t="s">
        <v>301</v>
      </c>
      <c r="F1005" s="9" t="s">
        <v>334</v>
      </c>
      <c r="G1005" s="9" t="s">
        <v>307</v>
      </c>
      <c r="H1005" s="10">
        <v>-2099431.04</v>
      </c>
      <c r="I1005" s="10">
        <v>-3356351.85</v>
      </c>
      <c r="J1005" s="10">
        <v>-3001412.3</v>
      </c>
      <c r="K1005" s="10">
        <v>-4479265.0599999996</v>
      </c>
      <c r="L1005" s="10">
        <v>-3394424.39</v>
      </c>
      <c r="M1005" s="10">
        <v>-3353359.63</v>
      </c>
      <c r="N1005" s="10">
        <v>-3223308.76</v>
      </c>
      <c r="O1005" s="10">
        <v>-3809404.88</v>
      </c>
      <c r="P1005" s="10">
        <v>-4652616.8499999996</v>
      </c>
      <c r="Q1005" s="10">
        <v>-3529628.9</v>
      </c>
      <c r="R1005" s="10">
        <v>-34899203.659999996</v>
      </c>
    </row>
    <row r="1006" spans="1:18" ht="12.75" x14ac:dyDescent="0.2">
      <c r="A1006" s="9" t="s">
        <v>335</v>
      </c>
      <c r="B1006" s="9" t="s">
        <v>239</v>
      </c>
      <c r="C1006" s="9" t="s">
        <v>307</v>
      </c>
      <c r="D1006" s="9" t="s">
        <v>112</v>
      </c>
      <c r="E1006" s="9" t="s">
        <v>302</v>
      </c>
      <c r="F1006" s="9" t="s">
        <v>334</v>
      </c>
      <c r="G1006" s="9" t="s">
        <v>307</v>
      </c>
      <c r="H1006" s="10">
        <v>-317864.21999999997</v>
      </c>
      <c r="I1006" s="10">
        <v>-642876.18999999994</v>
      </c>
      <c r="J1006" s="10">
        <v>-635092.31999999995</v>
      </c>
      <c r="K1006" s="10">
        <v>-725392.99</v>
      </c>
      <c r="L1006" s="10">
        <v>-622811.92000000004</v>
      </c>
      <c r="M1006" s="10">
        <v>-697992.07</v>
      </c>
      <c r="N1006" s="10">
        <v>-748699.84</v>
      </c>
      <c r="O1006" s="10">
        <v>-673954.43</v>
      </c>
      <c r="P1006" s="10">
        <v>-777132.67</v>
      </c>
      <c r="Q1006" s="10">
        <v>-722485.38</v>
      </c>
      <c r="R1006" s="10">
        <v>-6564302.0300000003</v>
      </c>
    </row>
    <row r="1007" spans="1:18" ht="12.75" x14ac:dyDescent="0.2">
      <c r="A1007" s="9" t="s">
        <v>332</v>
      </c>
      <c r="B1007" s="9" t="s">
        <v>239</v>
      </c>
      <c r="C1007" s="9" t="s">
        <v>307</v>
      </c>
      <c r="D1007" s="9" t="s">
        <v>74</v>
      </c>
      <c r="E1007" s="9" t="s">
        <v>303</v>
      </c>
      <c r="F1007" s="9" t="s">
        <v>334</v>
      </c>
      <c r="G1007" s="9" t="s">
        <v>307</v>
      </c>
      <c r="H1007" s="10">
        <v>-3467192.2</v>
      </c>
      <c r="I1007" s="10">
        <v>-9405167.8399999999</v>
      </c>
      <c r="J1007" s="10">
        <v>-5005110.55</v>
      </c>
      <c r="K1007" s="10">
        <v>-10513285.789999999</v>
      </c>
      <c r="L1007" s="10">
        <v>-5408057.9900000002</v>
      </c>
      <c r="M1007" s="10">
        <v>-4483754.29</v>
      </c>
      <c r="N1007" s="10">
        <v>-5770266.0800000001</v>
      </c>
      <c r="O1007" s="10">
        <v>-5220265.9800000004</v>
      </c>
      <c r="P1007" s="10">
        <v>-9383420.3499999996</v>
      </c>
      <c r="Q1007" s="10">
        <v>-6747047.5999999996</v>
      </c>
      <c r="R1007" s="10">
        <v>-65403568.670000002</v>
      </c>
    </row>
    <row r="1008" spans="1:18" ht="12.75" x14ac:dyDescent="0.2">
      <c r="A1008" s="9" t="s">
        <v>335</v>
      </c>
      <c r="B1008" s="9" t="s">
        <v>239</v>
      </c>
      <c r="C1008" s="9" t="s">
        <v>307</v>
      </c>
      <c r="D1008" s="9" t="s">
        <v>74</v>
      </c>
      <c r="E1008" s="9" t="s">
        <v>303</v>
      </c>
      <c r="F1008" s="9" t="s">
        <v>334</v>
      </c>
      <c r="G1008" s="9" t="s">
        <v>307</v>
      </c>
      <c r="H1008" s="10">
        <v>-3113304.12</v>
      </c>
      <c r="I1008" s="10">
        <v>-2851211.69</v>
      </c>
      <c r="J1008" s="10">
        <v>-3477423.5</v>
      </c>
      <c r="K1008" s="10">
        <v>-2203438.25</v>
      </c>
      <c r="L1008" s="10">
        <v>-1395933.97</v>
      </c>
      <c r="M1008" s="10">
        <v>-1824962.17</v>
      </c>
      <c r="N1008" s="10">
        <v>-2944176.61</v>
      </c>
      <c r="O1008" s="10">
        <v>-1772190.93</v>
      </c>
      <c r="P1008" s="10">
        <v>-1859969.78</v>
      </c>
      <c r="Q1008" s="10">
        <v>-2339914.6</v>
      </c>
      <c r="R1008" s="10">
        <v>-23782525.620000001</v>
      </c>
    </row>
    <row r="1009" spans="1:18" ht="12.75" x14ac:dyDescent="0.2">
      <c r="A1009" s="9" t="s">
        <v>335</v>
      </c>
      <c r="B1009" s="9" t="s">
        <v>239</v>
      </c>
      <c r="C1009" s="9" t="s">
        <v>307</v>
      </c>
      <c r="D1009" s="9" t="s">
        <v>74</v>
      </c>
      <c r="E1009" s="9" t="s">
        <v>248</v>
      </c>
      <c r="F1009" s="9" t="s">
        <v>334</v>
      </c>
      <c r="G1009" s="9" t="s">
        <v>307</v>
      </c>
      <c r="H1009" s="10">
        <v>-3113304.12</v>
      </c>
      <c r="I1009" s="10">
        <v>-2851211.69</v>
      </c>
      <c r="J1009" s="10">
        <v>-3477423.5</v>
      </c>
      <c r="K1009" s="10">
        <v>-2203438.25</v>
      </c>
      <c r="L1009" s="10">
        <v>-1395933.97</v>
      </c>
      <c r="M1009" s="10">
        <v>-1824962.17</v>
      </c>
      <c r="N1009" s="10">
        <v>-2944176.61</v>
      </c>
      <c r="O1009" s="10">
        <v>-1772190.93</v>
      </c>
      <c r="P1009" s="10">
        <v>-1859969.78</v>
      </c>
      <c r="Q1009" s="10">
        <v>-2339914.6</v>
      </c>
      <c r="R1009" s="10">
        <v>-23782525.620000001</v>
      </c>
    </row>
    <row r="1010" spans="1:18" ht="12.75" x14ac:dyDescent="0.2">
      <c r="A1010" s="9" t="s">
        <v>335</v>
      </c>
      <c r="B1010" s="9" t="s">
        <v>239</v>
      </c>
      <c r="C1010" s="9" t="s">
        <v>307</v>
      </c>
      <c r="D1010" s="9" t="s">
        <v>74</v>
      </c>
      <c r="E1010" s="9" t="s">
        <v>249</v>
      </c>
      <c r="F1010" s="9" t="s">
        <v>334</v>
      </c>
      <c r="G1010" s="9" t="s">
        <v>307</v>
      </c>
      <c r="H1010" s="10">
        <v>-3113304.12</v>
      </c>
      <c r="I1010" s="10">
        <v>-2851211.69</v>
      </c>
      <c r="J1010" s="10">
        <v>-3477423.5</v>
      </c>
      <c r="K1010" s="10">
        <v>-2203438.25</v>
      </c>
      <c r="L1010" s="10">
        <v>-1395933.97</v>
      </c>
      <c r="M1010" s="10">
        <v>-1824962.17</v>
      </c>
      <c r="N1010" s="10">
        <v>-2944176.61</v>
      </c>
      <c r="O1010" s="10">
        <v>-1772190.93</v>
      </c>
      <c r="P1010" s="10">
        <v>-1859969.78</v>
      </c>
      <c r="Q1010" s="10">
        <v>-2339914.6</v>
      </c>
      <c r="R1010" s="10">
        <v>-23782525.620000001</v>
      </c>
    </row>
    <row r="1011" spans="1:18" ht="12.75" x14ac:dyDescent="0.2">
      <c r="A1011" s="9" t="s">
        <v>335</v>
      </c>
      <c r="B1011" s="9" t="s">
        <v>239</v>
      </c>
      <c r="C1011" s="9" t="s">
        <v>307</v>
      </c>
      <c r="D1011" s="9" t="s">
        <v>52</v>
      </c>
      <c r="E1011" s="9" t="s">
        <v>253</v>
      </c>
      <c r="F1011" s="9" t="s">
        <v>334</v>
      </c>
      <c r="G1011" s="9" t="s">
        <v>307</v>
      </c>
      <c r="H1011" s="10">
        <v>-3088109.39</v>
      </c>
      <c r="I1011" s="10">
        <v>-5535793.0800000001</v>
      </c>
      <c r="J1011" s="10">
        <v>-2689347.42</v>
      </c>
      <c r="K1011" s="10">
        <v>-2451570.19</v>
      </c>
      <c r="L1011" s="10">
        <v>-2264072.2200000002</v>
      </c>
      <c r="M1011" s="10">
        <v>-3210546.13</v>
      </c>
      <c r="N1011" s="10">
        <v>-2612285.52</v>
      </c>
      <c r="O1011" s="10">
        <v>-2615356.54</v>
      </c>
      <c r="P1011" s="10">
        <v>-2965651.27</v>
      </c>
      <c r="Q1011" s="10">
        <v>-2788494.53</v>
      </c>
      <c r="R1011" s="10">
        <v>-30221226.289999999</v>
      </c>
    </row>
    <row r="1012" spans="1:18" ht="12.75" x14ac:dyDescent="0.2">
      <c r="A1012" s="9" t="s">
        <v>335</v>
      </c>
      <c r="B1012" s="9" t="s">
        <v>239</v>
      </c>
      <c r="C1012" s="9" t="s">
        <v>307</v>
      </c>
      <c r="D1012" s="9" t="s">
        <v>52</v>
      </c>
      <c r="E1012" s="9" t="s">
        <v>267</v>
      </c>
      <c r="F1012" s="9" t="s">
        <v>334</v>
      </c>
      <c r="G1012" s="9" t="s">
        <v>307</v>
      </c>
      <c r="H1012" s="10">
        <v>-3088109.39</v>
      </c>
      <c r="I1012" s="10">
        <v>-5535793.0800000001</v>
      </c>
      <c r="J1012" s="10">
        <v>-2689347.42</v>
      </c>
      <c r="K1012" s="10">
        <v>-2451570.19</v>
      </c>
      <c r="L1012" s="10">
        <v>-2264072.2200000002</v>
      </c>
      <c r="M1012" s="10">
        <v>-3210546.13</v>
      </c>
      <c r="N1012" s="10">
        <v>-2612285.52</v>
      </c>
      <c r="O1012" s="10">
        <v>-2615356.54</v>
      </c>
      <c r="P1012" s="10">
        <v>-2965651.27</v>
      </c>
      <c r="Q1012" s="10">
        <v>-2788494.53</v>
      </c>
      <c r="R1012" s="10">
        <v>-30221226.289999999</v>
      </c>
    </row>
    <row r="1013" spans="1:18" ht="12.75" x14ac:dyDescent="0.2">
      <c r="A1013" s="9" t="s">
        <v>335</v>
      </c>
      <c r="B1013" s="9" t="s">
        <v>239</v>
      </c>
      <c r="C1013" s="9" t="s">
        <v>307</v>
      </c>
      <c r="D1013" s="9" t="s">
        <v>52</v>
      </c>
      <c r="E1013" s="9" t="s">
        <v>268</v>
      </c>
      <c r="F1013" s="9" t="s">
        <v>334</v>
      </c>
      <c r="G1013" s="9" t="s">
        <v>307</v>
      </c>
      <c r="H1013" s="10">
        <v>-3088109.39</v>
      </c>
      <c r="I1013" s="10">
        <v>-5535793.0800000001</v>
      </c>
      <c r="J1013" s="10">
        <v>-2689347.42</v>
      </c>
      <c r="K1013" s="10">
        <v>-2451570.19</v>
      </c>
      <c r="L1013" s="10">
        <v>-2264072.2200000002</v>
      </c>
      <c r="M1013" s="10">
        <v>-3210546.13</v>
      </c>
      <c r="N1013" s="10">
        <v>-2612285.52</v>
      </c>
      <c r="O1013" s="10">
        <v>-2615356.54</v>
      </c>
      <c r="P1013" s="10">
        <v>-2965651.27</v>
      </c>
      <c r="Q1013" s="10">
        <v>-2788494.53</v>
      </c>
      <c r="R1013" s="10">
        <v>-30221226.289999999</v>
      </c>
    </row>
    <row r="1014" spans="1:18" ht="12.75" x14ac:dyDescent="0.2">
      <c r="A1014" s="9" t="s">
        <v>332</v>
      </c>
      <c r="B1014" s="9" t="s">
        <v>239</v>
      </c>
      <c r="C1014" s="9" t="s">
        <v>307</v>
      </c>
      <c r="D1014" s="9" t="s">
        <v>52</v>
      </c>
      <c r="E1014" s="9" t="s">
        <v>304</v>
      </c>
      <c r="F1014" s="9" t="s">
        <v>334</v>
      </c>
      <c r="G1014" s="9" t="s">
        <v>307</v>
      </c>
      <c r="H1014" s="10">
        <v>-2849001.57</v>
      </c>
      <c r="I1014" s="10">
        <v>-1310824.03</v>
      </c>
      <c r="J1014" s="10">
        <v>-1231422.8899999999</v>
      </c>
      <c r="K1014" s="10">
        <v>-1693600.51</v>
      </c>
      <c r="L1014" s="10">
        <v>-1896734.07</v>
      </c>
      <c r="M1014" s="10">
        <v>-1735439.71</v>
      </c>
      <c r="N1014" s="10">
        <v>-1825483.39</v>
      </c>
      <c r="O1014" s="10">
        <v>-1002619.76</v>
      </c>
      <c r="P1014" s="10">
        <v>-1845339.56</v>
      </c>
      <c r="Q1014" s="10">
        <v>-2634187.52</v>
      </c>
      <c r="R1014" s="10">
        <v>-18024653.010000002</v>
      </c>
    </row>
    <row r="1015" spans="1:18" ht="12.75" x14ac:dyDescent="0.2">
      <c r="A1015" s="9" t="s">
        <v>332</v>
      </c>
      <c r="B1015" s="9" t="s">
        <v>239</v>
      </c>
      <c r="C1015" s="9" t="s">
        <v>307</v>
      </c>
      <c r="D1015" s="9" t="s">
        <v>52</v>
      </c>
      <c r="E1015" s="9" t="s">
        <v>305</v>
      </c>
      <c r="F1015" s="9" t="s">
        <v>334</v>
      </c>
      <c r="G1015" s="9" t="s">
        <v>307</v>
      </c>
      <c r="H1015" s="10">
        <v>-2849001.57</v>
      </c>
      <c r="I1015" s="10">
        <v>-1310824.03</v>
      </c>
      <c r="J1015" s="10">
        <v>-1231422.8899999999</v>
      </c>
      <c r="K1015" s="10">
        <v>-1693600.51</v>
      </c>
      <c r="L1015" s="10">
        <v>-1896734.07</v>
      </c>
      <c r="M1015" s="10">
        <v>-1735439.71</v>
      </c>
      <c r="N1015" s="10">
        <v>-1825483.39</v>
      </c>
      <c r="O1015" s="10">
        <v>-1002619.76</v>
      </c>
      <c r="P1015" s="10">
        <v>-1845339.56</v>
      </c>
      <c r="Q1015" s="10">
        <v>-2634187.52</v>
      </c>
      <c r="R1015" s="10">
        <v>-18024653.010000002</v>
      </c>
    </row>
    <row r="1016" spans="1:18" ht="12.75" x14ac:dyDescent="0.2">
      <c r="A1016" s="9" t="s">
        <v>335</v>
      </c>
      <c r="B1016" s="9" t="s">
        <v>239</v>
      </c>
      <c r="C1016" s="9" t="s">
        <v>307</v>
      </c>
      <c r="D1016" s="9" t="s">
        <v>87</v>
      </c>
      <c r="E1016" s="9" t="s">
        <v>270</v>
      </c>
      <c r="F1016" s="9" t="s">
        <v>334</v>
      </c>
      <c r="G1016" s="9" t="s">
        <v>307</v>
      </c>
      <c r="H1016" s="10">
        <v>-1463000.64</v>
      </c>
      <c r="I1016" s="10">
        <v>-1669705.95</v>
      </c>
      <c r="J1016" s="10">
        <v>-1018374.75</v>
      </c>
      <c r="K1016" s="10">
        <v>-1146305.24</v>
      </c>
      <c r="L1016" s="10">
        <v>-1089611.93</v>
      </c>
      <c r="M1016" s="10">
        <v>-1053216.8400000001</v>
      </c>
      <c r="N1016" s="10">
        <v>-1655555.13</v>
      </c>
      <c r="O1016" s="10">
        <v>-1078312.96</v>
      </c>
      <c r="P1016" s="10">
        <v>-1656912.8</v>
      </c>
      <c r="Q1016" s="10">
        <v>-1323849.7</v>
      </c>
      <c r="R1016" s="10">
        <v>-13154845.939999999</v>
      </c>
    </row>
    <row r="1017" spans="1:18" ht="12.75" x14ac:dyDescent="0.2">
      <c r="A1017" s="9" t="s">
        <v>335</v>
      </c>
      <c r="B1017" s="9" t="s">
        <v>239</v>
      </c>
      <c r="C1017" s="9" t="s">
        <v>307</v>
      </c>
      <c r="D1017" s="9" t="s">
        <v>87</v>
      </c>
      <c r="E1017" s="9" t="s">
        <v>273</v>
      </c>
      <c r="F1017" s="9" t="s">
        <v>334</v>
      </c>
      <c r="G1017" s="9" t="s">
        <v>307</v>
      </c>
      <c r="H1017" s="10">
        <v>-1463000.64</v>
      </c>
      <c r="I1017" s="10">
        <v>-1669705.95</v>
      </c>
      <c r="J1017" s="10">
        <v>-1018374.75</v>
      </c>
      <c r="K1017" s="10">
        <v>-1146305.24</v>
      </c>
      <c r="L1017" s="10">
        <v>-1089611.93</v>
      </c>
      <c r="M1017" s="10">
        <v>-1053216.8400000001</v>
      </c>
      <c r="N1017" s="10">
        <v>-1655555.13</v>
      </c>
      <c r="O1017" s="10">
        <v>-1078312.96</v>
      </c>
      <c r="P1017" s="10">
        <v>-1656912.8</v>
      </c>
      <c r="Q1017" s="10">
        <v>-1323849.7</v>
      </c>
      <c r="R1017" s="10">
        <v>-13154845.939999999</v>
      </c>
    </row>
    <row r="1018" spans="1:18" ht="12.75" x14ac:dyDescent="0.2">
      <c r="A1018" s="9" t="s">
        <v>335</v>
      </c>
      <c r="B1018" s="9" t="s">
        <v>239</v>
      </c>
      <c r="C1018" s="9" t="s">
        <v>307</v>
      </c>
      <c r="D1018" s="9" t="s">
        <v>87</v>
      </c>
      <c r="E1018" s="9" t="s">
        <v>276</v>
      </c>
      <c r="F1018" s="9" t="s">
        <v>334</v>
      </c>
      <c r="G1018" s="9" t="s">
        <v>307</v>
      </c>
      <c r="H1018" s="10">
        <v>-1463000.64</v>
      </c>
      <c r="I1018" s="10">
        <v>-1669705.95</v>
      </c>
      <c r="J1018" s="10">
        <v>-1018374.75</v>
      </c>
      <c r="K1018" s="10">
        <v>-1146305.24</v>
      </c>
      <c r="L1018" s="10">
        <v>-1089611.93</v>
      </c>
      <c r="M1018" s="10">
        <v>-1053216.8400000001</v>
      </c>
      <c r="N1018" s="10">
        <v>-1655555.13</v>
      </c>
      <c r="O1018" s="10">
        <v>-1078312.96</v>
      </c>
      <c r="P1018" s="10">
        <v>-1656912.8</v>
      </c>
      <c r="Q1018" s="10">
        <v>-1323849.7</v>
      </c>
      <c r="R1018" s="10">
        <v>-13154845.939999999</v>
      </c>
    </row>
    <row r="1019" spans="1:18" ht="12.75" x14ac:dyDescent="0.2">
      <c r="A1019" s="9" t="s">
        <v>335</v>
      </c>
      <c r="B1019" s="9" t="s">
        <v>239</v>
      </c>
      <c r="C1019" s="9" t="s">
        <v>307</v>
      </c>
      <c r="D1019" s="9" t="s">
        <v>87</v>
      </c>
      <c r="E1019" s="9" t="s">
        <v>274</v>
      </c>
      <c r="F1019" s="9" t="s">
        <v>334</v>
      </c>
      <c r="G1019" s="9" t="s">
        <v>307</v>
      </c>
      <c r="H1019" s="10">
        <v>-1463000.64</v>
      </c>
      <c r="I1019" s="10">
        <v>-1669705.95</v>
      </c>
      <c r="J1019" s="10">
        <v>-1018374.75</v>
      </c>
      <c r="K1019" s="10">
        <v>-1146305.24</v>
      </c>
      <c r="L1019" s="10">
        <v>-1089611.93</v>
      </c>
      <c r="M1019" s="10">
        <v>-1053216.8400000001</v>
      </c>
      <c r="N1019" s="10">
        <v>-1655555.13</v>
      </c>
      <c r="O1019" s="10">
        <v>-1078312.96</v>
      </c>
      <c r="P1019" s="10">
        <v>-1656912.8</v>
      </c>
      <c r="Q1019" s="10">
        <v>-1323849.7</v>
      </c>
      <c r="R1019" s="10">
        <v>-13154845.939999999</v>
      </c>
    </row>
    <row r="1020" spans="1:18" ht="12.75" x14ac:dyDescent="0.2">
      <c r="A1020" s="9" t="s">
        <v>335</v>
      </c>
      <c r="B1020" s="9" t="s">
        <v>239</v>
      </c>
      <c r="C1020" s="9" t="s">
        <v>307</v>
      </c>
      <c r="D1020" s="9" t="s">
        <v>96</v>
      </c>
      <c r="E1020" s="9" t="s">
        <v>286</v>
      </c>
      <c r="F1020" s="9" t="s">
        <v>334</v>
      </c>
      <c r="G1020" s="9" t="s">
        <v>307</v>
      </c>
      <c r="H1020" s="10">
        <v>-1450184.11</v>
      </c>
      <c r="I1020" s="10">
        <v>-2076838.44</v>
      </c>
      <c r="J1020" s="10">
        <v>-882696.61</v>
      </c>
      <c r="K1020" s="10">
        <v>-1139163.8500000001</v>
      </c>
      <c r="L1020" s="10">
        <v>-625784.03</v>
      </c>
      <c r="M1020" s="10">
        <v>-612566.06000000006</v>
      </c>
      <c r="N1020" s="10">
        <v>-2701893.25</v>
      </c>
      <c r="O1020" s="10">
        <v>-906019.6</v>
      </c>
      <c r="P1020" s="10">
        <v>-761539.03</v>
      </c>
      <c r="Q1020" s="10">
        <v>-610366.06000000006</v>
      </c>
      <c r="R1020" s="10">
        <v>-11767051.039999999</v>
      </c>
    </row>
    <row r="1021" spans="1:18" ht="12.75" x14ac:dyDescent="0.2">
      <c r="A1021" s="9" t="s">
        <v>335</v>
      </c>
      <c r="B1021" s="9" t="s">
        <v>239</v>
      </c>
      <c r="C1021" s="9" t="s">
        <v>307</v>
      </c>
      <c r="D1021" s="9" t="s">
        <v>96</v>
      </c>
      <c r="E1021" s="9" t="s">
        <v>281</v>
      </c>
      <c r="F1021" s="9" t="s">
        <v>334</v>
      </c>
      <c r="G1021" s="9" t="s">
        <v>307</v>
      </c>
      <c r="H1021" s="10">
        <v>-1450184.11</v>
      </c>
      <c r="I1021" s="10">
        <v>-2076838.44</v>
      </c>
      <c r="J1021" s="10">
        <v>-882696.61</v>
      </c>
      <c r="K1021" s="10">
        <v>-1139163.8500000001</v>
      </c>
      <c r="L1021" s="10">
        <v>-625784.03</v>
      </c>
      <c r="M1021" s="10">
        <v>-612566.06000000006</v>
      </c>
      <c r="N1021" s="10">
        <v>-2701893.25</v>
      </c>
      <c r="O1021" s="10">
        <v>-906019.6</v>
      </c>
      <c r="P1021" s="10">
        <v>-761539.03</v>
      </c>
      <c r="Q1021" s="10">
        <v>-610366.06000000006</v>
      </c>
      <c r="R1021" s="10">
        <v>-11767051.039999999</v>
      </c>
    </row>
    <row r="1022" spans="1:18" ht="12.75" x14ac:dyDescent="0.2">
      <c r="A1022" s="9" t="s">
        <v>335</v>
      </c>
      <c r="B1022" s="9" t="s">
        <v>239</v>
      </c>
      <c r="C1022" s="9" t="s">
        <v>307</v>
      </c>
      <c r="D1022" s="9" t="s">
        <v>96</v>
      </c>
      <c r="E1022" s="9" t="s">
        <v>282</v>
      </c>
      <c r="F1022" s="9" t="s">
        <v>334</v>
      </c>
      <c r="G1022" s="9" t="s">
        <v>307</v>
      </c>
      <c r="H1022" s="10">
        <v>-1450184.11</v>
      </c>
      <c r="I1022" s="10">
        <v>-2076838.44</v>
      </c>
      <c r="J1022" s="10">
        <v>-882696.61</v>
      </c>
      <c r="K1022" s="10">
        <v>-1139163.8500000001</v>
      </c>
      <c r="L1022" s="10">
        <v>-625784.03</v>
      </c>
      <c r="M1022" s="10">
        <v>-612566.06000000006</v>
      </c>
      <c r="N1022" s="10">
        <v>-2701893.25</v>
      </c>
      <c r="O1022" s="10">
        <v>-906019.6</v>
      </c>
      <c r="P1022" s="10">
        <v>-761539.03</v>
      </c>
      <c r="Q1022" s="10">
        <v>-610366.06000000006</v>
      </c>
      <c r="R1022" s="10">
        <v>-11767051.039999999</v>
      </c>
    </row>
    <row r="1023" spans="1:18" ht="12.75" x14ac:dyDescent="0.2">
      <c r="A1023" s="9" t="s">
        <v>335</v>
      </c>
      <c r="B1023" s="9" t="s">
        <v>239</v>
      </c>
      <c r="C1023" s="9" t="s">
        <v>307</v>
      </c>
      <c r="D1023" s="9" t="s">
        <v>112</v>
      </c>
      <c r="E1023" s="9" t="s">
        <v>294</v>
      </c>
      <c r="F1023" s="9" t="s">
        <v>334</v>
      </c>
      <c r="G1023" s="9" t="s">
        <v>307</v>
      </c>
      <c r="H1023" s="10">
        <v>-317864.21999999997</v>
      </c>
      <c r="I1023" s="10">
        <v>-642876.18999999994</v>
      </c>
      <c r="J1023" s="10">
        <v>-635092.31999999995</v>
      </c>
      <c r="K1023" s="10">
        <v>-725392.99</v>
      </c>
      <c r="L1023" s="10">
        <v>-622811.92000000004</v>
      </c>
      <c r="M1023" s="10">
        <v>-697992.07</v>
      </c>
      <c r="N1023" s="10">
        <v>-748699.84</v>
      </c>
      <c r="O1023" s="10">
        <v>-673954.43</v>
      </c>
      <c r="P1023" s="10">
        <v>-777132.67</v>
      </c>
      <c r="Q1023" s="10">
        <v>-722485.38</v>
      </c>
      <c r="R1023" s="10">
        <v>-6564302.0300000003</v>
      </c>
    </row>
    <row r="1024" spans="1:18" ht="12.75" x14ac:dyDescent="0.2">
      <c r="A1024" s="9" t="s">
        <v>335</v>
      </c>
      <c r="B1024" s="9" t="s">
        <v>239</v>
      </c>
      <c r="C1024" s="9" t="s">
        <v>307</v>
      </c>
      <c r="D1024" s="9" t="s">
        <v>112</v>
      </c>
      <c r="E1024" s="9" t="s">
        <v>292</v>
      </c>
      <c r="F1024" s="9" t="s">
        <v>334</v>
      </c>
      <c r="G1024" s="9" t="s">
        <v>307</v>
      </c>
      <c r="H1024" s="10">
        <v>-317864.21999999997</v>
      </c>
      <c r="I1024" s="10">
        <v>-642876.18999999994</v>
      </c>
      <c r="J1024" s="10">
        <v>-635092.31999999995</v>
      </c>
      <c r="K1024" s="10">
        <v>-725392.99</v>
      </c>
      <c r="L1024" s="10">
        <v>-622811.92000000004</v>
      </c>
      <c r="M1024" s="10">
        <v>-697992.07</v>
      </c>
      <c r="N1024" s="10">
        <v>-748699.84</v>
      </c>
      <c r="O1024" s="10">
        <v>-673954.43</v>
      </c>
      <c r="P1024" s="10">
        <v>-777132.67</v>
      </c>
      <c r="Q1024" s="10">
        <v>-722485.38</v>
      </c>
      <c r="R1024" s="10">
        <v>-6564302.0300000003</v>
      </c>
    </row>
    <row r="1025" spans="1:18" ht="12.75" x14ac:dyDescent="0.2">
      <c r="A1025" s="9" t="s">
        <v>335</v>
      </c>
      <c r="B1025" s="9" t="s">
        <v>239</v>
      </c>
      <c r="C1025" s="9" t="s">
        <v>307</v>
      </c>
      <c r="D1025" s="9" t="s">
        <v>112</v>
      </c>
      <c r="E1025" s="9" t="s">
        <v>301</v>
      </c>
      <c r="F1025" s="9" t="s">
        <v>334</v>
      </c>
      <c r="G1025" s="9" t="s">
        <v>307</v>
      </c>
      <c r="H1025" s="10">
        <v>-317864.21999999997</v>
      </c>
      <c r="I1025" s="10">
        <v>-642876.18999999994</v>
      </c>
      <c r="J1025" s="10">
        <v>-635092.31999999995</v>
      </c>
      <c r="K1025" s="10">
        <v>-725392.99</v>
      </c>
      <c r="L1025" s="10">
        <v>-622811.92000000004</v>
      </c>
      <c r="M1025" s="10">
        <v>-697992.07</v>
      </c>
      <c r="N1025" s="10">
        <v>-748699.84</v>
      </c>
      <c r="O1025" s="10">
        <v>-673954.43</v>
      </c>
      <c r="P1025" s="10">
        <v>-777132.67</v>
      </c>
      <c r="Q1025" s="10">
        <v>-722485.38</v>
      </c>
      <c r="R1025" s="10">
        <v>-6564302.0300000003</v>
      </c>
    </row>
    <row r="1026" spans="1:18" ht="12.75" x14ac:dyDescent="0.2">
      <c r="A1026" s="9" t="s">
        <v>335</v>
      </c>
      <c r="B1026" s="9" t="s">
        <v>239</v>
      </c>
      <c r="C1026" s="9" t="s">
        <v>307</v>
      </c>
      <c r="D1026" s="9" t="s">
        <v>112</v>
      </c>
      <c r="E1026" s="9" t="s">
        <v>300</v>
      </c>
      <c r="F1026" s="9" t="s">
        <v>334</v>
      </c>
      <c r="G1026" s="9" t="s">
        <v>307</v>
      </c>
      <c r="H1026" s="10">
        <v>-317864.21999999997</v>
      </c>
      <c r="I1026" s="10">
        <v>-642876.18999999994</v>
      </c>
      <c r="J1026" s="10">
        <v>-635092.31999999995</v>
      </c>
      <c r="K1026" s="10">
        <v>-725392.99</v>
      </c>
      <c r="L1026" s="10">
        <v>-622811.92000000004</v>
      </c>
      <c r="M1026" s="10">
        <v>-697992.07</v>
      </c>
      <c r="N1026" s="10">
        <v>-748699.84</v>
      </c>
      <c r="O1026" s="10">
        <v>-673954.43</v>
      </c>
      <c r="P1026" s="10">
        <v>-777132.67</v>
      </c>
      <c r="Q1026" s="10">
        <v>-722485.38</v>
      </c>
      <c r="R1026" s="10">
        <v>-6564302.0300000003</v>
      </c>
    </row>
    <row r="1027" spans="1:18" ht="12.75" x14ac:dyDescent="0.2">
      <c r="A1027" s="9" t="s">
        <v>349</v>
      </c>
      <c r="B1027" s="9" t="s">
        <v>239</v>
      </c>
      <c r="C1027" s="9" t="s">
        <v>308</v>
      </c>
      <c r="D1027" s="9" t="s">
        <v>238</v>
      </c>
      <c r="E1027" s="9" t="s">
        <v>241</v>
      </c>
      <c r="F1027" s="9" t="s">
        <v>334</v>
      </c>
      <c r="G1027" s="9" t="s">
        <v>308</v>
      </c>
      <c r="H1027" s="10">
        <v>-10737864.539999999</v>
      </c>
      <c r="I1027" s="10">
        <v>-9955780.3499999996</v>
      </c>
      <c r="J1027" s="10">
        <v>-9956826.8000000007</v>
      </c>
      <c r="K1027" s="10">
        <v>-11739592.93</v>
      </c>
      <c r="L1027" s="10">
        <v>-10871744.689999999</v>
      </c>
      <c r="M1027" s="10">
        <v>-10963322.92</v>
      </c>
      <c r="N1027" s="10">
        <v>-9599903.3100000005</v>
      </c>
      <c r="O1027" s="10">
        <v>-11026478.640000001</v>
      </c>
      <c r="P1027" s="10">
        <v>-12435539.119999999</v>
      </c>
      <c r="Q1027" s="10">
        <v>-11109884.23</v>
      </c>
      <c r="R1027" s="10">
        <v>-108396937.53</v>
      </c>
    </row>
    <row r="1028" spans="1:18" ht="12.75" x14ac:dyDescent="0.2">
      <c r="A1028" s="9" t="s">
        <v>349</v>
      </c>
      <c r="B1028" s="9" t="s">
        <v>239</v>
      </c>
      <c r="C1028" s="9" t="s">
        <v>308</v>
      </c>
      <c r="D1028" s="9" t="s">
        <v>238</v>
      </c>
      <c r="E1028" s="9" t="s">
        <v>242</v>
      </c>
      <c r="F1028" s="9" t="s">
        <v>334</v>
      </c>
      <c r="G1028" s="9" t="s">
        <v>308</v>
      </c>
      <c r="H1028" s="10">
        <v>-9547705.2799999993</v>
      </c>
      <c r="I1028" s="10">
        <v>-8852305.4399999995</v>
      </c>
      <c r="J1028" s="10">
        <v>-8853235.9000000004</v>
      </c>
      <c r="K1028" s="10">
        <v>-10438404.5</v>
      </c>
      <c r="L1028" s="10">
        <v>-9666746.4800000004</v>
      </c>
      <c r="M1028" s="10">
        <v>-9748174.4000000004</v>
      </c>
      <c r="N1028" s="10">
        <v>-8535872.9600000009</v>
      </c>
      <c r="O1028" s="10">
        <v>-9804330.0800000001</v>
      </c>
      <c r="P1028" s="10">
        <v>-11057213.67</v>
      </c>
      <c r="Q1028" s="10">
        <v>-9878491.1999999993</v>
      </c>
      <c r="R1028" s="10">
        <v>-96382479.909999996</v>
      </c>
    </row>
    <row r="1029" spans="1:18" ht="12.75" x14ac:dyDescent="0.2">
      <c r="A1029" s="9" t="s">
        <v>332</v>
      </c>
      <c r="B1029" s="9" t="s">
        <v>239</v>
      </c>
      <c r="C1029" s="9" t="s">
        <v>308</v>
      </c>
      <c r="D1029" s="9" t="s">
        <v>74</v>
      </c>
      <c r="E1029" s="9" t="s">
        <v>244</v>
      </c>
      <c r="F1029" s="9" t="s">
        <v>334</v>
      </c>
      <c r="G1029" s="9" t="s">
        <v>308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9">
        <v>0</v>
      </c>
    </row>
    <row r="1030" spans="1:18" ht="12.75" x14ac:dyDescent="0.2">
      <c r="A1030" s="9" t="s">
        <v>332</v>
      </c>
      <c r="B1030" s="9" t="s">
        <v>239</v>
      </c>
      <c r="C1030" s="9" t="s">
        <v>308</v>
      </c>
      <c r="D1030" s="9" t="s">
        <v>74</v>
      </c>
      <c r="E1030" s="9" t="s">
        <v>245</v>
      </c>
      <c r="F1030" s="9" t="s">
        <v>334</v>
      </c>
      <c r="G1030" s="9" t="s">
        <v>308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9">
        <v>0</v>
      </c>
    </row>
    <row r="1031" spans="1:18" ht="12.75" x14ac:dyDescent="0.2">
      <c r="A1031" s="9" t="s">
        <v>332</v>
      </c>
      <c r="B1031" s="9" t="s">
        <v>239</v>
      </c>
      <c r="C1031" s="9" t="s">
        <v>308</v>
      </c>
      <c r="D1031" s="9" t="s">
        <v>74</v>
      </c>
      <c r="E1031" s="9" t="s">
        <v>246</v>
      </c>
      <c r="F1031" s="9" t="s">
        <v>334</v>
      </c>
      <c r="G1031" s="9" t="s">
        <v>308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9">
        <v>0</v>
      </c>
    </row>
    <row r="1032" spans="1:18" ht="12.75" x14ac:dyDescent="0.2">
      <c r="A1032" s="9" t="s">
        <v>332</v>
      </c>
      <c r="B1032" s="9" t="s">
        <v>239</v>
      </c>
      <c r="C1032" s="9" t="s">
        <v>308</v>
      </c>
      <c r="D1032" s="9" t="s">
        <v>74</v>
      </c>
      <c r="E1032" s="9" t="s">
        <v>247</v>
      </c>
      <c r="F1032" s="9" t="s">
        <v>334</v>
      </c>
      <c r="G1032" s="9" t="s">
        <v>308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9">
        <v>0</v>
      </c>
    </row>
    <row r="1033" spans="1:18" ht="12.75" x14ac:dyDescent="0.2">
      <c r="A1033" s="9" t="s">
        <v>332</v>
      </c>
      <c r="B1033" s="9" t="s">
        <v>239</v>
      </c>
      <c r="C1033" s="9" t="s">
        <v>308</v>
      </c>
      <c r="D1033" s="9" t="s">
        <v>74</v>
      </c>
      <c r="E1033" s="9" t="s">
        <v>248</v>
      </c>
      <c r="F1033" s="9" t="s">
        <v>334</v>
      </c>
      <c r="G1033" s="9" t="s">
        <v>308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9">
        <v>0</v>
      </c>
    </row>
    <row r="1034" spans="1:18" ht="12.75" x14ac:dyDescent="0.2">
      <c r="A1034" s="9" t="s">
        <v>332</v>
      </c>
      <c r="B1034" s="9" t="s">
        <v>239</v>
      </c>
      <c r="C1034" s="9" t="s">
        <v>308</v>
      </c>
      <c r="D1034" s="9" t="s">
        <v>74</v>
      </c>
      <c r="E1034" s="9" t="s">
        <v>249</v>
      </c>
      <c r="F1034" s="9" t="s">
        <v>334</v>
      </c>
      <c r="G1034" s="9" t="s">
        <v>308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9">
        <v>0</v>
      </c>
    </row>
    <row r="1035" spans="1:18" ht="12.75" x14ac:dyDescent="0.2">
      <c r="A1035" s="9" t="s">
        <v>332</v>
      </c>
      <c r="B1035" s="9" t="s">
        <v>239</v>
      </c>
      <c r="C1035" s="9" t="s">
        <v>308</v>
      </c>
      <c r="D1035" s="9" t="s">
        <v>74</v>
      </c>
      <c r="E1035" s="9" t="s">
        <v>250</v>
      </c>
      <c r="F1035" s="9" t="s">
        <v>334</v>
      </c>
      <c r="G1035" s="9" t="s">
        <v>308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9">
        <v>0</v>
      </c>
    </row>
    <row r="1036" spans="1:18" ht="12.75" x14ac:dyDescent="0.2">
      <c r="A1036" s="9" t="s">
        <v>332</v>
      </c>
      <c r="B1036" s="9" t="s">
        <v>239</v>
      </c>
      <c r="C1036" s="9" t="s">
        <v>308</v>
      </c>
      <c r="D1036" s="9" t="s">
        <v>74</v>
      </c>
      <c r="E1036" s="9" t="s">
        <v>251</v>
      </c>
      <c r="F1036" s="9" t="s">
        <v>334</v>
      </c>
      <c r="G1036" s="9" t="s">
        <v>308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9">
        <v>0</v>
      </c>
    </row>
    <row r="1037" spans="1:18" ht="12.75" x14ac:dyDescent="0.2">
      <c r="A1037" s="9" t="s">
        <v>332</v>
      </c>
      <c r="B1037" s="9" t="s">
        <v>239</v>
      </c>
      <c r="C1037" s="9" t="s">
        <v>308</v>
      </c>
      <c r="D1037" s="9" t="s">
        <v>52</v>
      </c>
      <c r="E1037" s="9" t="s">
        <v>253</v>
      </c>
      <c r="F1037" s="9" t="s">
        <v>334</v>
      </c>
      <c r="G1037" s="9" t="s">
        <v>308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9">
        <v>0</v>
      </c>
    </row>
    <row r="1038" spans="1:18" ht="12.75" x14ac:dyDescent="0.2">
      <c r="A1038" s="9" t="s">
        <v>332</v>
      </c>
      <c r="B1038" s="9" t="s">
        <v>239</v>
      </c>
      <c r="C1038" s="9" t="s">
        <v>308</v>
      </c>
      <c r="D1038" s="9" t="s">
        <v>52</v>
      </c>
      <c r="E1038" s="9" t="s">
        <v>254</v>
      </c>
      <c r="F1038" s="9" t="s">
        <v>334</v>
      </c>
      <c r="G1038" s="9" t="s">
        <v>308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9">
        <v>0</v>
      </c>
    </row>
    <row r="1039" spans="1:18" ht="12.75" x14ac:dyDescent="0.2">
      <c r="A1039" s="9" t="s">
        <v>332</v>
      </c>
      <c r="B1039" s="9" t="s">
        <v>239</v>
      </c>
      <c r="C1039" s="9" t="s">
        <v>308</v>
      </c>
      <c r="D1039" s="9" t="s">
        <v>52</v>
      </c>
      <c r="E1039" s="9" t="s">
        <v>255</v>
      </c>
      <c r="F1039" s="9" t="s">
        <v>334</v>
      </c>
      <c r="G1039" s="9" t="s">
        <v>308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9">
        <v>0</v>
      </c>
    </row>
    <row r="1040" spans="1:18" ht="12.75" x14ac:dyDescent="0.2">
      <c r="A1040" s="9" t="s">
        <v>332</v>
      </c>
      <c r="B1040" s="9" t="s">
        <v>239</v>
      </c>
      <c r="C1040" s="9" t="s">
        <v>308</v>
      </c>
      <c r="D1040" s="9" t="s">
        <v>52</v>
      </c>
      <c r="E1040" s="9" t="s">
        <v>256</v>
      </c>
      <c r="F1040" s="9" t="s">
        <v>334</v>
      </c>
      <c r="G1040" s="9" t="s">
        <v>308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9">
        <v>0</v>
      </c>
    </row>
    <row r="1041" spans="1:18" ht="12.75" x14ac:dyDescent="0.2">
      <c r="A1041" s="9" t="s">
        <v>332</v>
      </c>
      <c r="B1041" s="9" t="s">
        <v>239</v>
      </c>
      <c r="C1041" s="9" t="s">
        <v>308</v>
      </c>
      <c r="D1041" s="9" t="s">
        <v>52</v>
      </c>
      <c r="E1041" s="9" t="s">
        <v>257</v>
      </c>
      <c r="F1041" s="9" t="s">
        <v>334</v>
      </c>
      <c r="G1041" s="9" t="s">
        <v>308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9">
        <v>0</v>
      </c>
    </row>
    <row r="1042" spans="1:18" ht="12.75" x14ac:dyDescent="0.2">
      <c r="A1042" s="9" t="s">
        <v>332</v>
      </c>
      <c r="B1042" s="9" t="s">
        <v>239</v>
      </c>
      <c r="C1042" s="9" t="s">
        <v>308</v>
      </c>
      <c r="D1042" s="9" t="s">
        <v>52</v>
      </c>
      <c r="E1042" s="9" t="s">
        <v>258</v>
      </c>
      <c r="F1042" s="9" t="s">
        <v>334</v>
      </c>
      <c r="G1042" s="9" t="s">
        <v>308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9">
        <v>0</v>
      </c>
    </row>
    <row r="1043" spans="1:18" ht="12.75" x14ac:dyDescent="0.2">
      <c r="A1043" s="9" t="s">
        <v>332</v>
      </c>
      <c r="B1043" s="9" t="s">
        <v>239</v>
      </c>
      <c r="C1043" s="9" t="s">
        <v>308</v>
      </c>
      <c r="D1043" s="9" t="s">
        <v>52</v>
      </c>
      <c r="E1043" s="9" t="s">
        <v>259</v>
      </c>
      <c r="F1043" s="9" t="s">
        <v>334</v>
      </c>
      <c r="G1043" s="9" t="s">
        <v>308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9">
        <v>0</v>
      </c>
    </row>
    <row r="1044" spans="1:18" ht="12.75" x14ac:dyDescent="0.2">
      <c r="A1044" s="9" t="s">
        <v>332</v>
      </c>
      <c r="B1044" s="9" t="s">
        <v>239</v>
      </c>
      <c r="C1044" s="9" t="s">
        <v>308</v>
      </c>
      <c r="D1044" s="9" t="s">
        <v>52</v>
      </c>
      <c r="E1044" s="9" t="s">
        <v>260</v>
      </c>
      <c r="F1044" s="9" t="s">
        <v>334</v>
      </c>
      <c r="G1044" s="9" t="s">
        <v>308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9">
        <v>0</v>
      </c>
    </row>
    <row r="1045" spans="1:18" ht="12.75" x14ac:dyDescent="0.2">
      <c r="A1045" s="9" t="s">
        <v>332</v>
      </c>
      <c r="B1045" s="9" t="s">
        <v>239</v>
      </c>
      <c r="C1045" s="9" t="s">
        <v>308</v>
      </c>
      <c r="D1045" s="9" t="s">
        <v>52</v>
      </c>
      <c r="E1045" s="9" t="s">
        <v>261</v>
      </c>
      <c r="F1045" s="9" t="s">
        <v>334</v>
      </c>
      <c r="G1045" s="9" t="s">
        <v>308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9">
        <v>0</v>
      </c>
    </row>
    <row r="1046" spans="1:18" ht="12.75" x14ac:dyDescent="0.2">
      <c r="A1046" s="9" t="s">
        <v>332</v>
      </c>
      <c r="B1046" s="9" t="s">
        <v>239</v>
      </c>
      <c r="C1046" s="9" t="s">
        <v>308</v>
      </c>
      <c r="D1046" s="9" t="s">
        <v>52</v>
      </c>
      <c r="E1046" s="9" t="s">
        <v>262</v>
      </c>
      <c r="F1046" s="9" t="s">
        <v>334</v>
      </c>
      <c r="G1046" s="9" t="s">
        <v>308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9">
        <v>0</v>
      </c>
    </row>
    <row r="1047" spans="1:18" ht="12.75" x14ac:dyDescent="0.2">
      <c r="A1047" s="9" t="s">
        <v>332</v>
      </c>
      <c r="B1047" s="9" t="s">
        <v>239</v>
      </c>
      <c r="C1047" s="9" t="s">
        <v>308</v>
      </c>
      <c r="D1047" s="9" t="s">
        <v>52</v>
      </c>
      <c r="E1047" s="9" t="s">
        <v>263</v>
      </c>
      <c r="F1047" s="9" t="s">
        <v>334</v>
      </c>
      <c r="G1047" s="9" t="s">
        <v>308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9">
        <v>0</v>
      </c>
    </row>
    <row r="1048" spans="1:18" ht="12.75" x14ac:dyDescent="0.2">
      <c r="A1048" s="9" t="s">
        <v>332</v>
      </c>
      <c r="B1048" s="9" t="s">
        <v>239</v>
      </c>
      <c r="C1048" s="9" t="s">
        <v>308</v>
      </c>
      <c r="D1048" s="9" t="s">
        <v>52</v>
      </c>
      <c r="E1048" s="9" t="s">
        <v>264</v>
      </c>
      <c r="F1048" s="9" t="s">
        <v>334</v>
      </c>
      <c r="G1048" s="9" t="s">
        <v>308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9">
        <v>0</v>
      </c>
    </row>
    <row r="1049" spans="1:18" ht="12.75" x14ac:dyDescent="0.2">
      <c r="A1049" s="9" t="s">
        <v>332</v>
      </c>
      <c r="B1049" s="9" t="s">
        <v>239</v>
      </c>
      <c r="C1049" s="9" t="s">
        <v>308</v>
      </c>
      <c r="D1049" s="9" t="s">
        <v>52</v>
      </c>
      <c r="E1049" s="9" t="s">
        <v>265</v>
      </c>
      <c r="F1049" s="9" t="s">
        <v>334</v>
      </c>
      <c r="G1049" s="9" t="s">
        <v>308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9">
        <v>0</v>
      </c>
    </row>
    <row r="1050" spans="1:18" ht="12.75" x14ac:dyDescent="0.2">
      <c r="A1050" s="9" t="s">
        <v>332</v>
      </c>
      <c r="B1050" s="9" t="s">
        <v>239</v>
      </c>
      <c r="C1050" s="9" t="s">
        <v>308</v>
      </c>
      <c r="D1050" s="9" t="s">
        <v>52</v>
      </c>
      <c r="E1050" s="9" t="s">
        <v>266</v>
      </c>
      <c r="F1050" s="9" t="s">
        <v>334</v>
      </c>
      <c r="G1050" s="9" t="s">
        <v>308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9">
        <v>0</v>
      </c>
    </row>
    <row r="1051" spans="1:18" ht="12.75" x14ac:dyDescent="0.2">
      <c r="A1051" s="9" t="s">
        <v>332</v>
      </c>
      <c r="B1051" s="9" t="s">
        <v>239</v>
      </c>
      <c r="C1051" s="9" t="s">
        <v>308</v>
      </c>
      <c r="D1051" s="9" t="s">
        <v>52</v>
      </c>
      <c r="E1051" s="9" t="s">
        <v>267</v>
      </c>
      <c r="F1051" s="9" t="s">
        <v>334</v>
      </c>
      <c r="G1051" s="9" t="s">
        <v>308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9">
        <v>0</v>
      </c>
    </row>
    <row r="1052" spans="1:18" ht="12.75" x14ac:dyDescent="0.2">
      <c r="A1052" s="9" t="s">
        <v>332</v>
      </c>
      <c r="B1052" s="9" t="s">
        <v>239</v>
      </c>
      <c r="C1052" s="9" t="s">
        <v>308</v>
      </c>
      <c r="D1052" s="9" t="s">
        <v>52</v>
      </c>
      <c r="E1052" s="9" t="s">
        <v>268</v>
      </c>
      <c r="F1052" s="9" t="s">
        <v>334</v>
      </c>
      <c r="G1052" s="9" t="s">
        <v>308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9">
        <v>0</v>
      </c>
    </row>
    <row r="1053" spans="1:18" ht="12.75" x14ac:dyDescent="0.2">
      <c r="A1053" s="9" t="s">
        <v>332</v>
      </c>
      <c r="B1053" s="9" t="s">
        <v>239</v>
      </c>
      <c r="C1053" s="9" t="s">
        <v>308</v>
      </c>
      <c r="D1053" s="9" t="s">
        <v>87</v>
      </c>
      <c r="E1053" s="9" t="s">
        <v>270</v>
      </c>
      <c r="F1053" s="9" t="s">
        <v>334</v>
      </c>
      <c r="G1053" s="9" t="s">
        <v>308</v>
      </c>
      <c r="H1053" s="10">
        <v>-5653.8</v>
      </c>
      <c r="I1053" s="10">
        <v>0</v>
      </c>
      <c r="J1053" s="10">
        <v>-69279.210000000006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-74933.009999999995</v>
      </c>
    </row>
    <row r="1054" spans="1:18" ht="12.75" x14ac:dyDescent="0.2">
      <c r="A1054" s="9" t="s">
        <v>332</v>
      </c>
      <c r="B1054" s="9" t="s">
        <v>239</v>
      </c>
      <c r="C1054" s="9" t="s">
        <v>308</v>
      </c>
      <c r="D1054" s="9" t="s">
        <v>87</v>
      </c>
      <c r="E1054" s="9" t="s">
        <v>271</v>
      </c>
      <c r="F1054" s="9" t="s">
        <v>334</v>
      </c>
      <c r="G1054" s="9" t="s">
        <v>308</v>
      </c>
      <c r="H1054" s="10">
        <v>-5653.8</v>
      </c>
      <c r="I1054" s="10">
        <v>0</v>
      </c>
      <c r="J1054" s="10">
        <v>-69279.210000000006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-74933.009999999995</v>
      </c>
    </row>
    <row r="1055" spans="1:18" ht="12.75" x14ac:dyDescent="0.2">
      <c r="A1055" s="9" t="s">
        <v>332</v>
      </c>
      <c r="B1055" s="9" t="s">
        <v>239</v>
      </c>
      <c r="C1055" s="9" t="s">
        <v>308</v>
      </c>
      <c r="D1055" s="9" t="s">
        <v>87</v>
      </c>
      <c r="E1055" s="9" t="s">
        <v>272</v>
      </c>
      <c r="F1055" s="9" t="s">
        <v>334</v>
      </c>
      <c r="G1055" s="9" t="s">
        <v>308</v>
      </c>
      <c r="H1055" s="10">
        <v>-5653.8</v>
      </c>
      <c r="I1055" s="10">
        <v>0</v>
      </c>
      <c r="J1055" s="10">
        <v>-69279.210000000006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-74933.009999999995</v>
      </c>
    </row>
    <row r="1056" spans="1:18" ht="12.75" x14ac:dyDescent="0.2">
      <c r="A1056" s="9" t="s">
        <v>332</v>
      </c>
      <c r="B1056" s="9" t="s">
        <v>239</v>
      </c>
      <c r="C1056" s="9" t="s">
        <v>308</v>
      </c>
      <c r="D1056" s="9" t="s">
        <v>87</v>
      </c>
      <c r="E1056" s="9" t="s">
        <v>273</v>
      </c>
      <c r="F1056" s="9" t="s">
        <v>334</v>
      </c>
      <c r="G1056" s="9" t="s">
        <v>308</v>
      </c>
      <c r="H1056" s="10">
        <v>-5653.8</v>
      </c>
      <c r="I1056" s="10">
        <v>0</v>
      </c>
      <c r="J1056" s="10">
        <v>-69279.210000000006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-74933.009999999995</v>
      </c>
    </row>
    <row r="1057" spans="1:18" ht="12.75" x14ac:dyDescent="0.2">
      <c r="A1057" s="9" t="s">
        <v>332</v>
      </c>
      <c r="B1057" s="9" t="s">
        <v>239</v>
      </c>
      <c r="C1057" s="9" t="s">
        <v>308</v>
      </c>
      <c r="D1057" s="9" t="s">
        <v>87</v>
      </c>
      <c r="E1057" s="9" t="s">
        <v>274</v>
      </c>
      <c r="F1057" s="9" t="s">
        <v>334</v>
      </c>
      <c r="G1057" s="9" t="s">
        <v>308</v>
      </c>
      <c r="H1057" s="10">
        <v>-5653.8</v>
      </c>
      <c r="I1057" s="10">
        <v>0</v>
      </c>
      <c r="J1057" s="10">
        <v>-69279.210000000006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-74933.009999999995</v>
      </c>
    </row>
    <row r="1058" spans="1:18" ht="12.75" x14ac:dyDescent="0.2">
      <c r="A1058" s="9" t="s">
        <v>332</v>
      </c>
      <c r="B1058" s="9" t="s">
        <v>239</v>
      </c>
      <c r="C1058" s="9" t="s">
        <v>308</v>
      </c>
      <c r="D1058" s="9" t="s">
        <v>87</v>
      </c>
      <c r="E1058" s="9" t="s">
        <v>275</v>
      </c>
      <c r="F1058" s="9" t="s">
        <v>334</v>
      </c>
      <c r="G1058" s="9" t="s">
        <v>308</v>
      </c>
      <c r="H1058" s="10">
        <v>-5653.8</v>
      </c>
      <c r="I1058" s="10">
        <v>0</v>
      </c>
      <c r="J1058" s="10">
        <v>-69279.210000000006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-74933.009999999995</v>
      </c>
    </row>
    <row r="1059" spans="1:18" ht="12.75" x14ac:dyDescent="0.2">
      <c r="A1059" s="9" t="s">
        <v>332</v>
      </c>
      <c r="B1059" s="9" t="s">
        <v>239</v>
      </c>
      <c r="C1059" s="9" t="s">
        <v>308</v>
      </c>
      <c r="D1059" s="9" t="s">
        <v>87</v>
      </c>
      <c r="E1059" s="9" t="s">
        <v>276</v>
      </c>
      <c r="F1059" s="9" t="s">
        <v>334</v>
      </c>
      <c r="G1059" s="9" t="s">
        <v>308</v>
      </c>
      <c r="H1059" s="10">
        <v>-5653.8</v>
      </c>
      <c r="I1059" s="10">
        <v>0</v>
      </c>
      <c r="J1059" s="10">
        <v>-69279.210000000006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-74933.009999999995</v>
      </c>
    </row>
    <row r="1060" spans="1:18" ht="12.75" x14ac:dyDescent="0.2">
      <c r="A1060" s="9" t="s">
        <v>332</v>
      </c>
      <c r="B1060" s="9" t="s">
        <v>239</v>
      </c>
      <c r="C1060" s="9" t="s">
        <v>308</v>
      </c>
      <c r="D1060" s="9" t="s">
        <v>96</v>
      </c>
      <c r="E1060" s="9" t="s">
        <v>277</v>
      </c>
      <c r="F1060" s="9" t="s">
        <v>334</v>
      </c>
      <c r="G1060" s="9" t="s">
        <v>308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9">
        <v>0</v>
      </c>
    </row>
    <row r="1061" spans="1:18" ht="12.75" x14ac:dyDescent="0.2">
      <c r="A1061" s="9" t="s">
        <v>332</v>
      </c>
      <c r="B1061" s="9" t="s">
        <v>239</v>
      </c>
      <c r="C1061" s="9" t="s">
        <v>308</v>
      </c>
      <c r="D1061" s="9" t="s">
        <v>96</v>
      </c>
      <c r="E1061" s="9" t="s">
        <v>278</v>
      </c>
      <c r="F1061" s="9" t="s">
        <v>334</v>
      </c>
      <c r="G1061" s="9" t="s">
        <v>308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9">
        <v>0</v>
      </c>
    </row>
    <row r="1062" spans="1:18" ht="12.75" x14ac:dyDescent="0.2">
      <c r="A1062" s="9" t="s">
        <v>332</v>
      </c>
      <c r="B1062" s="9" t="s">
        <v>239</v>
      </c>
      <c r="C1062" s="9" t="s">
        <v>308</v>
      </c>
      <c r="D1062" s="9" t="s">
        <v>96</v>
      </c>
      <c r="E1062" s="9" t="s">
        <v>279</v>
      </c>
      <c r="F1062" s="9" t="s">
        <v>334</v>
      </c>
      <c r="G1062" s="9" t="s">
        <v>308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9">
        <v>0</v>
      </c>
    </row>
    <row r="1063" spans="1:18" ht="12.75" x14ac:dyDescent="0.2">
      <c r="A1063" s="9" t="s">
        <v>332</v>
      </c>
      <c r="B1063" s="9" t="s">
        <v>239</v>
      </c>
      <c r="C1063" s="9" t="s">
        <v>308</v>
      </c>
      <c r="D1063" s="9" t="s">
        <v>96</v>
      </c>
      <c r="E1063" s="9" t="s">
        <v>280</v>
      </c>
      <c r="F1063" s="9" t="s">
        <v>334</v>
      </c>
      <c r="G1063" s="9" t="s">
        <v>308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9">
        <v>0</v>
      </c>
    </row>
    <row r="1064" spans="1:18" ht="12.75" x14ac:dyDescent="0.2">
      <c r="A1064" s="9" t="s">
        <v>332</v>
      </c>
      <c r="B1064" s="9" t="s">
        <v>239</v>
      </c>
      <c r="C1064" s="9" t="s">
        <v>308</v>
      </c>
      <c r="D1064" s="9" t="s">
        <v>96</v>
      </c>
      <c r="E1064" s="9" t="s">
        <v>281</v>
      </c>
      <c r="F1064" s="9" t="s">
        <v>334</v>
      </c>
      <c r="G1064" s="9" t="s">
        <v>308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9">
        <v>0</v>
      </c>
    </row>
    <row r="1065" spans="1:18" ht="12.75" x14ac:dyDescent="0.2">
      <c r="A1065" s="9" t="s">
        <v>332</v>
      </c>
      <c r="B1065" s="9" t="s">
        <v>239</v>
      </c>
      <c r="C1065" s="9" t="s">
        <v>308</v>
      </c>
      <c r="D1065" s="9" t="s">
        <v>96</v>
      </c>
      <c r="E1065" s="9" t="s">
        <v>282</v>
      </c>
      <c r="F1065" s="9" t="s">
        <v>334</v>
      </c>
      <c r="G1065" s="9" t="s">
        <v>308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9">
        <v>0</v>
      </c>
    </row>
    <row r="1066" spans="1:18" ht="12.75" x14ac:dyDescent="0.2">
      <c r="A1066" s="9" t="s">
        <v>332</v>
      </c>
      <c r="B1066" s="9" t="s">
        <v>239</v>
      </c>
      <c r="C1066" s="9" t="s">
        <v>308</v>
      </c>
      <c r="D1066" s="9" t="s">
        <v>96</v>
      </c>
      <c r="E1066" s="9" t="s">
        <v>283</v>
      </c>
      <c r="F1066" s="9" t="s">
        <v>334</v>
      </c>
      <c r="G1066" s="9" t="s">
        <v>308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9">
        <v>0</v>
      </c>
    </row>
    <row r="1067" spans="1:18" ht="12.75" x14ac:dyDescent="0.2">
      <c r="A1067" s="9" t="s">
        <v>332</v>
      </c>
      <c r="B1067" s="9" t="s">
        <v>239</v>
      </c>
      <c r="C1067" s="9" t="s">
        <v>308</v>
      </c>
      <c r="D1067" s="9" t="s">
        <v>96</v>
      </c>
      <c r="E1067" s="9" t="s">
        <v>284</v>
      </c>
      <c r="F1067" s="9" t="s">
        <v>334</v>
      </c>
      <c r="G1067" s="9" t="s">
        <v>308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9">
        <v>0</v>
      </c>
    </row>
    <row r="1068" spans="1:18" ht="12.75" x14ac:dyDescent="0.2">
      <c r="A1068" s="9" t="s">
        <v>332</v>
      </c>
      <c r="B1068" s="9" t="s">
        <v>239</v>
      </c>
      <c r="C1068" s="9" t="s">
        <v>308</v>
      </c>
      <c r="D1068" s="9" t="s">
        <v>96</v>
      </c>
      <c r="E1068" s="9" t="s">
        <v>285</v>
      </c>
      <c r="F1068" s="9" t="s">
        <v>334</v>
      </c>
      <c r="G1068" s="9" t="s">
        <v>308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9">
        <v>0</v>
      </c>
    </row>
    <row r="1069" spans="1:18" ht="12.75" x14ac:dyDescent="0.2">
      <c r="A1069" s="9" t="s">
        <v>332</v>
      </c>
      <c r="B1069" s="9" t="s">
        <v>239</v>
      </c>
      <c r="C1069" s="9" t="s">
        <v>308</v>
      </c>
      <c r="D1069" s="9" t="s">
        <v>96</v>
      </c>
      <c r="E1069" s="9" t="s">
        <v>286</v>
      </c>
      <c r="F1069" s="9" t="s">
        <v>334</v>
      </c>
      <c r="G1069" s="9" t="s">
        <v>308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9">
        <v>0</v>
      </c>
    </row>
    <row r="1070" spans="1:18" ht="12.75" x14ac:dyDescent="0.2">
      <c r="A1070" s="9" t="s">
        <v>332</v>
      </c>
      <c r="B1070" s="9" t="s">
        <v>239</v>
      </c>
      <c r="C1070" s="9" t="s">
        <v>308</v>
      </c>
      <c r="D1070" s="9" t="s">
        <v>112</v>
      </c>
      <c r="E1070" s="9" t="s">
        <v>288</v>
      </c>
      <c r="F1070" s="9" t="s">
        <v>334</v>
      </c>
      <c r="G1070" s="9" t="s">
        <v>308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9">
        <v>0</v>
      </c>
    </row>
    <row r="1071" spans="1:18" ht="12.75" x14ac:dyDescent="0.2">
      <c r="A1071" s="9" t="s">
        <v>332</v>
      </c>
      <c r="B1071" s="9" t="s">
        <v>239</v>
      </c>
      <c r="C1071" s="9" t="s">
        <v>308</v>
      </c>
      <c r="D1071" s="9" t="s">
        <v>112</v>
      </c>
      <c r="E1071" s="9" t="s">
        <v>289</v>
      </c>
      <c r="F1071" s="9" t="s">
        <v>334</v>
      </c>
      <c r="G1071" s="9" t="s">
        <v>308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9">
        <v>0</v>
      </c>
    </row>
    <row r="1072" spans="1:18" ht="12.75" x14ac:dyDescent="0.2">
      <c r="A1072" s="9" t="s">
        <v>332</v>
      </c>
      <c r="B1072" s="9" t="s">
        <v>239</v>
      </c>
      <c r="C1072" s="9" t="s">
        <v>308</v>
      </c>
      <c r="D1072" s="9" t="s">
        <v>112</v>
      </c>
      <c r="E1072" s="9" t="s">
        <v>290</v>
      </c>
      <c r="F1072" s="9" t="s">
        <v>334</v>
      </c>
      <c r="G1072" s="9" t="s">
        <v>308</v>
      </c>
      <c r="H1072" s="10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9">
        <v>0</v>
      </c>
    </row>
    <row r="1073" spans="1:18" ht="12.75" x14ac:dyDescent="0.2">
      <c r="A1073" s="9" t="s">
        <v>332</v>
      </c>
      <c r="B1073" s="9" t="s">
        <v>239</v>
      </c>
      <c r="C1073" s="9" t="s">
        <v>308</v>
      </c>
      <c r="D1073" s="9" t="s">
        <v>112</v>
      </c>
      <c r="E1073" s="9" t="s">
        <v>291</v>
      </c>
      <c r="F1073" s="9" t="s">
        <v>334</v>
      </c>
      <c r="G1073" s="9" t="s">
        <v>308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9">
        <v>0</v>
      </c>
    </row>
    <row r="1074" spans="1:18" ht="12.75" x14ac:dyDescent="0.2">
      <c r="A1074" s="9" t="s">
        <v>332</v>
      </c>
      <c r="B1074" s="9" t="s">
        <v>239</v>
      </c>
      <c r="C1074" s="9" t="s">
        <v>308</v>
      </c>
      <c r="D1074" s="9" t="s">
        <v>112</v>
      </c>
      <c r="E1074" s="9" t="s">
        <v>292</v>
      </c>
      <c r="F1074" s="9" t="s">
        <v>334</v>
      </c>
      <c r="G1074" s="9" t="s">
        <v>308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9">
        <v>0</v>
      </c>
    </row>
    <row r="1075" spans="1:18" ht="12.75" x14ac:dyDescent="0.2">
      <c r="A1075" s="9" t="s">
        <v>332</v>
      </c>
      <c r="B1075" s="9" t="s">
        <v>239</v>
      </c>
      <c r="C1075" s="9" t="s">
        <v>308</v>
      </c>
      <c r="D1075" s="9" t="s">
        <v>112</v>
      </c>
      <c r="E1075" s="9" t="s">
        <v>293</v>
      </c>
      <c r="F1075" s="9" t="s">
        <v>334</v>
      </c>
      <c r="G1075" s="9" t="s">
        <v>308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9">
        <v>0</v>
      </c>
    </row>
    <row r="1076" spans="1:18" ht="12.75" x14ac:dyDescent="0.2">
      <c r="A1076" s="9" t="s">
        <v>332</v>
      </c>
      <c r="B1076" s="9" t="s">
        <v>239</v>
      </c>
      <c r="C1076" s="9" t="s">
        <v>308</v>
      </c>
      <c r="D1076" s="9" t="s">
        <v>112</v>
      </c>
      <c r="E1076" s="9" t="s">
        <v>294</v>
      </c>
      <c r="F1076" s="9" t="s">
        <v>334</v>
      </c>
      <c r="G1076" s="9" t="s">
        <v>308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9">
        <v>0</v>
      </c>
    </row>
    <row r="1077" spans="1:18" ht="12.75" x14ac:dyDescent="0.2">
      <c r="A1077" s="9" t="s">
        <v>332</v>
      </c>
      <c r="B1077" s="9" t="s">
        <v>239</v>
      </c>
      <c r="C1077" s="9" t="s">
        <v>308</v>
      </c>
      <c r="D1077" s="9" t="s">
        <v>112</v>
      </c>
      <c r="E1077" s="9" t="s">
        <v>295</v>
      </c>
      <c r="F1077" s="9" t="s">
        <v>334</v>
      </c>
      <c r="G1077" s="9" t="s">
        <v>308</v>
      </c>
      <c r="H1077" s="10">
        <v>0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9">
        <v>0</v>
      </c>
    </row>
    <row r="1078" spans="1:18" ht="12.75" x14ac:dyDescent="0.2">
      <c r="A1078" s="9" t="s">
        <v>332</v>
      </c>
      <c r="B1078" s="9" t="s">
        <v>239</v>
      </c>
      <c r="C1078" s="9" t="s">
        <v>308</v>
      </c>
      <c r="D1078" s="9" t="s">
        <v>112</v>
      </c>
      <c r="E1078" s="9" t="s">
        <v>296</v>
      </c>
      <c r="F1078" s="9" t="s">
        <v>334</v>
      </c>
      <c r="G1078" s="9" t="s">
        <v>308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9">
        <v>0</v>
      </c>
    </row>
    <row r="1079" spans="1:18" ht="12.75" x14ac:dyDescent="0.2">
      <c r="A1079" s="9" t="s">
        <v>332</v>
      </c>
      <c r="B1079" s="9" t="s">
        <v>239</v>
      </c>
      <c r="C1079" s="9" t="s">
        <v>308</v>
      </c>
      <c r="D1079" s="9" t="s">
        <v>112</v>
      </c>
      <c r="E1079" s="9" t="s">
        <v>297</v>
      </c>
      <c r="F1079" s="9" t="s">
        <v>334</v>
      </c>
      <c r="G1079" s="9" t="s">
        <v>308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9">
        <v>0</v>
      </c>
    </row>
    <row r="1080" spans="1:18" ht="12.75" x14ac:dyDescent="0.2">
      <c r="A1080" s="9" t="s">
        <v>332</v>
      </c>
      <c r="B1080" s="9" t="s">
        <v>239</v>
      </c>
      <c r="C1080" s="9" t="s">
        <v>308</v>
      </c>
      <c r="D1080" s="9" t="s">
        <v>112</v>
      </c>
      <c r="E1080" s="9" t="s">
        <v>298</v>
      </c>
      <c r="F1080" s="9" t="s">
        <v>334</v>
      </c>
      <c r="G1080" s="9" t="s">
        <v>308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9">
        <v>0</v>
      </c>
    </row>
    <row r="1081" spans="1:18" ht="12.75" x14ac:dyDescent="0.2">
      <c r="A1081" s="9" t="s">
        <v>335</v>
      </c>
      <c r="B1081" s="9" t="s">
        <v>239</v>
      </c>
      <c r="C1081" s="9" t="s">
        <v>308</v>
      </c>
      <c r="D1081" s="9" t="s">
        <v>112</v>
      </c>
      <c r="E1081" s="9" t="s">
        <v>299</v>
      </c>
      <c r="F1081" s="9" t="s">
        <v>334</v>
      </c>
      <c r="G1081" s="9" t="s">
        <v>308</v>
      </c>
      <c r="H1081" s="10">
        <v>-4811663.51</v>
      </c>
      <c r="I1081" s="10">
        <v>-5418089.0999999996</v>
      </c>
      <c r="J1081" s="10">
        <v>-5511456.29</v>
      </c>
      <c r="K1081" s="10">
        <v>-5962037.7699999996</v>
      </c>
      <c r="L1081" s="10">
        <v>-5298016.75</v>
      </c>
      <c r="M1081" s="10">
        <v>-5591111.29</v>
      </c>
      <c r="N1081" s="10">
        <v>-6144218.6200000001</v>
      </c>
      <c r="O1081" s="10">
        <v>-5481598.1600000001</v>
      </c>
      <c r="P1081" s="10">
        <v>-7116460.6900000004</v>
      </c>
      <c r="Q1081" s="10">
        <v>-5852325.8600000003</v>
      </c>
      <c r="R1081" s="10">
        <v>-57186978.039999999</v>
      </c>
    </row>
    <row r="1082" spans="1:18" ht="12.75" x14ac:dyDescent="0.2">
      <c r="A1082" s="9" t="s">
        <v>332</v>
      </c>
      <c r="B1082" s="9" t="s">
        <v>239</v>
      </c>
      <c r="C1082" s="9" t="s">
        <v>308</v>
      </c>
      <c r="D1082" s="9" t="s">
        <v>112</v>
      </c>
      <c r="E1082" s="9" t="s">
        <v>300</v>
      </c>
      <c r="F1082" s="9" t="s">
        <v>334</v>
      </c>
      <c r="G1082" s="9" t="s">
        <v>308</v>
      </c>
      <c r="H1082" s="10">
        <v>0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9">
        <v>0</v>
      </c>
    </row>
    <row r="1083" spans="1:18" ht="12.75" x14ac:dyDescent="0.2">
      <c r="A1083" s="9" t="s">
        <v>332</v>
      </c>
      <c r="B1083" s="9" t="s">
        <v>239</v>
      </c>
      <c r="C1083" s="9" t="s">
        <v>308</v>
      </c>
      <c r="D1083" s="9" t="s">
        <v>112</v>
      </c>
      <c r="E1083" s="9" t="s">
        <v>301</v>
      </c>
      <c r="F1083" s="9" t="s">
        <v>334</v>
      </c>
      <c r="G1083" s="9" t="s">
        <v>308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9">
        <v>0</v>
      </c>
    </row>
    <row r="1084" spans="1:18" ht="12.75" x14ac:dyDescent="0.2">
      <c r="A1084" s="9" t="s">
        <v>335</v>
      </c>
      <c r="B1084" s="9" t="s">
        <v>239</v>
      </c>
      <c r="C1084" s="9" t="s">
        <v>308</v>
      </c>
      <c r="D1084" s="9" t="s">
        <v>112</v>
      </c>
      <c r="E1084" s="9" t="s">
        <v>302</v>
      </c>
      <c r="F1084" s="9" t="s">
        <v>334</v>
      </c>
      <c r="G1084" s="9" t="s">
        <v>308</v>
      </c>
      <c r="H1084" s="10">
        <v>-4811663.51</v>
      </c>
      <c r="I1084" s="10">
        <v>-5418089.0999999996</v>
      </c>
      <c r="J1084" s="10">
        <v>-5511456.29</v>
      </c>
      <c r="K1084" s="10">
        <v>-5962037.7699999996</v>
      </c>
      <c r="L1084" s="10">
        <v>-5298016.75</v>
      </c>
      <c r="M1084" s="10">
        <v>-5591111.29</v>
      </c>
      <c r="N1084" s="10">
        <v>-6144218.6200000001</v>
      </c>
      <c r="O1084" s="10">
        <v>-5481598.1600000001</v>
      </c>
      <c r="P1084" s="10">
        <v>-7116460.6900000004</v>
      </c>
      <c r="Q1084" s="10">
        <v>-5852325.8600000003</v>
      </c>
      <c r="R1084" s="10">
        <v>-57186978.039999999</v>
      </c>
    </row>
    <row r="1085" spans="1:18" ht="12.75" x14ac:dyDescent="0.2">
      <c r="A1085" s="9" t="s">
        <v>332</v>
      </c>
      <c r="B1085" s="9" t="s">
        <v>239</v>
      </c>
      <c r="C1085" s="9" t="s">
        <v>308</v>
      </c>
      <c r="D1085" s="9" t="s">
        <v>74</v>
      </c>
      <c r="E1085" s="9" t="s">
        <v>303</v>
      </c>
      <c r="F1085" s="9" t="s">
        <v>334</v>
      </c>
      <c r="G1085" s="9" t="s">
        <v>308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9">
        <v>0</v>
      </c>
    </row>
    <row r="1086" spans="1:18" ht="12.75" x14ac:dyDescent="0.2">
      <c r="A1086" s="9" t="s">
        <v>335</v>
      </c>
      <c r="B1086" s="9" t="s">
        <v>239</v>
      </c>
      <c r="C1086" s="9" t="s">
        <v>308</v>
      </c>
      <c r="D1086" s="9" t="s">
        <v>74</v>
      </c>
      <c r="E1086" s="9" t="s">
        <v>303</v>
      </c>
      <c r="F1086" s="9" t="s">
        <v>334</v>
      </c>
      <c r="G1086" s="9" t="s">
        <v>308</v>
      </c>
      <c r="H1086" s="10">
        <v>-21149599.399999999</v>
      </c>
      <c r="I1086" s="10">
        <v>-26475893.510000002</v>
      </c>
      <c r="J1086" s="10">
        <v>-28578767.629999999</v>
      </c>
      <c r="K1086" s="10">
        <v>-28352706.969999999</v>
      </c>
      <c r="L1086" s="10">
        <v>-27608669.719999999</v>
      </c>
      <c r="M1086" s="10">
        <v>-27405512.289999999</v>
      </c>
      <c r="N1086" s="10">
        <v>-30084168.039999999</v>
      </c>
      <c r="O1086" s="10">
        <v>-29612243.079999998</v>
      </c>
      <c r="P1086" s="10">
        <v>-32016271.309999999</v>
      </c>
      <c r="Q1086" s="10">
        <v>-30875360.989999998</v>
      </c>
      <c r="R1086" s="10">
        <v>-282159192.94</v>
      </c>
    </row>
    <row r="1087" spans="1:18" ht="12.75" x14ac:dyDescent="0.2">
      <c r="A1087" s="9" t="s">
        <v>335</v>
      </c>
      <c r="B1087" s="9" t="s">
        <v>239</v>
      </c>
      <c r="C1087" s="9" t="s">
        <v>308</v>
      </c>
      <c r="D1087" s="9" t="s">
        <v>74</v>
      </c>
      <c r="E1087" s="9" t="s">
        <v>248</v>
      </c>
      <c r="F1087" s="9" t="s">
        <v>334</v>
      </c>
      <c r="G1087" s="9" t="s">
        <v>308</v>
      </c>
      <c r="H1087" s="10">
        <v>-21149599.399999999</v>
      </c>
      <c r="I1087" s="10">
        <v>-26475893.510000002</v>
      </c>
      <c r="J1087" s="10">
        <v>-28578767.629999999</v>
      </c>
      <c r="K1087" s="10">
        <v>-28352706.969999999</v>
      </c>
      <c r="L1087" s="10">
        <v>-27608669.719999999</v>
      </c>
      <c r="M1087" s="10">
        <v>-27405512.289999999</v>
      </c>
      <c r="N1087" s="10">
        <v>-30084168.039999999</v>
      </c>
      <c r="O1087" s="10">
        <v>-29612243.079999998</v>
      </c>
      <c r="P1087" s="10">
        <v>-32016271.309999999</v>
      </c>
      <c r="Q1087" s="10">
        <v>-30875360.989999998</v>
      </c>
      <c r="R1087" s="10">
        <v>-282159192.94</v>
      </c>
    </row>
    <row r="1088" spans="1:18" ht="12.75" x14ac:dyDescent="0.2">
      <c r="A1088" s="9" t="s">
        <v>335</v>
      </c>
      <c r="B1088" s="9" t="s">
        <v>239</v>
      </c>
      <c r="C1088" s="9" t="s">
        <v>308</v>
      </c>
      <c r="D1088" s="9" t="s">
        <v>74</v>
      </c>
      <c r="E1088" s="9" t="s">
        <v>249</v>
      </c>
      <c r="F1088" s="9" t="s">
        <v>334</v>
      </c>
      <c r="G1088" s="9" t="s">
        <v>308</v>
      </c>
      <c r="H1088" s="10">
        <v>-21149599.399999999</v>
      </c>
      <c r="I1088" s="10">
        <v>-26475893.510000002</v>
      </c>
      <c r="J1088" s="10">
        <v>-28578767.629999999</v>
      </c>
      <c r="K1088" s="10">
        <v>-28352706.969999999</v>
      </c>
      <c r="L1088" s="10">
        <v>-27608669.719999999</v>
      </c>
      <c r="M1088" s="10">
        <v>-27405512.289999999</v>
      </c>
      <c r="N1088" s="10">
        <v>-30084168.039999999</v>
      </c>
      <c r="O1088" s="10">
        <v>-29612243.079999998</v>
      </c>
      <c r="P1088" s="10">
        <v>-32016271.309999999</v>
      </c>
      <c r="Q1088" s="10">
        <v>-30875360.989999998</v>
      </c>
      <c r="R1088" s="10">
        <v>-282159192.94</v>
      </c>
    </row>
    <row r="1089" spans="1:18" ht="12.75" x14ac:dyDescent="0.2">
      <c r="A1089" s="9" t="s">
        <v>335</v>
      </c>
      <c r="B1089" s="9" t="s">
        <v>239</v>
      </c>
      <c r="C1089" s="9" t="s">
        <v>308</v>
      </c>
      <c r="D1089" s="9" t="s">
        <v>52</v>
      </c>
      <c r="E1089" s="9" t="s">
        <v>253</v>
      </c>
      <c r="F1089" s="9" t="s">
        <v>334</v>
      </c>
      <c r="G1089" s="9" t="s">
        <v>308</v>
      </c>
      <c r="H1089" s="10">
        <v>-16655011.380000001</v>
      </c>
      <c r="I1089" s="10">
        <v>-19467038.949999999</v>
      </c>
      <c r="J1089" s="10">
        <v>-19739123.93</v>
      </c>
      <c r="K1089" s="10">
        <v>-20188413.120000001</v>
      </c>
      <c r="L1089" s="10">
        <v>-20895595.489999998</v>
      </c>
      <c r="M1089" s="10">
        <v>-21100399.300000001</v>
      </c>
      <c r="N1089" s="10">
        <v>-22624349.899999999</v>
      </c>
      <c r="O1089" s="10">
        <v>-22710551.91</v>
      </c>
      <c r="P1089" s="10">
        <v>-27230336.489999998</v>
      </c>
      <c r="Q1089" s="10">
        <v>-27659625.879999999</v>
      </c>
      <c r="R1089" s="10">
        <v>-218270446.34999999</v>
      </c>
    </row>
    <row r="1090" spans="1:18" ht="12.75" x14ac:dyDescent="0.2">
      <c r="A1090" s="9" t="s">
        <v>335</v>
      </c>
      <c r="B1090" s="9" t="s">
        <v>239</v>
      </c>
      <c r="C1090" s="9" t="s">
        <v>308</v>
      </c>
      <c r="D1090" s="9" t="s">
        <v>52</v>
      </c>
      <c r="E1090" s="9" t="s">
        <v>267</v>
      </c>
      <c r="F1090" s="9" t="s">
        <v>334</v>
      </c>
      <c r="G1090" s="9" t="s">
        <v>308</v>
      </c>
      <c r="H1090" s="10">
        <v>-16655011.380000001</v>
      </c>
      <c r="I1090" s="10">
        <v>-19467038.949999999</v>
      </c>
      <c r="J1090" s="10">
        <v>-19739123.93</v>
      </c>
      <c r="K1090" s="10">
        <v>-20188413.120000001</v>
      </c>
      <c r="L1090" s="10">
        <v>-20895595.489999998</v>
      </c>
      <c r="M1090" s="10">
        <v>-21100399.300000001</v>
      </c>
      <c r="N1090" s="10">
        <v>-22624349.899999999</v>
      </c>
      <c r="O1090" s="10">
        <v>-22710551.91</v>
      </c>
      <c r="P1090" s="10">
        <v>-27230336.489999998</v>
      </c>
      <c r="Q1090" s="10">
        <v>-27659625.879999999</v>
      </c>
      <c r="R1090" s="10">
        <v>-218270446.34999999</v>
      </c>
    </row>
    <row r="1091" spans="1:18" ht="12.75" x14ac:dyDescent="0.2">
      <c r="A1091" s="9" t="s">
        <v>335</v>
      </c>
      <c r="B1091" s="9" t="s">
        <v>239</v>
      </c>
      <c r="C1091" s="9" t="s">
        <v>308</v>
      </c>
      <c r="D1091" s="9" t="s">
        <v>52</v>
      </c>
      <c r="E1091" s="9" t="s">
        <v>268</v>
      </c>
      <c r="F1091" s="9" t="s">
        <v>334</v>
      </c>
      <c r="G1091" s="9" t="s">
        <v>308</v>
      </c>
      <c r="H1091" s="10">
        <v>-16655011.380000001</v>
      </c>
      <c r="I1091" s="10">
        <v>-19467038.949999999</v>
      </c>
      <c r="J1091" s="10">
        <v>-19739123.93</v>
      </c>
      <c r="K1091" s="10">
        <v>-20188413.120000001</v>
      </c>
      <c r="L1091" s="10">
        <v>-20895595.489999998</v>
      </c>
      <c r="M1091" s="10">
        <v>-21100399.300000001</v>
      </c>
      <c r="N1091" s="10">
        <v>-22624349.899999999</v>
      </c>
      <c r="O1091" s="10">
        <v>-22710551.91</v>
      </c>
      <c r="P1091" s="10">
        <v>-27230336.489999998</v>
      </c>
      <c r="Q1091" s="10">
        <v>-27659625.879999999</v>
      </c>
      <c r="R1091" s="10">
        <v>-218270446.34999999</v>
      </c>
    </row>
    <row r="1092" spans="1:18" ht="12.75" x14ac:dyDescent="0.2">
      <c r="A1092" s="9" t="s">
        <v>332</v>
      </c>
      <c r="B1092" s="9" t="s">
        <v>239</v>
      </c>
      <c r="C1092" s="9" t="s">
        <v>308</v>
      </c>
      <c r="D1092" s="9" t="s">
        <v>52</v>
      </c>
      <c r="E1092" s="9" t="s">
        <v>304</v>
      </c>
      <c r="F1092" s="9" t="s">
        <v>334</v>
      </c>
      <c r="G1092" s="9" t="s">
        <v>308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9">
        <v>0</v>
      </c>
    </row>
    <row r="1093" spans="1:18" ht="12.75" x14ac:dyDescent="0.2">
      <c r="A1093" s="9" t="s">
        <v>332</v>
      </c>
      <c r="B1093" s="9" t="s">
        <v>239</v>
      </c>
      <c r="C1093" s="9" t="s">
        <v>308</v>
      </c>
      <c r="D1093" s="9" t="s">
        <v>52</v>
      </c>
      <c r="E1093" s="9" t="s">
        <v>305</v>
      </c>
      <c r="F1093" s="9" t="s">
        <v>334</v>
      </c>
      <c r="G1093" s="9" t="s">
        <v>308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9">
        <v>0</v>
      </c>
    </row>
    <row r="1094" spans="1:18" ht="12.75" x14ac:dyDescent="0.2">
      <c r="A1094" s="9" t="s">
        <v>335</v>
      </c>
      <c r="B1094" s="9" t="s">
        <v>239</v>
      </c>
      <c r="C1094" s="9" t="s">
        <v>308</v>
      </c>
      <c r="D1094" s="9" t="s">
        <v>87</v>
      </c>
      <c r="E1094" s="9" t="s">
        <v>270</v>
      </c>
      <c r="F1094" s="9" t="s">
        <v>334</v>
      </c>
      <c r="G1094" s="9" t="s">
        <v>308</v>
      </c>
      <c r="H1094" s="10">
        <v>-12730564.810000001</v>
      </c>
      <c r="I1094" s="10">
        <v>-16912213.350000001</v>
      </c>
      <c r="J1094" s="10">
        <v>-16658675.789999999</v>
      </c>
      <c r="K1094" s="10">
        <v>-18383585.84</v>
      </c>
      <c r="L1094" s="10">
        <v>-17947915.710000001</v>
      </c>
      <c r="M1094" s="10">
        <v>-17085097.23</v>
      </c>
      <c r="N1094" s="10">
        <v>-18387475.969999999</v>
      </c>
      <c r="O1094" s="10">
        <v>-17667038.09</v>
      </c>
      <c r="P1094" s="10">
        <v>-21580873.010000002</v>
      </c>
      <c r="Q1094" s="10">
        <v>-19974492.48</v>
      </c>
      <c r="R1094" s="10">
        <v>-177327932.28</v>
      </c>
    </row>
    <row r="1095" spans="1:18" ht="12.75" x14ac:dyDescent="0.2">
      <c r="A1095" s="9" t="s">
        <v>335</v>
      </c>
      <c r="B1095" s="9" t="s">
        <v>239</v>
      </c>
      <c r="C1095" s="9" t="s">
        <v>308</v>
      </c>
      <c r="D1095" s="9" t="s">
        <v>87</v>
      </c>
      <c r="E1095" s="9" t="s">
        <v>273</v>
      </c>
      <c r="F1095" s="9" t="s">
        <v>334</v>
      </c>
      <c r="G1095" s="9" t="s">
        <v>308</v>
      </c>
      <c r="H1095" s="10">
        <v>-12730564.810000001</v>
      </c>
      <c r="I1095" s="10">
        <v>-16912213.350000001</v>
      </c>
      <c r="J1095" s="10">
        <v>-16658675.789999999</v>
      </c>
      <c r="K1095" s="10">
        <v>-18383585.84</v>
      </c>
      <c r="L1095" s="10">
        <v>-17947915.710000001</v>
      </c>
      <c r="M1095" s="10">
        <v>-17085097.23</v>
      </c>
      <c r="N1095" s="10">
        <v>-18387475.969999999</v>
      </c>
      <c r="O1095" s="10">
        <v>-17667038.09</v>
      </c>
      <c r="P1095" s="10">
        <v>-21580873.010000002</v>
      </c>
      <c r="Q1095" s="10">
        <v>-19974492.48</v>
      </c>
      <c r="R1095" s="10">
        <v>-177327932.28</v>
      </c>
    </row>
    <row r="1096" spans="1:18" ht="12.75" x14ac:dyDescent="0.2">
      <c r="A1096" s="9" t="s">
        <v>335</v>
      </c>
      <c r="B1096" s="9" t="s">
        <v>239</v>
      </c>
      <c r="C1096" s="9" t="s">
        <v>308</v>
      </c>
      <c r="D1096" s="9" t="s">
        <v>87</v>
      </c>
      <c r="E1096" s="9" t="s">
        <v>276</v>
      </c>
      <c r="F1096" s="9" t="s">
        <v>334</v>
      </c>
      <c r="G1096" s="9" t="s">
        <v>308</v>
      </c>
      <c r="H1096" s="10">
        <v>-12730564.810000001</v>
      </c>
      <c r="I1096" s="10">
        <v>-16912213.350000001</v>
      </c>
      <c r="J1096" s="10">
        <v>-16658675.789999999</v>
      </c>
      <c r="K1096" s="10">
        <v>-18383585.84</v>
      </c>
      <c r="L1096" s="10">
        <v>-17947915.710000001</v>
      </c>
      <c r="M1096" s="10">
        <v>-17085097.23</v>
      </c>
      <c r="N1096" s="10">
        <v>-18387475.969999999</v>
      </c>
      <c r="O1096" s="10">
        <v>-17667038.09</v>
      </c>
      <c r="P1096" s="10">
        <v>-21580873.010000002</v>
      </c>
      <c r="Q1096" s="10">
        <v>-19974492.48</v>
      </c>
      <c r="R1096" s="10">
        <v>-177327932.28</v>
      </c>
    </row>
    <row r="1097" spans="1:18" ht="12.75" x14ac:dyDescent="0.2">
      <c r="A1097" s="9" t="s">
        <v>335</v>
      </c>
      <c r="B1097" s="9" t="s">
        <v>239</v>
      </c>
      <c r="C1097" s="9" t="s">
        <v>308</v>
      </c>
      <c r="D1097" s="9" t="s">
        <v>87</v>
      </c>
      <c r="E1097" s="9" t="s">
        <v>274</v>
      </c>
      <c r="F1097" s="9" t="s">
        <v>334</v>
      </c>
      <c r="G1097" s="9" t="s">
        <v>308</v>
      </c>
      <c r="H1097" s="10">
        <v>-12730564.810000001</v>
      </c>
      <c r="I1097" s="10">
        <v>-16912213.350000001</v>
      </c>
      <c r="J1097" s="10">
        <v>-16658675.789999999</v>
      </c>
      <c r="K1097" s="10">
        <v>-18383585.84</v>
      </c>
      <c r="L1097" s="10">
        <v>-17947915.710000001</v>
      </c>
      <c r="M1097" s="10">
        <v>-17085097.23</v>
      </c>
      <c r="N1097" s="10">
        <v>-18387475.969999999</v>
      </c>
      <c r="O1097" s="10">
        <v>-17667038.09</v>
      </c>
      <c r="P1097" s="10">
        <v>-21580873.010000002</v>
      </c>
      <c r="Q1097" s="10">
        <v>-19974492.48</v>
      </c>
      <c r="R1097" s="10">
        <v>-177327932.28</v>
      </c>
    </row>
    <row r="1098" spans="1:18" ht="12.75" x14ac:dyDescent="0.2">
      <c r="A1098" s="9" t="s">
        <v>335</v>
      </c>
      <c r="B1098" s="9" t="s">
        <v>239</v>
      </c>
      <c r="C1098" s="9" t="s">
        <v>308</v>
      </c>
      <c r="D1098" s="9" t="s">
        <v>96</v>
      </c>
      <c r="E1098" s="9" t="s">
        <v>286</v>
      </c>
      <c r="F1098" s="9" t="s">
        <v>334</v>
      </c>
      <c r="G1098" s="9" t="s">
        <v>308</v>
      </c>
      <c r="H1098" s="10">
        <v>-4291123.32</v>
      </c>
      <c r="I1098" s="10">
        <v>-5630213.96</v>
      </c>
      <c r="J1098" s="10">
        <v>-6214710.6200000001</v>
      </c>
      <c r="K1098" s="10">
        <v>-6487363.3200000003</v>
      </c>
      <c r="L1098" s="10">
        <v>-4876744.32</v>
      </c>
      <c r="M1098" s="10">
        <v>-6017291.3200000003</v>
      </c>
      <c r="N1098" s="10">
        <v>-8474167.9399999995</v>
      </c>
      <c r="O1098" s="10">
        <v>-3841659.47</v>
      </c>
      <c r="P1098" s="10">
        <v>-3952472.18</v>
      </c>
      <c r="Q1098" s="10">
        <v>-2846465.83</v>
      </c>
      <c r="R1098" s="10">
        <v>-52632212.280000001</v>
      </c>
    </row>
    <row r="1099" spans="1:18" ht="12.75" x14ac:dyDescent="0.2">
      <c r="A1099" s="9" t="s">
        <v>335</v>
      </c>
      <c r="B1099" s="9" t="s">
        <v>239</v>
      </c>
      <c r="C1099" s="9" t="s">
        <v>308</v>
      </c>
      <c r="D1099" s="9" t="s">
        <v>96</v>
      </c>
      <c r="E1099" s="9" t="s">
        <v>281</v>
      </c>
      <c r="F1099" s="9" t="s">
        <v>334</v>
      </c>
      <c r="G1099" s="9" t="s">
        <v>308</v>
      </c>
      <c r="H1099" s="10">
        <v>-4291123.32</v>
      </c>
      <c r="I1099" s="10">
        <v>-5630213.96</v>
      </c>
      <c r="J1099" s="10">
        <v>-6214710.6200000001</v>
      </c>
      <c r="K1099" s="10">
        <v>-6487363.3200000003</v>
      </c>
      <c r="L1099" s="10">
        <v>-4876744.32</v>
      </c>
      <c r="M1099" s="10">
        <v>-6017291.3200000003</v>
      </c>
      <c r="N1099" s="10">
        <v>-8474167.9399999995</v>
      </c>
      <c r="O1099" s="10">
        <v>-3841659.47</v>
      </c>
      <c r="P1099" s="10">
        <v>-3952472.18</v>
      </c>
      <c r="Q1099" s="10">
        <v>-2846465.83</v>
      </c>
      <c r="R1099" s="10">
        <v>-52632212.280000001</v>
      </c>
    </row>
    <row r="1100" spans="1:18" ht="12.75" x14ac:dyDescent="0.2">
      <c r="A1100" s="9" t="s">
        <v>335</v>
      </c>
      <c r="B1100" s="9" t="s">
        <v>239</v>
      </c>
      <c r="C1100" s="9" t="s">
        <v>308</v>
      </c>
      <c r="D1100" s="9" t="s">
        <v>96</v>
      </c>
      <c r="E1100" s="9" t="s">
        <v>282</v>
      </c>
      <c r="F1100" s="9" t="s">
        <v>334</v>
      </c>
      <c r="G1100" s="9" t="s">
        <v>308</v>
      </c>
      <c r="H1100" s="10">
        <v>-4291123.32</v>
      </c>
      <c r="I1100" s="10">
        <v>-5630213.96</v>
      </c>
      <c r="J1100" s="10">
        <v>-6214710.6200000001</v>
      </c>
      <c r="K1100" s="10">
        <v>-6487363.3200000003</v>
      </c>
      <c r="L1100" s="10">
        <v>-4876744.32</v>
      </c>
      <c r="M1100" s="10">
        <v>-6017291.3200000003</v>
      </c>
      <c r="N1100" s="10">
        <v>-8474167.9399999995</v>
      </c>
      <c r="O1100" s="10">
        <v>-3841659.47</v>
      </c>
      <c r="P1100" s="10">
        <v>-3952472.18</v>
      </c>
      <c r="Q1100" s="10">
        <v>-2846465.83</v>
      </c>
      <c r="R1100" s="10">
        <v>-52632212.280000001</v>
      </c>
    </row>
    <row r="1101" spans="1:18" ht="12.75" x14ac:dyDescent="0.2">
      <c r="A1101" s="9" t="s">
        <v>335</v>
      </c>
      <c r="B1101" s="9" t="s">
        <v>239</v>
      </c>
      <c r="C1101" s="9" t="s">
        <v>308</v>
      </c>
      <c r="D1101" s="9" t="s">
        <v>112</v>
      </c>
      <c r="E1101" s="9" t="s">
        <v>294</v>
      </c>
      <c r="F1101" s="9" t="s">
        <v>334</v>
      </c>
      <c r="G1101" s="9" t="s">
        <v>308</v>
      </c>
      <c r="H1101" s="10">
        <v>-4811663.51</v>
      </c>
      <c r="I1101" s="10">
        <v>-5418089.0999999996</v>
      </c>
      <c r="J1101" s="10">
        <v>-5511456.29</v>
      </c>
      <c r="K1101" s="10">
        <v>-5962037.7699999996</v>
      </c>
      <c r="L1101" s="10">
        <v>-5298016.75</v>
      </c>
      <c r="M1101" s="10">
        <v>-5591111.29</v>
      </c>
      <c r="N1101" s="10">
        <v>-6144218.6200000001</v>
      </c>
      <c r="O1101" s="10">
        <v>-5481598.1600000001</v>
      </c>
      <c r="P1101" s="10">
        <v>-7116460.6900000004</v>
      </c>
      <c r="Q1101" s="10">
        <v>-5852325.8600000003</v>
      </c>
      <c r="R1101" s="10">
        <v>-57186978.039999999</v>
      </c>
    </row>
    <row r="1102" spans="1:18" ht="12.75" x14ac:dyDescent="0.2">
      <c r="A1102" s="9" t="s">
        <v>335</v>
      </c>
      <c r="B1102" s="9" t="s">
        <v>239</v>
      </c>
      <c r="C1102" s="9" t="s">
        <v>308</v>
      </c>
      <c r="D1102" s="9" t="s">
        <v>112</v>
      </c>
      <c r="E1102" s="9" t="s">
        <v>292</v>
      </c>
      <c r="F1102" s="9" t="s">
        <v>334</v>
      </c>
      <c r="G1102" s="9" t="s">
        <v>308</v>
      </c>
      <c r="H1102" s="10">
        <v>-4811663.51</v>
      </c>
      <c r="I1102" s="10">
        <v>-5418089.0999999996</v>
      </c>
      <c r="J1102" s="10">
        <v>-5511456.29</v>
      </c>
      <c r="K1102" s="10">
        <v>-5962037.7699999996</v>
      </c>
      <c r="L1102" s="10">
        <v>-5298016.75</v>
      </c>
      <c r="M1102" s="10">
        <v>-5591111.29</v>
      </c>
      <c r="N1102" s="10">
        <v>-6144218.6200000001</v>
      </c>
      <c r="O1102" s="10">
        <v>-5481598.1600000001</v>
      </c>
      <c r="P1102" s="10">
        <v>-7116460.6900000004</v>
      </c>
      <c r="Q1102" s="10">
        <v>-5852325.8600000003</v>
      </c>
      <c r="R1102" s="10">
        <v>-57186978.039999999</v>
      </c>
    </row>
    <row r="1103" spans="1:18" ht="12.75" x14ac:dyDescent="0.2">
      <c r="A1103" s="9" t="s">
        <v>335</v>
      </c>
      <c r="B1103" s="9" t="s">
        <v>239</v>
      </c>
      <c r="C1103" s="9" t="s">
        <v>308</v>
      </c>
      <c r="D1103" s="9" t="s">
        <v>112</v>
      </c>
      <c r="E1103" s="9" t="s">
        <v>301</v>
      </c>
      <c r="F1103" s="9" t="s">
        <v>334</v>
      </c>
      <c r="G1103" s="9" t="s">
        <v>308</v>
      </c>
      <c r="H1103" s="10">
        <v>-4811663.51</v>
      </c>
      <c r="I1103" s="10">
        <v>-5418089.0999999996</v>
      </c>
      <c r="J1103" s="10">
        <v>-5511456.29</v>
      </c>
      <c r="K1103" s="10">
        <v>-5962037.7699999996</v>
      </c>
      <c r="L1103" s="10">
        <v>-5298016.75</v>
      </c>
      <c r="M1103" s="10">
        <v>-5591111.29</v>
      </c>
      <c r="N1103" s="10">
        <v>-6144218.6200000001</v>
      </c>
      <c r="O1103" s="10">
        <v>-5481598.1600000001</v>
      </c>
      <c r="P1103" s="10">
        <v>-7116460.6900000004</v>
      </c>
      <c r="Q1103" s="10">
        <v>-5852325.8600000003</v>
      </c>
      <c r="R1103" s="10">
        <v>-57186978.039999999</v>
      </c>
    </row>
    <row r="1104" spans="1:18" ht="12.75" x14ac:dyDescent="0.2">
      <c r="A1104" s="9" t="s">
        <v>335</v>
      </c>
      <c r="B1104" s="9" t="s">
        <v>239</v>
      </c>
      <c r="C1104" s="9" t="s">
        <v>308</v>
      </c>
      <c r="D1104" s="9" t="s">
        <v>112</v>
      </c>
      <c r="E1104" s="9" t="s">
        <v>300</v>
      </c>
      <c r="F1104" s="9" t="s">
        <v>334</v>
      </c>
      <c r="G1104" s="9" t="s">
        <v>308</v>
      </c>
      <c r="H1104" s="10">
        <v>-4811663.51</v>
      </c>
      <c r="I1104" s="10">
        <v>-5418089.0999999996</v>
      </c>
      <c r="J1104" s="10">
        <v>-5511456.29</v>
      </c>
      <c r="K1104" s="10">
        <v>-5962037.7699999996</v>
      </c>
      <c r="L1104" s="10">
        <v>-5298016.75</v>
      </c>
      <c r="M1104" s="10">
        <v>-5591111.29</v>
      </c>
      <c r="N1104" s="10">
        <v>-6144218.6200000001</v>
      </c>
      <c r="O1104" s="10">
        <v>-5481598.1600000001</v>
      </c>
      <c r="P1104" s="10">
        <v>-7116460.6900000004</v>
      </c>
      <c r="Q1104" s="10">
        <v>-5852325.8600000003</v>
      </c>
      <c r="R1104" s="10">
        <v>-57186978.039999999</v>
      </c>
    </row>
    <row r="1105" spans="1:18" ht="12.75" x14ac:dyDescent="0.2">
      <c r="A1105" s="9" t="s">
        <v>349</v>
      </c>
      <c r="B1105" s="9" t="s">
        <v>239</v>
      </c>
      <c r="C1105" s="9" t="s">
        <v>309</v>
      </c>
      <c r="D1105" s="9" t="s">
        <v>238</v>
      </c>
      <c r="E1105" s="9" t="s">
        <v>241</v>
      </c>
      <c r="F1105" s="9" t="s">
        <v>334</v>
      </c>
      <c r="G1105" s="9" t="s">
        <v>309</v>
      </c>
      <c r="H1105" s="10">
        <v>613238.67000000004</v>
      </c>
      <c r="I1105" s="10">
        <v>63165.93</v>
      </c>
      <c r="J1105" s="10">
        <v>105834.85</v>
      </c>
      <c r="K1105" s="10">
        <v>45033.17</v>
      </c>
      <c r="L1105" s="10">
        <v>21158.21</v>
      </c>
      <c r="M1105" s="10">
        <v>119499.72</v>
      </c>
      <c r="N1105" s="10">
        <v>0</v>
      </c>
      <c r="O1105" s="10">
        <v>19072.04</v>
      </c>
      <c r="P1105" s="10">
        <v>0</v>
      </c>
      <c r="Q1105" s="10">
        <v>198730.61</v>
      </c>
      <c r="R1105" s="10">
        <v>1185733.2</v>
      </c>
    </row>
    <row r="1106" spans="1:18" ht="12.75" x14ac:dyDescent="0.2">
      <c r="A1106" s="9" t="s">
        <v>349</v>
      </c>
      <c r="B1106" s="9" t="s">
        <v>239</v>
      </c>
      <c r="C1106" s="9" t="s">
        <v>309</v>
      </c>
      <c r="D1106" s="9" t="s">
        <v>238</v>
      </c>
      <c r="E1106" s="9" t="s">
        <v>242</v>
      </c>
      <c r="F1106" s="9" t="s">
        <v>334</v>
      </c>
      <c r="G1106" s="9" t="s">
        <v>309</v>
      </c>
      <c r="H1106" s="10">
        <v>545268.75</v>
      </c>
      <c r="I1106" s="10">
        <v>56164.77</v>
      </c>
      <c r="J1106" s="10">
        <v>94104.37</v>
      </c>
      <c r="K1106" s="10">
        <v>40041.800000000003</v>
      </c>
      <c r="L1106" s="10">
        <v>18813.080000000002</v>
      </c>
      <c r="M1106" s="10">
        <v>106254.66</v>
      </c>
      <c r="N1106" s="10">
        <v>0</v>
      </c>
      <c r="O1106" s="10">
        <v>16958.14</v>
      </c>
      <c r="P1106" s="10">
        <v>0</v>
      </c>
      <c r="Q1106" s="10">
        <v>176703.78</v>
      </c>
      <c r="R1106" s="10">
        <v>1054309.3500000001</v>
      </c>
    </row>
    <row r="1107" spans="1:18" ht="12.75" x14ac:dyDescent="0.2">
      <c r="A1107" s="9" t="s">
        <v>332</v>
      </c>
      <c r="B1107" s="9" t="s">
        <v>239</v>
      </c>
      <c r="C1107" s="9" t="s">
        <v>309</v>
      </c>
      <c r="D1107" s="9" t="s">
        <v>74</v>
      </c>
      <c r="E1107" s="9" t="s">
        <v>244</v>
      </c>
      <c r="F1107" s="9" t="s">
        <v>334</v>
      </c>
      <c r="G1107" s="9" t="s">
        <v>309</v>
      </c>
      <c r="H1107" s="10">
        <v>1927781.94</v>
      </c>
      <c r="I1107" s="10">
        <v>712890.79</v>
      </c>
      <c r="J1107" s="10">
        <v>367396.97</v>
      </c>
      <c r="K1107" s="10">
        <v>131531.76</v>
      </c>
      <c r="L1107" s="10">
        <v>324928.32</v>
      </c>
      <c r="M1107" s="10">
        <v>220620.13</v>
      </c>
      <c r="N1107" s="10">
        <v>127079.36</v>
      </c>
      <c r="O1107" s="10">
        <v>1737939.29</v>
      </c>
      <c r="P1107" s="10">
        <v>2558736.27</v>
      </c>
      <c r="Q1107" s="10">
        <v>2640827</v>
      </c>
      <c r="R1107" s="10">
        <v>10749731.83</v>
      </c>
    </row>
    <row r="1108" spans="1:18" ht="12.75" x14ac:dyDescent="0.2">
      <c r="A1108" s="9" t="s">
        <v>332</v>
      </c>
      <c r="B1108" s="9" t="s">
        <v>239</v>
      </c>
      <c r="C1108" s="9" t="s">
        <v>309</v>
      </c>
      <c r="D1108" s="9" t="s">
        <v>74</v>
      </c>
      <c r="E1108" s="9" t="s">
        <v>245</v>
      </c>
      <c r="F1108" s="9" t="s">
        <v>334</v>
      </c>
      <c r="G1108" s="9" t="s">
        <v>309</v>
      </c>
      <c r="H1108" s="10">
        <v>1927781.94</v>
      </c>
      <c r="I1108" s="10">
        <v>712890.79</v>
      </c>
      <c r="J1108" s="10">
        <v>367396.97</v>
      </c>
      <c r="K1108" s="10">
        <v>131531.76</v>
      </c>
      <c r="L1108" s="10">
        <v>324928.32</v>
      </c>
      <c r="M1108" s="10">
        <v>220620.13</v>
      </c>
      <c r="N1108" s="10">
        <v>127079.36</v>
      </c>
      <c r="O1108" s="10">
        <v>1737939.29</v>
      </c>
      <c r="P1108" s="10">
        <v>2558736.27</v>
      </c>
      <c r="Q1108" s="10">
        <v>2640827</v>
      </c>
      <c r="R1108" s="10">
        <v>10749731.83</v>
      </c>
    </row>
    <row r="1109" spans="1:18" ht="12.75" x14ac:dyDescent="0.2">
      <c r="A1109" s="9" t="s">
        <v>332</v>
      </c>
      <c r="B1109" s="9" t="s">
        <v>239</v>
      </c>
      <c r="C1109" s="9" t="s">
        <v>309</v>
      </c>
      <c r="D1109" s="9" t="s">
        <v>74</v>
      </c>
      <c r="E1109" s="9" t="s">
        <v>246</v>
      </c>
      <c r="F1109" s="9" t="s">
        <v>334</v>
      </c>
      <c r="G1109" s="9" t="s">
        <v>309</v>
      </c>
      <c r="H1109" s="10">
        <v>1927781.94</v>
      </c>
      <c r="I1109" s="10">
        <v>712890.79</v>
      </c>
      <c r="J1109" s="10">
        <v>367396.97</v>
      </c>
      <c r="K1109" s="10">
        <v>131531.76</v>
      </c>
      <c r="L1109" s="10">
        <v>324928.32</v>
      </c>
      <c r="M1109" s="10">
        <v>220620.13</v>
      </c>
      <c r="N1109" s="10">
        <v>127079.36</v>
      </c>
      <c r="O1109" s="10">
        <v>1737939.29</v>
      </c>
      <c r="P1109" s="10">
        <v>2558736.27</v>
      </c>
      <c r="Q1109" s="10">
        <v>2640827</v>
      </c>
      <c r="R1109" s="10">
        <v>10749731.83</v>
      </c>
    </row>
    <row r="1110" spans="1:18" ht="12.75" x14ac:dyDescent="0.2">
      <c r="A1110" s="9" t="s">
        <v>332</v>
      </c>
      <c r="B1110" s="9" t="s">
        <v>239</v>
      </c>
      <c r="C1110" s="9" t="s">
        <v>309</v>
      </c>
      <c r="D1110" s="9" t="s">
        <v>74</v>
      </c>
      <c r="E1110" s="9" t="s">
        <v>247</v>
      </c>
      <c r="F1110" s="9" t="s">
        <v>334</v>
      </c>
      <c r="G1110" s="9" t="s">
        <v>309</v>
      </c>
      <c r="H1110" s="10">
        <v>1927781.94</v>
      </c>
      <c r="I1110" s="10">
        <v>712890.79</v>
      </c>
      <c r="J1110" s="10">
        <v>367396.97</v>
      </c>
      <c r="K1110" s="10">
        <v>131531.76</v>
      </c>
      <c r="L1110" s="10">
        <v>324928.32</v>
      </c>
      <c r="M1110" s="10">
        <v>220620.13</v>
      </c>
      <c r="N1110" s="10">
        <v>127079.36</v>
      </c>
      <c r="O1110" s="10">
        <v>1737939.29</v>
      </c>
      <c r="P1110" s="10">
        <v>2558736.27</v>
      </c>
      <c r="Q1110" s="10">
        <v>2640827</v>
      </c>
      <c r="R1110" s="10">
        <v>10749731.83</v>
      </c>
    </row>
    <row r="1111" spans="1:18" ht="12.75" x14ac:dyDescent="0.2">
      <c r="A1111" s="9" t="s">
        <v>332</v>
      </c>
      <c r="B1111" s="9" t="s">
        <v>239</v>
      </c>
      <c r="C1111" s="9" t="s">
        <v>309</v>
      </c>
      <c r="D1111" s="9" t="s">
        <v>74</v>
      </c>
      <c r="E1111" s="9" t="s">
        <v>248</v>
      </c>
      <c r="F1111" s="9" t="s">
        <v>334</v>
      </c>
      <c r="G1111" s="9" t="s">
        <v>309</v>
      </c>
      <c r="H1111" s="10">
        <v>1927781.94</v>
      </c>
      <c r="I1111" s="10">
        <v>712890.79</v>
      </c>
      <c r="J1111" s="10">
        <v>367396.97</v>
      </c>
      <c r="K1111" s="10">
        <v>131531.76</v>
      </c>
      <c r="L1111" s="10">
        <v>324928.32</v>
      </c>
      <c r="M1111" s="10">
        <v>220620.13</v>
      </c>
      <c r="N1111" s="10">
        <v>127079.36</v>
      </c>
      <c r="O1111" s="10">
        <v>1737939.29</v>
      </c>
      <c r="P1111" s="10">
        <v>2558736.27</v>
      </c>
      <c r="Q1111" s="10">
        <v>2640827</v>
      </c>
      <c r="R1111" s="10">
        <v>10749731.83</v>
      </c>
    </row>
    <row r="1112" spans="1:18" ht="12.75" x14ac:dyDescent="0.2">
      <c r="A1112" s="9" t="s">
        <v>332</v>
      </c>
      <c r="B1112" s="9" t="s">
        <v>239</v>
      </c>
      <c r="C1112" s="9" t="s">
        <v>309</v>
      </c>
      <c r="D1112" s="9" t="s">
        <v>74</v>
      </c>
      <c r="E1112" s="9" t="s">
        <v>249</v>
      </c>
      <c r="F1112" s="9" t="s">
        <v>334</v>
      </c>
      <c r="G1112" s="9" t="s">
        <v>309</v>
      </c>
      <c r="H1112" s="10">
        <v>1927781.94</v>
      </c>
      <c r="I1112" s="10">
        <v>712890.79</v>
      </c>
      <c r="J1112" s="10">
        <v>367396.97</v>
      </c>
      <c r="K1112" s="10">
        <v>131531.76</v>
      </c>
      <c r="L1112" s="10">
        <v>324928.32</v>
      </c>
      <c r="M1112" s="10">
        <v>220620.13</v>
      </c>
      <c r="N1112" s="10">
        <v>127079.36</v>
      </c>
      <c r="O1112" s="10">
        <v>1737939.29</v>
      </c>
      <c r="P1112" s="10">
        <v>2558736.27</v>
      </c>
      <c r="Q1112" s="10">
        <v>2640827</v>
      </c>
      <c r="R1112" s="10">
        <v>10749731.83</v>
      </c>
    </row>
    <row r="1113" spans="1:18" ht="12.75" x14ac:dyDescent="0.2">
      <c r="A1113" s="9" t="s">
        <v>332</v>
      </c>
      <c r="B1113" s="9" t="s">
        <v>239</v>
      </c>
      <c r="C1113" s="9" t="s">
        <v>309</v>
      </c>
      <c r="D1113" s="9" t="s">
        <v>74</v>
      </c>
      <c r="E1113" s="9" t="s">
        <v>250</v>
      </c>
      <c r="F1113" s="9" t="s">
        <v>334</v>
      </c>
      <c r="G1113" s="9" t="s">
        <v>309</v>
      </c>
      <c r="H1113" s="10">
        <v>1927781.94</v>
      </c>
      <c r="I1113" s="10">
        <v>712890.79</v>
      </c>
      <c r="J1113" s="10">
        <v>367396.97</v>
      </c>
      <c r="K1113" s="10">
        <v>131531.76</v>
      </c>
      <c r="L1113" s="10">
        <v>324928.32</v>
      </c>
      <c r="M1113" s="10">
        <v>220620.13</v>
      </c>
      <c r="N1113" s="10">
        <v>127079.36</v>
      </c>
      <c r="O1113" s="10">
        <v>1737939.29</v>
      </c>
      <c r="P1113" s="10">
        <v>2558736.27</v>
      </c>
      <c r="Q1113" s="10">
        <v>2640827</v>
      </c>
      <c r="R1113" s="10">
        <v>10749731.83</v>
      </c>
    </row>
    <row r="1114" spans="1:18" ht="12.75" x14ac:dyDescent="0.2">
      <c r="A1114" s="9" t="s">
        <v>332</v>
      </c>
      <c r="B1114" s="9" t="s">
        <v>239</v>
      </c>
      <c r="C1114" s="9" t="s">
        <v>309</v>
      </c>
      <c r="D1114" s="9" t="s">
        <v>74</v>
      </c>
      <c r="E1114" s="9" t="s">
        <v>251</v>
      </c>
      <c r="F1114" s="9" t="s">
        <v>334</v>
      </c>
      <c r="G1114" s="9" t="s">
        <v>309</v>
      </c>
      <c r="H1114" s="10">
        <v>1927781.94</v>
      </c>
      <c r="I1114" s="10">
        <v>712890.79</v>
      </c>
      <c r="J1114" s="10">
        <v>367396.97</v>
      </c>
      <c r="K1114" s="10">
        <v>131531.76</v>
      </c>
      <c r="L1114" s="10">
        <v>324928.32</v>
      </c>
      <c r="M1114" s="10">
        <v>220620.13</v>
      </c>
      <c r="N1114" s="10">
        <v>127079.36</v>
      </c>
      <c r="O1114" s="10">
        <v>1737939.29</v>
      </c>
      <c r="P1114" s="10">
        <v>2558736.27</v>
      </c>
      <c r="Q1114" s="10">
        <v>2640827</v>
      </c>
      <c r="R1114" s="10">
        <v>10749731.83</v>
      </c>
    </row>
    <row r="1115" spans="1:18" ht="12.75" x14ac:dyDescent="0.2">
      <c r="A1115" s="9" t="s">
        <v>332</v>
      </c>
      <c r="B1115" s="9" t="s">
        <v>239</v>
      </c>
      <c r="C1115" s="9" t="s">
        <v>309</v>
      </c>
      <c r="D1115" s="9" t="s">
        <v>52</v>
      </c>
      <c r="E1115" s="9" t="s">
        <v>253</v>
      </c>
      <c r="F1115" s="9" t="s">
        <v>334</v>
      </c>
      <c r="G1115" s="9" t="s">
        <v>309</v>
      </c>
      <c r="H1115" s="10">
        <v>816307.41</v>
      </c>
      <c r="I1115" s="10">
        <v>386675.36</v>
      </c>
      <c r="J1115" s="10">
        <v>160896.44</v>
      </c>
      <c r="K1115" s="10">
        <v>77855.33</v>
      </c>
      <c r="L1115" s="10">
        <v>79821.52</v>
      </c>
      <c r="M1115" s="10">
        <v>91554.48</v>
      </c>
      <c r="N1115" s="10">
        <v>59441.77</v>
      </c>
      <c r="O1115" s="10">
        <v>79951.990000000005</v>
      </c>
      <c r="P1115" s="10">
        <v>109924.41</v>
      </c>
      <c r="Q1115" s="10">
        <v>164232.88</v>
      </c>
      <c r="R1115" s="10">
        <v>2026661.59</v>
      </c>
    </row>
    <row r="1116" spans="1:18" ht="12.75" x14ac:dyDescent="0.2">
      <c r="A1116" s="9" t="s">
        <v>332</v>
      </c>
      <c r="B1116" s="9" t="s">
        <v>239</v>
      </c>
      <c r="C1116" s="9" t="s">
        <v>309</v>
      </c>
      <c r="D1116" s="9" t="s">
        <v>52</v>
      </c>
      <c r="E1116" s="9" t="s">
        <v>254</v>
      </c>
      <c r="F1116" s="9" t="s">
        <v>334</v>
      </c>
      <c r="G1116" s="9" t="s">
        <v>309</v>
      </c>
      <c r="H1116" s="10">
        <v>816307.41</v>
      </c>
      <c r="I1116" s="10">
        <v>386675.36</v>
      </c>
      <c r="J1116" s="10">
        <v>160896.44</v>
      </c>
      <c r="K1116" s="10">
        <v>77855.33</v>
      </c>
      <c r="L1116" s="10">
        <v>79821.52</v>
      </c>
      <c r="M1116" s="10">
        <v>91554.48</v>
      </c>
      <c r="N1116" s="10">
        <v>59441.77</v>
      </c>
      <c r="O1116" s="10">
        <v>79951.990000000005</v>
      </c>
      <c r="P1116" s="10">
        <v>109924.41</v>
      </c>
      <c r="Q1116" s="10">
        <v>164232.88</v>
      </c>
      <c r="R1116" s="10">
        <v>2026661.59</v>
      </c>
    </row>
    <row r="1117" spans="1:18" ht="12.75" x14ac:dyDescent="0.2">
      <c r="A1117" s="9" t="s">
        <v>332</v>
      </c>
      <c r="B1117" s="9" t="s">
        <v>239</v>
      </c>
      <c r="C1117" s="9" t="s">
        <v>309</v>
      </c>
      <c r="D1117" s="9" t="s">
        <v>52</v>
      </c>
      <c r="E1117" s="9" t="s">
        <v>255</v>
      </c>
      <c r="F1117" s="9" t="s">
        <v>334</v>
      </c>
      <c r="G1117" s="9" t="s">
        <v>309</v>
      </c>
      <c r="H1117" s="10">
        <v>816307.41</v>
      </c>
      <c r="I1117" s="10">
        <v>386675.36</v>
      </c>
      <c r="J1117" s="10">
        <v>160896.44</v>
      </c>
      <c r="K1117" s="10">
        <v>77855.33</v>
      </c>
      <c r="L1117" s="10">
        <v>79821.52</v>
      </c>
      <c r="M1117" s="10">
        <v>91554.48</v>
      </c>
      <c r="N1117" s="10">
        <v>59441.77</v>
      </c>
      <c r="O1117" s="10">
        <v>79951.990000000005</v>
      </c>
      <c r="P1117" s="10">
        <v>109924.41</v>
      </c>
      <c r="Q1117" s="10">
        <v>164232.88</v>
      </c>
      <c r="R1117" s="10">
        <v>2026661.59</v>
      </c>
    </row>
    <row r="1118" spans="1:18" ht="12.75" x14ac:dyDescent="0.2">
      <c r="A1118" s="9" t="s">
        <v>332</v>
      </c>
      <c r="B1118" s="9" t="s">
        <v>239</v>
      </c>
      <c r="C1118" s="9" t="s">
        <v>309</v>
      </c>
      <c r="D1118" s="9" t="s">
        <v>52</v>
      </c>
      <c r="E1118" s="9" t="s">
        <v>256</v>
      </c>
      <c r="F1118" s="9" t="s">
        <v>334</v>
      </c>
      <c r="G1118" s="9" t="s">
        <v>309</v>
      </c>
      <c r="H1118" s="10">
        <v>816307.41</v>
      </c>
      <c r="I1118" s="10">
        <v>386675.36</v>
      </c>
      <c r="J1118" s="10">
        <v>160896.44</v>
      </c>
      <c r="K1118" s="10">
        <v>77855.33</v>
      </c>
      <c r="L1118" s="10">
        <v>79821.52</v>
      </c>
      <c r="M1118" s="10">
        <v>91554.48</v>
      </c>
      <c r="N1118" s="10">
        <v>59441.77</v>
      </c>
      <c r="O1118" s="10">
        <v>79951.990000000005</v>
      </c>
      <c r="P1118" s="10">
        <v>109924.41</v>
      </c>
      <c r="Q1118" s="10">
        <v>164232.88</v>
      </c>
      <c r="R1118" s="10">
        <v>2026661.59</v>
      </c>
    </row>
    <row r="1119" spans="1:18" ht="12.75" x14ac:dyDescent="0.2">
      <c r="A1119" s="9" t="s">
        <v>332</v>
      </c>
      <c r="B1119" s="9" t="s">
        <v>239</v>
      </c>
      <c r="C1119" s="9" t="s">
        <v>309</v>
      </c>
      <c r="D1119" s="9" t="s">
        <v>52</v>
      </c>
      <c r="E1119" s="9" t="s">
        <v>257</v>
      </c>
      <c r="F1119" s="9" t="s">
        <v>334</v>
      </c>
      <c r="G1119" s="9" t="s">
        <v>309</v>
      </c>
      <c r="H1119" s="10">
        <v>816307.41</v>
      </c>
      <c r="I1119" s="10">
        <v>386675.36</v>
      </c>
      <c r="J1119" s="10">
        <v>160896.44</v>
      </c>
      <c r="K1119" s="10">
        <v>77855.33</v>
      </c>
      <c r="L1119" s="10">
        <v>79821.52</v>
      </c>
      <c r="M1119" s="10">
        <v>91554.48</v>
      </c>
      <c r="N1119" s="10">
        <v>59441.77</v>
      </c>
      <c r="O1119" s="10">
        <v>79951.990000000005</v>
      </c>
      <c r="P1119" s="10">
        <v>109924.41</v>
      </c>
      <c r="Q1119" s="10">
        <v>164232.88</v>
      </c>
      <c r="R1119" s="10">
        <v>2026661.59</v>
      </c>
    </row>
    <row r="1120" spans="1:18" ht="12.75" x14ac:dyDescent="0.2">
      <c r="A1120" s="9" t="s">
        <v>332</v>
      </c>
      <c r="B1120" s="9" t="s">
        <v>239</v>
      </c>
      <c r="C1120" s="9" t="s">
        <v>309</v>
      </c>
      <c r="D1120" s="9" t="s">
        <v>52</v>
      </c>
      <c r="E1120" s="9" t="s">
        <v>258</v>
      </c>
      <c r="F1120" s="9" t="s">
        <v>334</v>
      </c>
      <c r="G1120" s="9" t="s">
        <v>309</v>
      </c>
      <c r="H1120" s="10">
        <v>816307.41</v>
      </c>
      <c r="I1120" s="10">
        <v>386675.36</v>
      </c>
      <c r="J1120" s="10">
        <v>160896.44</v>
      </c>
      <c r="K1120" s="10">
        <v>77855.33</v>
      </c>
      <c r="L1120" s="10">
        <v>79821.52</v>
      </c>
      <c r="M1120" s="10">
        <v>91554.48</v>
      </c>
      <c r="N1120" s="10">
        <v>59441.77</v>
      </c>
      <c r="O1120" s="10">
        <v>79951.990000000005</v>
      </c>
      <c r="P1120" s="10">
        <v>109924.41</v>
      </c>
      <c r="Q1120" s="10">
        <v>164232.88</v>
      </c>
      <c r="R1120" s="10">
        <v>2026661.59</v>
      </c>
    </row>
    <row r="1121" spans="1:18" ht="12.75" x14ac:dyDescent="0.2">
      <c r="A1121" s="9" t="s">
        <v>332</v>
      </c>
      <c r="B1121" s="9" t="s">
        <v>239</v>
      </c>
      <c r="C1121" s="9" t="s">
        <v>309</v>
      </c>
      <c r="D1121" s="9" t="s">
        <v>52</v>
      </c>
      <c r="E1121" s="9" t="s">
        <v>259</v>
      </c>
      <c r="F1121" s="9" t="s">
        <v>334</v>
      </c>
      <c r="G1121" s="9" t="s">
        <v>309</v>
      </c>
      <c r="H1121" s="10">
        <v>816307.41</v>
      </c>
      <c r="I1121" s="10">
        <v>386675.36</v>
      </c>
      <c r="J1121" s="10">
        <v>160896.44</v>
      </c>
      <c r="K1121" s="10">
        <v>77855.33</v>
      </c>
      <c r="L1121" s="10">
        <v>79821.52</v>
      </c>
      <c r="M1121" s="10">
        <v>91554.48</v>
      </c>
      <c r="N1121" s="10">
        <v>59441.77</v>
      </c>
      <c r="O1121" s="10">
        <v>79951.990000000005</v>
      </c>
      <c r="P1121" s="10">
        <v>109924.41</v>
      </c>
      <c r="Q1121" s="10">
        <v>164232.88</v>
      </c>
      <c r="R1121" s="10">
        <v>2026661.59</v>
      </c>
    </row>
    <row r="1122" spans="1:18" ht="12.75" x14ac:dyDescent="0.2">
      <c r="A1122" s="9" t="s">
        <v>332</v>
      </c>
      <c r="B1122" s="9" t="s">
        <v>239</v>
      </c>
      <c r="C1122" s="9" t="s">
        <v>309</v>
      </c>
      <c r="D1122" s="9" t="s">
        <v>52</v>
      </c>
      <c r="E1122" s="9" t="s">
        <v>260</v>
      </c>
      <c r="F1122" s="9" t="s">
        <v>334</v>
      </c>
      <c r="G1122" s="9" t="s">
        <v>309</v>
      </c>
      <c r="H1122" s="10">
        <v>816307.41</v>
      </c>
      <c r="I1122" s="10">
        <v>386675.36</v>
      </c>
      <c r="J1122" s="10">
        <v>160896.44</v>
      </c>
      <c r="K1122" s="10">
        <v>77855.33</v>
      </c>
      <c r="L1122" s="10">
        <v>79821.52</v>
      </c>
      <c r="M1122" s="10">
        <v>91554.48</v>
      </c>
      <c r="N1122" s="10">
        <v>59441.77</v>
      </c>
      <c r="O1122" s="10">
        <v>79951.990000000005</v>
      </c>
      <c r="P1122" s="10">
        <v>109924.41</v>
      </c>
      <c r="Q1122" s="10">
        <v>164232.88</v>
      </c>
      <c r="R1122" s="10">
        <v>2026661.59</v>
      </c>
    </row>
    <row r="1123" spans="1:18" ht="12.75" x14ac:dyDescent="0.2">
      <c r="A1123" s="9" t="s">
        <v>332</v>
      </c>
      <c r="B1123" s="9" t="s">
        <v>239</v>
      </c>
      <c r="C1123" s="9" t="s">
        <v>309</v>
      </c>
      <c r="D1123" s="9" t="s">
        <v>52</v>
      </c>
      <c r="E1123" s="9" t="s">
        <v>261</v>
      </c>
      <c r="F1123" s="9" t="s">
        <v>334</v>
      </c>
      <c r="G1123" s="9" t="s">
        <v>309</v>
      </c>
      <c r="H1123" s="10">
        <v>816307.41</v>
      </c>
      <c r="I1123" s="10">
        <v>386675.36</v>
      </c>
      <c r="J1123" s="10">
        <v>160896.44</v>
      </c>
      <c r="K1123" s="10">
        <v>77855.33</v>
      </c>
      <c r="L1123" s="10">
        <v>79821.52</v>
      </c>
      <c r="M1123" s="10">
        <v>91554.48</v>
      </c>
      <c r="N1123" s="10">
        <v>59441.77</v>
      </c>
      <c r="O1123" s="10">
        <v>79951.990000000005</v>
      </c>
      <c r="P1123" s="10">
        <v>109924.41</v>
      </c>
      <c r="Q1123" s="10">
        <v>164232.88</v>
      </c>
      <c r="R1123" s="10">
        <v>2026661.59</v>
      </c>
    </row>
    <row r="1124" spans="1:18" ht="12.75" x14ac:dyDescent="0.2">
      <c r="A1124" s="9" t="s">
        <v>332</v>
      </c>
      <c r="B1124" s="9" t="s">
        <v>239</v>
      </c>
      <c r="C1124" s="9" t="s">
        <v>309</v>
      </c>
      <c r="D1124" s="9" t="s">
        <v>52</v>
      </c>
      <c r="E1124" s="9" t="s">
        <v>262</v>
      </c>
      <c r="F1124" s="9" t="s">
        <v>334</v>
      </c>
      <c r="G1124" s="9" t="s">
        <v>309</v>
      </c>
      <c r="H1124" s="10">
        <v>816307.41</v>
      </c>
      <c r="I1124" s="10">
        <v>386675.36</v>
      </c>
      <c r="J1124" s="10">
        <v>160896.44</v>
      </c>
      <c r="K1124" s="10">
        <v>77855.33</v>
      </c>
      <c r="L1124" s="10">
        <v>79821.52</v>
      </c>
      <c r="M1124" s="10">
        <v>91554.48</v>
      </c>
      <c r="N1124" s="10">
        <v>59441.77</v>
      </c>
      <c r="O1124" s="10">
        <v>79951.990000000005</v>
      </c>
      <c r="P1124" s="10">
        <v>109924.41</v>
      </c>
      <c r="Q1124" s="10">
        <v>164232.88</v>
      </c>
      <c r="R1124" s="10">
        <v>2026661.59</v>
      </c>
    </row>
    <row r="1125" spans="1:18" ht="12.75" x14ac:dyDescent="0.2">
      <c r="A1125" s="9" t="s">
        <v>332</v>
      </c>
      <c r="B1125" s="9" t="s">
        <v>239</v>
      </c>
      <c r="C1125" s="9" t="s">
        <v>309</v>
      </c>
      <c r="D1125" s="9" t="s">
        <v>52</v>
      </c>
      <c r="E1125" s="9" t="s">
        <v>263</v>
      </c>
      <c r="F1125" s="9" t="s">
        <v>334</v>
      </c>
      <c r="G1125" s="9" t="s">
        <v>309</v>
      </c>
      <c r="H1125" s="10">
        <v>816307.41</v>
      </c>
      <c r="I1125" s="10">
        <v>386675.36</v>
      </c>
      <c r="J1125" s="10">
        <v>160896.44</v>
      </c>
      <c r="K1125" s="10">
        <v>77855.33</v>
      </c>
      <c r="L1125" s="10">
        <v>79821.52</v>
      </c>
      <c r="M1125" s="10">
        <v>91554.48</v>
      </c>
      <c r="N1125" s="10">
        <v>59441.77</v>
      </c>
      <c r="O1125" s="10">
        <v>79951.990000000005</v>
      </c>
      <c r="P1125" s="10">
        <v>109924.41</v>
      </c>
      <c r="Q1125" s="10">
        <v>164232.88</v>
      </c>
      <c r="R1125" s="10">
        <v>2026661.59</v>
      </c>
    </row>
    <row r="1126" spans="1:18" ht="12.75" x14ac:dyDescent="0.2">
      <c r="A1126" s="9" t="s">
        <v>332</v>
      </c>
      <c r="B1126" s="9" t="s">
        <v>239</v>
      </c>
      <c r="C1126" s="9" t="s">
        <v>309</v>
      </c>
      <c r="D1126" s="9" t="s">
        <v>52</v>
      </c>
      <c r="E1126" s="9" t="s">
        <v>264</v>
      </c>
      <c r="F1126" s="9" t="s">
        <v>334</v>
      </c>
      <c r="G1126" s="9" t="s">
        <v>309</v>
      </c>
      <c r="H1126" s="10">
        <v>816307.41</v>
      </c>
      <c r="I1126" s="10">
        <v>386675.36</v>
      </c>
      <c r="J1126" s="10">
        <v>160896.44</v>
      </c>
      <c r="K1126" s="10">
        <v>77855.33</v>
      </c>
      <c r="L1126" s="10">
        <v>79821.52</v>
      </c>
      <c r="M1126" s="10">
        <v>91554.48</v>
      </c>
      <c r="N1126" s="10">
        <v>59441.77</v>
      </c>
      <c r="O1126" s="10">
        <v>79951.990000000005</v>
      </c>
      <c r="P1126" s="10">
        <v>109924.41</v>
      </c>
      <c r="Q1126" s="10">
        <v>164232.88</v>
      </c>
      <c r="R1126" s="10">
        <v>2026661.59</v>
      </c>
    </row>
    <row r="1127" spans="1:18" ht="12.75" x14ac:dyDescent="0.2">
      <c r="A1127" s="9" t="s">
        <v>332</v>
      </c>
      <c r="B1127" s="9" t="s">
        <v>239</v>
      </c>
      <c r="C1127" s="9" t="s">
        <v>309</v>
      </c>
      <c r="D1127" s="9" t="s">
        <v>52</v>
      </c>
      <c r="E1127" s="9" t="s">
        <v>265</v>
      </c>
      <c r="F1127" s="9" t="s">
        <v>334</v>
      </c>
      <c r="G1127" s="9" t="s">
        <v>309</v>
      </c>
      <c r="H1127" s="10">
        <v>816307.41</v>
      </c>
      <c r="I1127" s="10">
        <v>386675.36</v>
      </c>
      <c r="J1127" s="10">
        <v>160896.44</v>
      </c>
      <c r="K1127" s="10">
        <v>77855.33</v>
      </c>
      <c r="L1127" s="10">
        <v>79821.52</v>
      </c>
      <c r="M1127" s="10">
        <v>91554.48</v>
      </c>
      <c r="N1127" s="10">
        <v>59441.77</v>
      </c>
      <c r="O1127" s="10">
        <v>79951.990000000005</v>
      </c>
      <c r="P1127" s="10">
        <v>109924.41</v>
      </c>
      <c r="Q1127" s="10">
        <v>164232.88</v>
      </c>
      <c r="R1127" s="10">
        <v>2026661.59</v>
      </c>
    </row>
    <row r="1128" spans="1:18" ht="12.75" x14ac:dyDescent="0.2">
      <c r="A1128" s="9" t="s">
        <v>332</v>
      </c>
      <c r="B1128" s="9" t="s">
        <v>239</v>
      </c>
      <c r="C1128" s="9" t="s">
        <v>309</v>
      </c>
      <c r="D1128" s="9" t="s">
        <v>52</v>
      </c>
      <c r="E1128" s="9" t="s">
        <v>266</v>
      </c>
      <c r="F1128" s="9" t="s">
        <v>334</v>
      </c>
      <c r="G1128" s="9" t="s">
        <v>309</v>
      </c>
      <c r="H1128" s="10">
        <v>816307.41</v>
      </c>
      <c r="I1128" s="10">
        <v>386675.36</v>
      </c>
      <c r="J1128" s="10">
        <v>160896.44</v>
      </c>
      <c r="K1128" s="10">
        <v>77855.33</v>
      </c>
      <c r="L1128" s="10">
        <v>79821.52</v>
      </c>
      <c r="M1128" s="10">
        <v>91554.48</v>
      </c>
      <c r="N1128" s="10">
        <v>59441.77</v>
      </c>
      <c r="O1128" s="10">
        <v>79951.990000000005</v>
      </c>
      <c r="P1128" s="10">
        <v>109924.41</v>
      </c>
      <c r="Q1128" s="10">
        <v>164232.88</v>
      </c>
      <c r="R1128" s="10">
        <v>2026661.59</v>
      </c>
    </row>
    <row r="1129" spans="1:18" ht="12.75" x14ac:dyDescent="0.2">
      <c r="A1129" s="9" t="s">
        <v>332</v>
      </c>
      <c r="B1129" s="9" t="s">
        <v>239</v>
      </c>
      <c r="C1129" s="9" t="s">
        <v>309</v>
      </c>
      <c r="D1129" s="9" t="s">
        <v>52</v>
      </c>
      <c r="E1129" s="9" t="s">
        <v>267</v>
      </c>
      <c r="F1129" s="9" t="s">
        <v>334</v>
      </c>
      <c r="G1129" s="9" t="s">
        <v>309</v>
      </c>
      <c r="H1129" s="10">
        <v>816307.41</v>
      </c>
      <c r="I1129" s="10">
        <v>386675.36</v>
      </c>
      <c r="J1129" s="10">
        <v>160896.44</v>
      </c>
      <c r="K1129" s="10">
        <v>77855.33</v>
      </c>
      <c r="L1129" s="10">
        <v>79821.52</v>
      </c>
      <c r="M1129" s="10">
        <v>91554.48</v>
      </c>
      <c r="N1129" s="10">
        <v>59441.77</v>
      </c>
      <c r="O1129" s="10">
        <v>79951.990000000005</v>
      </c>
      <c r="P1129" s="10">
        <v>109924.41</v>
      </c>
      <c r="Q1129" s="10">
        <v>164232.88</v>
      </c>
      <c r="R1129" s="10">
        <v>2026661.59</v>
      </c>
    </row>
    <row r="1130" spans="1:18" ht="12.75" x14ac:dyDescent="0.2">
      <c r="A1130" s="9" t="s">
        <v>332</v>
      </c>
      <c r="B1130" s="9" t="s">
        <v>239</v>
      </c>
      <c r="C1130" s="9" t="s">
        <v>309</v>
      </c>
      <c r="D1130" s="9" t="s">
        <v>52</v>
      </c>
      <c r="E1130" s="9" t="s">
        <v>268</v>
      </c>
      <c r="F1130" s="9" t="s">
        <v>334</v>
      </c>
      <c r="G1130" s="9" t="s">
        <v>309</v>
      </c>
      <c r="H1130" s="10">
        <v>816307.41</v>
      </c>
      <c r="I1130" s="10">
        <v>386675.36</v>
      </c>
      <c r="J1130" s="10">
        <v>160896.44</v>
      </c>
      <c r="K1130" s="10">
        <v>77855.33</v>
      </c>
      <c r="L1130" s="10">
        <v>79821.52</v>
      </c>
      <c r="M1130" s="10">
        <v>91554.48</v>
      </c>
      <c r="N1130" s="10">
        <v>59441.77</v>
      </c>
      <c r="O1130" s="10">
        <v>79951.990000000005</v>
      </c>
      <c r="P1130" s="10">
        <v>109924.41</v>
      </c>
      <c r="Q1130" s="10">
        <v>164232.88</v>
      </c>
      <c r="R1130" s="10">
        <v>2026661.59</v>
      </c>
    </row>
    <row r="1131" spans="1:18" ht="12.75" x14ac:dyDescent="0.2">
      <c r="A1131" s="9" t="s">
        <v>332</v>
      </c>
      <c r="B1131" s="9" t="s">
        <v>239</v>
      </c>
      <c r="C1131" s="9" t="s">
        <v>309</v>
      </c>
      <c r="D1131" s="9" t="s">
        <v>87</v>
      </c>
      <c r="E1131" s="9" t="s">
        <v>270</v>
      </c>
      <c r="F1131" s="9" t="s">
        <v>334</v>
      </c>
      <c r="G1131" s="9" t="s">
        <v>309</v>
      </c>
      <c r="H1131" s="10">
        <v>3829223.31</v>
      </c>
      <c r="I1131" s="10">
        <v>1275281.3799999999</v>
      </c>
      <c r="J1131" s="10">
        <v>551843.49</v>
      </c>
      <c r="K1131" s="10">
        <v>299198.38</v>
      </c>
      <c r="L1131" s="10">
        <v>651852.21</v>
      </c>
      <c r="M1131" s="10">
        <v>375244.54</v>
      </c>
      <c r="N1131" s="10">
        <v>590058.94999999995</v>
      </c>
      <c r="O1131" s="10">
        <v>616328.63</v>
      </c>
      <c r="P1131" s="10">
        <v>766347.07</v>
      </c>
      <c r="Q1131" s="10">
        <v>1365844.01</v>
      </c>
      <c r="R1131" s="10">
        <v>10321221.970000001</v>
      </c>
    </row>
    <row r="1132" spans="1:18" ht="12.75" x14ac:dyDescent="0.2">
      <c r="A1132" s="9" t="s">
        <v>332</v>
      </c>
      <c r="B1132" s="9" t="s">
        <v>239</v>
      </c>
      <c r="C1132" s="9" t="s">
        <v>309</v>
      </c>
      <c r="D1132" s="9" t="s">
        <v>87</v>
      </c>
      <c r="E1132" s="9" t="s">
        <v>271</v>
      </c>
      <c r="F1132" s="9" t="s">
        <v>334</v>
      </c>
      <c r="G1132" s="9" t="s">
        <v>309</v>
      </c>
      <c r="H1132" s="10">
        <v>3829223.31</v>
      </c>
      <c r="I1132" s="10">
        <v>1275281.3799999999</v>
      </c>
      <c r="J1132" s="10">
        <v>551843.49</v>
      </c>
      <c r="K1132" s="10">
        <v>299198.38</v>
      </c>
      <c r="L1132" s="10">
        <v>651852.21</v>
      </c>
      <c r="M1132" s="10">
        <v>375244.54</v>
      </c>
      <c r="N1132" s="10">
        <v>590058.94999999995</v>
      </c>
      <c r="O1132" s="10">
        <v>616328.63</v>
      </c>
      <c r="P1132" s="10">
        <v>766347.07</v>
      </c>
      <c r="Q1132" s="10">
        <v>1365844.01</v>
      </c>
      <c r="R1132" s="10">
        <v>10321221.970000001</v>
      </c>
    </row>
    <row r="1133" spans="1:18" ht="12.75" x14ac:dyDescent="0.2">
      <c r="A1133" s="9" t="s">
        <v>332</v>
      </c>
      <c r="B1133" s="9" t="s">
        <v>239</v>
      </c>
      <c r="C1133" s="9" t="s">
        <v>309</v>
      </c>
      <c r="D1133" s="9" t="s">
        <v>87</v>
      </c>
      <c r="E1133" s="9" t="s">
        <v>272</v>
      </c>
      <c r="F1133" s="9" t="s">
        <v>334</v>
      </c>
      <c r="G1133" s="9" t="s">
        <v>309</v>
      </c>
      <c r="H1133" s="10">
        <v>3829223.31</v>
      </c>
      <c r="I1133" s="10">
        <v>1275281.3799999999</v>
      </c>
      <c r="J1133" s="10">
        <v>551843.49</v>
      </c>
      <c r="K1133" s="10">
        <v>299198.38</v>
      </c>
      <c r="L1133" s="10">
        <v>651852.21</v>
      </c>
      <c r="M1133" s="10">
        <v>375244.54</v>
      </c>
      <c r="N1133" s="10">
        <v>590058.94999999995</v>
      </c>
      <c r="O1133" s="10">
        <v>616328.63</v>
      </c>
      <c r="P1133" s="10">
        <v>766347.07</v>
      </c>
      <c r="Q1133" s="10">
        <v>1365844.01</v>
      </c>
      <c r="R1133" s="10">
        <v>10321221.970000001</v>
      </c>
    </row>
    <row r="1134" spans="1:18" ht="12.75" x14ac:dyDescent="0.2">
      <c r="A1134" s="9" t="s">
        <v>332</v>
      </c>
      <c r="B1134" s="9" t="s">
        <v>239</v>
      </c>
      <c r="C1134" s="9" t="s">
        <v>309</v>
      </c>
      <c r="D1134" s="9" t="s">
        <v>87</v>
      </c>
      <c r="E1134" s="9" t="s">
        <v>273</v>
      </c>
      <c r="F1134" s="9" t="s">
        <v>334</v>
      </c>
      <c r="G1134" s="9" t="s">
        <v>309</v>
      </c>
      <c r="H1134" s="10">
        <v>3829223.31</v>
      </c>
      <c r="I1134" s="10">
        <v>1275281.3799999999</v>
      </c>
      <c r="J1134" s="10">
        <v>551843.49</v>
      </c>
      <c r="K1134" s="10">
        <v>299198.38</v>
      </c>
      <c r="L1134" s="10">
        <v>651852.21</v>
      </c>
      <c r="M1134" s="10">
        <v>375244.54</v>
      </c>
      <c r="N1134" s="10">
        <v>590058.94999999995</v>
      </c>
      <c r="O1134" s="10">
        <v>616328.63</v>
      </c>
      <c r="P1134" s="10">
        <v>766347.07</v>
      </c>
      <c r="Q1134" s="10">
        <v>1365844.01</v>
      </c>
      <c r="R1134" s="10">
        <v>10321221.970000001</v>
      </c>
    </row>
    <row r="1135" spans="1:18" ht="12.75" x14ac:dyDescent="0.2">
      <c r="A1135" s="9" t="s">
        <v>332</v>
      </c>
      <c r="B1135" s="9" t="s">
        <v>239</v>
      </c>
      <c r="C1135" s="9" t="s">
        <v>309</v>
      </c>
      <c r="D1135" s="9" t="s">
        <v>87</v>
      </c>
      <c r="E1135" s="9" t="s">
        <v>274</v>
      </c>
      <c r="F1135" s="9" t="s">
        <v>334</v>
      </c>
      <c r="G1135" s="9" t="s">
        <v>309</v>
      </c>
      <c r="H1135" s="10">
        <v>3829223.31</v>
      </c>
      <c r="I1135" s="10">
        <v>1275281.3799999999</v>
      </c>
      <c r="J1135" s="10">
        <v>551843.49</v>
      </c>
      <c r="K1135" s="10">
        <v>299198.38</v>
      </c>
      <c r="L1135" s="10">
        <v>651852.21</v>
      </c>
      <c r="M1135" s="10">
        <v>375244.54</v>
      </c>
      <c r="N1135" s="10">
        <v>590058.94999999995</v>
      </c>
      <c r="O1135" s="10">
        <v>616328.63</v>
      </c>
      <c r="P1135" s="10">
        <v>766347.07</v>
      </c>
      <c r="Q1135" s="10">
        <v>1365844.01</v>
      </c>
      <c r="R1135" s="10">
        <v>10321221.970000001</v>
      </c>
    </row>
    <row r="1136" spans="1:18" ht="12.75" x14ac:dyDescent="0.2">
      <c r="A1136" s="9" t="s">
        <v>332</v>
      </c>
      <c r="B1136" s="9" t="s">
        <v>239</v>
      </c>
      <c r="C1136" s="9" t="s">
        <v>309</v>
      </c>
      <c r="D1136" s="9" t="s">
        <v>87</v>
      </c>
      <c r="E1136" s="9" t="s">
        <v>275</v>
      </c>
      <c r="F1136" s="9" t="s">
        <v>334</v>
      </c>
      <c r="G1136" s="9" t="s">
        <v>309</v>
      </c>
      <c r="H1136" s="10">
        <v>3829223.31</v>
      </c>
      <c r="I1136" s="10">
        <v>1275281.3799999999</v>
      </c>
      <c r="J1136" s="10">
        <v>551843.49</v>
      </c>
      <c r="K1136" s="10">
        <v>299198.38</v>
      </c>
      <c r="L1136" s="10">
        <v>651852.21</v>
      </c>
      <c r="M1136" s="10">
        <v>375244.54</v>
      </c>
      <c r="N1136" s="10">
        <v>590058.94999999995</v>
      </c>
      <c r="O1136" s="10">
        <v>616328.63</v>
      </c>
      <c r="P1136" s="10">
        <v>766347.07</v>
      </c>
      <c r="Q1136" s="10">
        <v>1365844.01</v>
      </c>
      <c r="R1136" s="10">
        <v>10321221.970000001</v>
      </c>
    </row>
    <row r="1137" spans="1:18" ht="12.75" x14ac:dyDescent="0.2">
      <c r="A1137" s="9" t="s">
        <v>332</v>
      </c>
      <c r="B1137" s="9" t="s">
        <v>239</v>
      </c>
      <c r="C1137" s="9" t="s">
        <v>309</v>
      </c>
      <c r="D1137" s="9" t="s">
        <v>87</v>
      </c>
      <c r="E1137" s="9" t="s">
        <v>276</v>
      </c>
      <c r="F1137" s="9" t="s">
        <v>334</v>
      </c>
      <c r="G1137" s="9" t="s">
        <v>309</v>
      </c>
      <c r="H1137" s="10">
        <v>3829223.31</v>
      </c>
      <c r="I1137" s="10">
        <v>1275281.3799999999</v>
      </c>
      <c r="J1137" s="10">
        <v>551843.49</v>
      </c>
      <c r="K1137" s="10">
        <v>299198.38</v>
      </c>
      <c r="L1137" s="10">
        <v>651852.21</v>
      </c>
      <c r="M1137" s="10">
        <v>375244.54</v>
      </c>
      <c r="N1137" s="10">
        <v>590058.94999999995</v>
      </c>
      <c r="O1137" s="10">
        <v>616328.63</v>
      </c>
      <c r="P1137" s="10">
        <v>766347.07</v>
      </c>
      <c r="Q1137" s="10">
        <v>1365844.01</v>
      </c>
      <c r="R1137" s="10">
        <v>10321221.970000001</v>
      </c>
    </row>
    <row r="1138" spans="1:18" ht="12.75" x14ac:dyDescent="0.2">
      <c r="A1138" s="9" t="s">
        <v>332</v>
      </c>
      <c r="B1138" s="9" t="s">
        <v>239</v>
      </c>
      <c r="C1138" s="9" t="s">
        <v>309</v>
      </c>
      <c r="D1138" s="9" t="s">
        <v>96</v>
      </c>
      <c r="E1138" s="9" t="s">
        <v>277</v>
      </c>
      <c r="F1138" s="9" t="s">
        <v>334</v>
      </c>
      <c r="G1138" s="9" t="s">
        <v>309</v>
      </c>
      <c r="H1138" s="10">
        <v>924930.41</v>
      </c>
      <c r="I1138" s="10">
        <v>844954.71</v>
      </c>
      <c r="J1138" s="10">
        <v>195623.94</v>
      </c>
      <c r="K1138" s="10">
        <v>92867.34</v>
      </c>
      <c r="L1138" s="10">
        <v>327648.56</v>
      </c>
      <c r="M1138" s="10">
        <v>279771.90999999997</v>
      </c>
      <c r="N1138" s="10">
        <v>167108.47</v>
      </c>
      <c r="O1138" s="10">
        <v>95195.35</v>
      </c>
      <c r="P1138" s="10">
        <v>50687.23</v>
      </c>
      <c r="Q1138" s="10">
        <v>136476.29999999999</v>
      </c>
      <c r="R1138" s="10">
        <v>3115264.22</v>
      </c>
    </row>
    <row r="1139" spans="1:18" ht="12.75" x14ac:dyDescent="0.2">
      <c r="A1139" s="9" t="s">
        <v>332</v>
      </c>
      <c r="B1139" s="9" t="s">
        <v>239</v>
      </c>
      <c r="C1139" s="9" t="s">
        <v>309</v>
      </c>
      <c r="D1139" s="9" t="s">
        <v>96</v>
      </c>
      <c r="E1139" s="9" t="s">
        <v>278</v>
      </c>
      <c r="F1139" s="9" t="s">
        <v>334</v>
      </c>
      <c r="G1139" s="9" t="s">
        <v>309</v>
      </c>
      <c r="H1139" s="10">
        <v>924930.41</v>
      </c>
      <c r="I1139" s="10">
        <v>844954.71</v>
      </c>
      <c r="J1139" s="10">
        <v>195623.94</v>
      </c>
      <c r="K1139" s="10">
        <v>92867.34</v>
      </c>
      <c r="L1139" s="10">
        <v>327648.56</v>
      </c>
      <c r="M1139" s="10">
        <v>279771.90999999997</v>
      </c>
      <c r="N1139" s="10">
        <v>167108.47</v>
      </c>
      <c r="O1139" s="10">
        <v>95195.35</v>
      </c>
      <c r="P1139" s="10">
        <v>50687.23</v>
      </c>
      <c r="Q1139" s="10">
        <v>136476.29999999999</v>
      </c>
      <c r="R1139" s="10">
        <v>3115264.22</v>
      </c>
    </row>
    <row r="1140" spans="1:18" ht="12.75" x14ac:dyDescent="0.2">
      <c r="A1140" s="9" t="s">
        <v>332</v>
      </c>
      <c r="B1140" s="9" t="s">
        <v>239</v>
      </c>
      <c r="C1140" s="9" t="s">
        <v>309</v>
      </c>
      <c r="D1140" s="9" t="s">
        <v>96</v>
      </c>
      <c r="E1140" s="9" t="s">
        <v>279</v>
      </c>
      <c r="F1140" s="9" t="s">
        <v>334</v>
      </c>
      <c r="G1140" s="9" t="s">
        <v>309</v>
      </c>
      <c r="H1140" s="10">
        <v>924930.41</v>
      </c>
      <c r="I1140" s="10">
        <v>844954.71</v>
      </c>
      <c r="J1140" s="10">
        <v>195623.94</v>
      </c>
      <c r="K1140" s="10">
        <v>92867.34</v>
      </c>
      <c r="L1140" s="10">
        <v>327648.56</v>
      </c>
      <c r="M1140" s="10">
        <v>279771.90999999997</v>
      </c>
      <c r="N1140" s="10">
        <v>167108.47</v>
      </c>
      <c r="O1140" s="10">
        <v>95195.35</v>
      </c>
      <c r="P1140" s="10">
        <v>50687.23</v>
      </c>
      <c r="Q1140" s="10">
        <v>136476.29999999999</v>
      </c>
      <c r="R1140" s="10">
        <v>3115264.22</v>
      </c>
    </row>
    <row r="1141" spans="1:18" ht="12.75" x14ac:dyDescent="0.2">
      <c r="A1141" s="9" t="s">
        <v>332</v>
      </c>
      <c r="B1141" s="9" t="s">
        <v>239</v>
      </c>
      <c r="C1141" s="9" t="s">
        <v>309</v>
      </c>
      <c r="D1141" s="9" t="s">
        <v>96</v>
      </c>
      <c r="E1141" s="9" t="s">
        <v>280</v>
      </c>
      <c r="F1141" s="9" t="s">
        <v>334</v>
      </c>
      <c r="G1141" s="9" t="s">
        <v>309</v>
      </c>
      <c r="H1141" s="10">
        <v>924930.41</v>
      </c>
      <c r="I1141" s="10">
        <v>844954.71</v>
      </c>
      <c r="J1141" s="10">
        <v>195623.94</v>
      </c>
      <c r="K1141" s="10">
        <v>92867.34</v>
      </c>
      <c r="L1141" s="10">
        <v>327648.56</v>
      </c>
      <c r="M1141" s="10">
        <v>279771.90999999997</v>
      </c>
      <c r="N1141" s="10">
        <v>167108.47</v>
      </c>
      <c r="O1141" s="10">
        <v>95195.35</v>
      </c>
      <c r="P1141" s="10">
        <v>50687.23</v>
      </c>
      <c r="Q1141" s="10">
        <v>136476.29999999999</v>
      </c>
      <c r="R1141" s="10">
        <v>3115264.22</v>
      </c>
    </row>
    <row r="1142" spans="1:18" ht="12.75" x14ac:dyDescent="0.2">
      <c r="A1142" s="9" t="s">
        <v>332</v>
      </c>
      <c r="B1142" s="9" t="s">
        <v>239</v>
      </c>
      <c r="C1142" s="9" t="s">
        <v>309</v>
      </c>
      <c r="D1142" s="9" t="s">
        <v>96</v>
      </c>
      <c r="E1142" s="9" t="s">
        <v>281</v>
      </c>
      <c r="F1142" s="9" t="s">
        <v>334</v>
      </c>
      <c r="G1142" s="9" t="s">
        <v>309</v>
      </c>
      <c r="H1142" s="10">
        <v>924930.41</v>
      </c>
      <c r="I1142" s="10">
        <v>844954.71</v>
      </c>
      <c r="J1142" s="10">
        <v>195623.94</v>
      </c>
      <c r="K1142" s="10">
        <v>92867.34</v>
      </c>
      <c r="L1142" s="10">
        <v>327648.56</v>
      </c>
      <c r="M1142" s="10">
        <v>279771.90999999997</v>
      </c>
      <c r="N1142" s="10">
        <v>167108.47</v>
      </c>
      <c r="O1142" s="10">
        <v>95195.35</v>
      </c>
      <c r="P1142" s="10">
        <v>50687.23</v>
      </c>
      <c r="Q1142" s="10">
        <v>136476.29999999999</v>
      </c>
      <c r="R1142" s="10">
        <v>3115264.22</v>
      </c>
    </row>
    <row r="1143" spans="1:18" ht="12.75" x14ac:dyDescent="0.2">
      <c r="A1143" s="9" t="s">
        <v>332</v>
      </c>
      <c r="B1143" s="9" t="s">
        <v>239</v>
      </c>
      <c r="C1143" s="9" t="s">
        <v>309</v>
      </c>
      <c r="D1143" s="9" t="s">
        <v>96</v>
      </c>
      <c r="E1143" s="9" t="s">
        <v>282</v>
      </c>
      <c r="F1143" s="9" t="s">
        <v>334</v>
      </c>
      <c r="G1143" s="9" t="s">
        <v>309</v>
      </c>
      <c r="H1143" s="10">
        <v>924930.41</v>
      </c>
      <c r="I1143" s="10">
        <v>844954.71</v>
      </c>
      <c r="J1143" s="10">
        <v>195623.94</v>
      </c>
      <c r="K1143" s="10">
        <v>92867.34</v>
      </c>
      <c r="L1143" s="10">
        <v>327648.56</v>
      </c>
      <c r="M1143" s="10">
        <v>279771.90999999997</v>
      </c>
      <c r="N1143" s="10">
        <v>167108.47</v>
      </c>
      <c r="O1143" s="10">
        <v>95195.35</v>
      </c>
      <c r="P1143" s="10">
        <v>50687.23</v>
      </c>
      <c r="Q1143" s="10">
        <v>136476.29999999999</v>
      </c>
      <c r="R1143" s="10">
        <v>3115264.22</v>
      </c>
    </row>
    <row r="1144" spans="1:18" ht="12.75" x14ac:dyDescent="0.2">
      <c r="A1144" s="9" t="s">
        <v>332</v>
      </c>
      <c r="B1144" s="9" t="s">
        <v>239</v>
      </c>
      <c r="C1144" s="9" t="s">
        <v>309</v>
      </c>
      <c r="D1144" s="9" t="s">
        <v>96</v>
      </c>
      <c r="E1144" s="9" t="s">
        <v>283</v>
      </c>
      <c r="F1144" s="9" t="s">
        <v>334</v>
      </c>
      <c r="G1144" s="9" t="s">
        <v>309</v>
      </c>
      <c r="H1144" s="10">
        <v>924930.41</v>
      </c>
      <c r="I1144" s="10">
        <v>844954.71</v>
      </c>
      <c r="J1144" s="10">
        <v>195623.94</v>
      </c>
      <c r="K1144" s="10">
        <v>92867.34</v>
      </c>
      <c r="L1144" s="10">
        <v>327648.56</v>
      </c>
      <c r="M1144" s="10">
        <v>279771.90999999997</v>
      </c>
      <c r="N1144" s="10">
        <v>167108.47</v>
      </c>
      <c r="O1144" s="10">
        <v>95195.35</v>
      </c>
      <c r="P1144" s="10">
        <v>50687.23</v>
      </c>
      <c r="Q1144" s="10">
        <v>136476.29999999999</v>
      </c>
      <c r="R1144" s="10">
        <v>3115264.22</v>
      </c>
    </row>
    <row r="1145" spans="1:18" ht="12.75" x14ac:dyDescent="0.2">
      <c r="A1145" s="9" t="s">
        <v>332</v>
      </c>
      <c r="B1145" s="9" t="s">
        <v>239</v>
      </c>
      <c r="C1145" s="9" t="s">
        <v>309</v>
      </c>
      <c r="D1145" s="9" t="s">
        <v>96</v>
      </c>
      <c r="E1145" s="9" t="s">
        <v>284</v>
      </c>
      <c r="F1145" s="9" t="s">
        <v>334</v>
      </c>
      <c r="G1145" s="9" t="s">
        <v>309</v>
      </c>
      <c r="H1145" s="10">
        <v>924930.41</v>
      </c>
      <c r="I1145" s="10">
        <v>844954.71</v>
      </c>
      <c r="J1145" s="10">
        <v>195623.94</v>
      </c>
      <c r="K1145" s="10">
        <v>92867.34</v>
      </c>
      <c r="L1145" s="10">
        <v>327648.56</v>
      </c>
      <c r="M1145" s="10">
        <v>279771.90999999997</v>
      </c>
      <c r="N1145" s="10">
        <v>167108.47</v>
      </c>
      <c r="O1145" s="10">
        <v>95195.35</v>
      </c>
      <c r="P1145" s="10">
        <v>50687.23</v>
      </c>
      <c r="Q1145" s="10">
        <v>136476.29999999999</v>
      </c>
      <c r="R1145" s="10">
        <v>3115264.22</v>
      </c>
    </row>
    <row r="1146" spans="1:18" ht="12.75" x14ac:dyDescent="0.2">
      <c r="A1146" s="9" t="s">
        <v>332</v>
      </c>
      <c r="B1146" s="9" t="s">
        <v>239</v>
      </c>
      <c r="C1146" s="9" t="s">
        <v>309</v>
      </c>
      <c r="D1146" s="9" t="s">
        <v>96</v>
      </c>
      <c r="E1146" s="9" t="s">
        <v>285</v>
      </c>
      <c r="F1146" s="9" t="s">
        <v>334</v>
      </c>
      <c r="G1146" s="9" t="s">
        <v>309</v>
      </c>
      <c r="H1146" s="10">
        <v>924930.41</v>
      </c>
      <c r="I1146" s="10">
        <v>844954.71</v>
      </c>
      <c r="J1146" s="10">
        <v>195623.94</v>
      </c>
      <c r="K1146" s="10">
        <v>92867.34</v>
      </c>
      <c r="L1146" s="10">
        <v>327648.56</v>
      </c>
      <c r="M1146" s="10">
        <v>279771.90999999997</v>
      </c>
      <c r="N1146" s="10">
        <v>167108.47</v>
      </c>
      <c r="O1146" s="10">
        <v>95195.35</v>
      </c>
      <c r="P1146" s="10">
        <v>50687.23</v>
      </c>
      <c r="Q1146" s="10">
        <v>136476.29999999999</v>
      </c>
      <c r="R1146" s="10">
        <v>3115264.22</v>
      </c>
    </row>
    <row r="1147" spans="1:18" ht="12.75" x14ac:dyDescent="0.2">
      <c r="A1147" s="9" t="s">
        <v>332</v>
      </c>
      <c r="B1147" s="9" t="s">
        <v>239</v>
      </c>
      <c r="C1147" s="9" t="s">
        <v>309</v>
      </c>
      <c r="D1147" s="9" t="s">
        <v>96</v>
      </c>
      <c r="E1147" s="9" t="s">
        <v>286</v>
      </c>
      <c r="F1147" s="9" t="s">
        <v>334</v>
      </c>
      <c r="G1147" s="9" t="s">
        <v>309</v>
      </c>
      <c r="H1147" s="10">
        <v>924930.41</v>
      </c>
      <c r="I1147" s="10">
        <v>844954.71</v>
      </c>
      <c r="J1147" s="10">
        <v>195623.94</v>
      </c>
      <c r="K1147" s="10">
        <v>92867.34</v>
      </c>
      <c r="L1147" s="10">
        <v>327648.56</v>
      </c>
      <c r="M1147" s="10">
        <v>279771.90999999997</v>
      </c>
      <c r="N1147" s="10">
        <v>167108.47</v>
      </c>
      <c r="O1147" s="10">
        <v>95195.35</v>
      </c>
      <c r="P1147" s="10">
        <v>50687.23</v>
      </c>
      <c r="Q1147" s="10">
        <v>136476.29999999999</v>
      </c>
      <c r="R1147" s="10">
        <v>3115264.22</v>
      </c>
    </row>
    <row r="1148" spans="1:18" ht="12.75" x14ac:dyDescent="0.2">
      <c r="A1148" s="9" t="s">
        <v>332</v>
      </c>
      <c r="B1148" s="9" t="s">
        <v>239</v>
      </c>
      <c r="C1148" s="9" t="s">
        <v>309</v>
      </c>
      <c r="D1148" s="9" t="s">
        <v>112</v>
      </c>
      <c r="E1148" s="9" t="s">
        <v>288</v>
      </c>
      <c r="F1148" s="9" t="s">
        <v>334</v>
      </c>
      <c r="G1148" s="9" t="s">
        <v>309</v>
      </c>
      <c r="H1148" s="10">
        <v>1574915.81</v>
      </c>
      <c r="I1148" s="10">
        <v>584863.28</v>
      </c>
      <c r="J1148" s="10">
        <v>330152.92</v>
      </c>
      <c r="K1148" s="10">
        <v>158903.73000000001</v>
      </c>
      <c r="L1148" s="10">
        <v>315959.44</v>
      </c>
      <c r="M1148" s="10">
        <v>148460.78</v>
      </c>
      <c r="N1148" s="10">
        <v>223272.1</v>
      </c>
      <c r="O1148" s="10">
        <v>460354.63</v>
      </c>
      <c r="P1148" s="10">
        <v>501134.37</v>
      </c>
      <c r="Q1148" s="10">
        <v>1043922.88</v>
      </c>
      <c r="R1148" s="10">
        <v>5341939.9400000004</v>
      </c>
    </row>
    <row r="1149" spans="1:18" ht="12.75" x14ac:dyDescent="0.2">
      <c r="A1149" s="9" t="s">
        <v>332</v>
      </c>
      <c r="B1149" s="9" t="s">
        <v>239</v>
      </c>
      <c r="C1149" s="9" t="s">
        <v>309</v>
      </c>
      <c r="D1149" s="9" t="s">
        <v>112</v>
      </c>
      <c r="E1149" s="9" t="s">
        <v>289</v>
      </c>
      <c r="F1149" s="9" t="s">
        <v>334</v>
      </c>
      <c r="G1149" s="9" t="s">
        <v>309</v>
      </c>
      <c r="H1149" s="10">
        <v>1574915.81</v>
      </c>
      <c r="I1149" s="10">
        <v>584863.28</v>
      </c>
      <c r="J1149" s="10">
        <v>330152.92</v>
      </c>
      <c r="K1149" s="10">
        <v>158903.73000000001</v>
      </c>
      <c r="L1149" s="10">
        <v>315959.44</v>
      </c>
      <c r="M1149" s="10">
        <v>148460.78</v>
      </c>
      <c r="N1149" s="10">
        <v>223272.1</v>
      </c>
      <c r="O1149" s="10">
        <v>460354.63</v>
      </c>
      <c r="P1149" s="10">
        <v>501134.37</v>
      </c>
      <c r="Q1149" s="10">
        <v>1043922.88</v>
      </c>
      <c r="R1149" s="10">
        <v>5341939.9400000004</v>
      </c>
    </row>
    <row r="1150" spans="1:18" ht="12.75" x14ac:dyDescent="0.2">
      <c r="A1150" s="9" t="s">
        <v>332</v>
      </c>
      <c r="B1150" s="9" t="s">
        <v>239</v>
      </c>
      <c r="C1150" s="9" t="s">
        <v>309</v>
      </c>
      <c r="D1150" s="9" t="s">
        <v>112</v>
      </c>
      <c r="E1150" s="9" t="s">
        <v>290</v>
      </c>
      <c r="F1150" s="9" t="s">
        <v>334</v>
      </c>
      <c r="G1150" s="9" t="s">
        <v>309</v>
      </c>
      <c r="H1150" s="10">
        <v>1574915.81</v>
      </c>
      <c r="I1150" s="10">
        <v>584863.28</v>
      </c>
      <c r="J1150" s="10">
        <v>330152.92</v>
      </c>
      <c r="K1150" s="10">
        <v>158903.73000000001</v>
      </c>
      <c r="L1150" s="10">
        <v>315959.44</v>
      </c>
      <c r="M1150" s="10">
        <v>148460.78</v>
      </c>
      <c r="N1150" s="10">
        <v>223272.1</v>
      </c>
      <c r="O1150" s="10">
        <v>460354.63</v>
      </c>
      <c r="P1150" s="10">
        <v>501134.37</v>
      </c>
      <c r="Q1150" s="10">
        <v>1043922.88</v>
      </c>
      <c r="R1150" s="10">
        <v>5341939.9400000004</v>
      </c>
    </row>
    <row r="1151" spans="1:18" ht="12.75" x14ac:dyDescent="0.2">
      <c r="A1151" s="9" t="s">
        <v>332</v>
      </c>
      <c r="B1151" s="9" t="s">
        <v>239</v>
      </c>
      <c r="C1151" s="9" t="s">
        <v>309</v>
      </c>
      <c r="D1151" s="9" t="s">
        <v>112</v>
      </c>
      <c r="E1151" s="9" t="s">
        <v>291</v>
      </c>
      <c r="F1151" s="9" t="s">
        <v>334</v>
      </c>
      <c r="G1151" s="9" t="s">
        <v>309</v>
      </c>
      <c r="H1151" s="10">
        <v>1574915.81</v>
      </c>
      <c r="I1151" s="10">
        <v>584863.28</v>
      </c>
      <c r="J1151" s="10">
        <v>330152.92</v>
      </c>
      <c r="K1151" s="10">
        <v>158903.73000000001</v>
      </c>
      <c r="L1151" s="10">
        <v>315959.44</v>
      </c>
      <c r="M1151" s="10">
        <v>148460.78</v>
      </c>
      <c r="N1151" s="10">
        <v>223272.1</v>
      </c>
      <c r="O1151" s="10">
        <v>460354.63</v>
      </c>
      <c r="P1151" s="10">
        <v>501134.37</v>
      </c>
      <c r="Q1151" s="10">
        <v>1043922.88</v>
      </c>
      <c r="R1151" s="10">
        <v>5341939.9400000004</v>
      </c>
    </row>
    <row r="1152" spans="1:18" ht="12.75" x14ac:dyDescent="0.2">
      <c r="A1152" s="9" t="s">
        <v>332</v>
      </c>
      <c r="B1152" s="9" t="s">
        <v>239</v>
      </c>
      <c r="C1152" s="9" t="s">
        <v>309</v>
      </c>
      <c r="D1152" s="9" t="s">
        <v>112</v>
      </c>
      <c r="E1152" s="9" t="s">
        <v>292</v>
      </c>
      <c r="F1152" s="9" t="s">
        <v>334</v>
      </c>
      <c r="G1152" s="9" t="s">
        <v>309</v>
      </c>
      <c r="H1152" s="10">
        <v>1574915.81</v>
      </c>
      <c r="I1152" s="10">
        <v>584863.28</v>
      </c>
      <c r="J1152" s="10">
        <v>330152.92</v>
      </c>
      <c r="K1152" s="10">
        <v>158903.73000000001</v>
      </c>
      <c r="L1152" s="10">
        <v>315959.44</v>
      </c>
      <c r="M1152" s="10">
        <v>148460.78</v>
      </c>
      <c r="N1152" s="10">
        <v>223272.1</v>
      </c>
      <c r="O1152" s="10">
        <v>460354.63</v>
      </c>
      <c r="P1152" s="10">
        <v>501134.37</v>
      </c>
      <c r="Q1152" s="10">
        <v>1043922.88</v>
      </c>
      <c r="R1152" s="10">
        <v>5341939.9400000004</v>
      </c>
    </row>
    <row r="1153" spans="1:18" ht="12.75" x14ac:dyDescent="0.2">
      <c r="A1153" s="9" t="s">
        <v>332</v>
      </c>
      <c r="B1153" s="9" t="s">
        <v>239</v>
      </c>
      <c r="C1153" s="9" t="s">
        <v>309</v>
      </c>
      <c r="D1153" s="9" t="s">
        <v>112</v>
      </c>
      <c r="E1153" s="9" t="s">
        <v>293</v>
      </c>
      <c r="F1153" s="9" t="s">
        <v>334</v>
      </c>
      <c r="G1153" s="9" t="s">
        <v>309</v>
      </c>
      <c r="H1153" s="10">
        <v>1574915.81</v>
      </c>
      <c r="I1153" s="10">
        <v>584863.28</v>
      </c>
      <c r="J1153" s="10">
        <v>330152.92</v>
      </c>
      <c r="K1153" s="10">
        <v>158903.73000000001</v>
      </c>
      <c r="L1153" s="10">
        <v>315959.44</v>
      </c>
      <c r="M1153" s="10">
        <v>148460.78</v>
      </c>
      <c r="N1153" s="10">
        <v>223272.1</v>
      </c>
      <c r="O1153" s="10">
        <v>460354.63</v>
      </c>
      <c r="P1153" s="10">
        <v>501134.37</v>
      </c>
      <c r="Q1153" s="10">
        <v>1043922.88</v>
      </c>
      <c r="R1153" s="10">
        <v>5341939.9400000004</v>
      </c>
    </row>
    <row r="1154" spans="1:18" ht="12.75" x14ac:dyDescent="0.2">
      <c r="A1154" s="9" t="s">
        <v>332</v>
      </c>
      <c r="B1154" s="9" t="s">
        <v>239</v>
      </c>
      <c r="C1154" s="9" t="s">
        <v>309</v>
      </c>
      <c r="D1154" s="9" t="s">
        <v>112</v>
      </c>
      <c r="E1154" s="9" t="s">
        <v>294</v>
      </c>
      <c r="F1154" s="9" t="s">
        <v>334</v>
      </c>
      <c r="G1154" s="9" t="s">
        <v>309</v>
      </c>
      <c r="H1154" s="10">
        <v>1574915.81</v>
      </c>
      <c r="I1154" s="10">
        <v>584863.28</v>
      </c>
      <c r="J1154" s="10">
        <v>330152.92</v>
      </c>
      <c r="K1154" s="10">
        <v>158903.73000000001</v>
      </c>
      <c r="L1154" s="10">
        <v>315959.44</v>
      </c>
      <c r="M1154" s="10">
        <v>148460.78</v>
      </c>
      <c r="N1154" s="10">
        <v>223272.1</v>
      </c>
      <c r="O1154" s="10">
        <v>460354.63</v>
      </c>
      <c r="P1154" s="10">
        <v>501134.37</v>
      </c>
      <c r="Q1154" s="10">
        <v>1043922.88</v>
      </c>
      <c r="R1154" s="10">
        <v>5341939.9400000004</v>
      </c>
    </row>
    <row r="1155" spans="1:18" ht="12.75" x14ac:dyDescent="0.2">
      <c r="A1155" s="9" t="s">
        <v>332</v>
      </c>
      <c r="B1155" s="9" t="s">
        <v>239</v>
      </c>
      <c r="C1155" s="9" t="s">
        <v>309</v>
      </c>
      <c r="D1155" s="9" t="s">
        <v>112</v>
      </c>
      <c r="E1155" s="9" t="s">
        <v>295</v>
      </c>
      <c r="F1155" s="9" t="s">
        <v>334</v>
      </c>
      <c r="G1155" s="9" t="s">
        <v>309</v>
      </c>
      <c r="H1155" s="10">
        <v>1574915.81</v>
      </c>
      <c r="I1155" s="10">
        <v>584863.28</v>
      </c>
      <c r="J1155" s="10">
        <v>330152.92</v>
      </c>
      <c r="K1155" s="10">
        <v>158903.73000000001</v>
      </c>
      <c r="L1155" s="10">
        <v>315959.44</v>
      </c>
      <c r="M1155" s="10">
        <v>148460.78</v>
      </c>
      <c r="N1155" s="10">
        <v>223272.1</v>
      </c>
      <c r="O1155" s="10">
        <v>460354.63</v>
      </c>
      <c r="P1155" s="10">
        <v>501134.37</v>
      </c>
      <c r="Q1155" s="10">
        <v>1043922.88</v>
      </c>
      <c r="R1155" s="10">
        <v>5341939.9400000004</v>
      </c>
    </row>
    <row r="1156" spans="1:18" ht="12.75" x14ac:dyDescent="0.2">
      <c r="A1156" s="9" t="s">
        <v>332</v>
      </c>
      <c r="B1156" s="9" t="s">
        <v>239</v>
      </c>
      <c r="C1156" s="9" t="s">
        <v>309</v>
      </c>
      <c r="D1156" s="9" t="s">
        <v>112</v>
      </c>
      <c r="E1156" s="9" t="s">
        <v>296</v>
      </c>
      <c r="F1156" s="9" t="s">
        <v>334</v>
      </c>
      <c r="G1156" s="9" t="s">
        <v>309</v>
      </c>
      <c r="H1156" s="10">
        <v>1574915.81</v>
      </c>
      <c r="I1156" s="10">
        <v>584863.28</v>
      </c>
      <c r="J1156" s="10">
        <v>330152.92</v>
      </c>
      <c r="K1156" s="10">
        <v>158903.73000000001</v>
      </c>
      <c r="L1156" s="10">
        <v>315959.44</v>
      </c>
      <c r="M1156" s="10">
        <v>148460.78</v>
      </c>
      <c r="N1156" s="10">
        <v>223272.1</v>
      </c>
      <c r="O1156" s="10">
        <v>460354.63</v>
      </c>
      <c r="P1156" s="10">
        <v>501134.37</v>
      </c>
      <c r="Q1156" s="10">
        <v>1043922.88</v>
      </c>
      <c r="R1156" s="10">
        <v>5341939.9400000004</v>
      </c>
    </row>
    <row r="1157" spans="1:18" ht="12.75" x14ac:dyDescent="0.2">
      <c r="A1157" s="9" t="s">
        <v>332</v>
      </c>
      <c r="B1157" s="9" t="s">
        <v>239</v>
      </c>
      <c r="C1157" s="9" t="s">
        <v>309</v>
      </c>
      <c r="D1157" s="9" t="s">
        <v>112</v>
      </c>
      <c r="E1157" s="9" t="s">
        <v>297</v>
      </c>
      <c r="F1157" s="9" t="s">
        <v>334</v>
      </c>
      <c r="G1157" s="9" t="s">
        <v>309</v>
      </c>
      <c r="H1157" s="10">
        <v>1574915.81</v>
      </c>
      <c r="I1157" s="10">
        <v>584863.28</v>
      </c>
      <c r="J1157" s="10">
        <v>330152.92</v>
      </c>
      <c r="K1157" s="10">
        <v>158903.73000000001</v>
      </c>
      <c r="L1157" s="10">
        <v>315959.44</v>
      </c>
      <c r="M1157" s="10">
        <v>148460.78</v>
      </c>
      <c r="N1157" s="10">
        <v>223272.1</v>
      </c>
      <c r="O1157" s="10">
        <v>460354.63</v>
      </c>
      <c r="P1157" s="10">
        <v>501134.37</v>
      </c>
      <c r="Q1157" s="10">
        <v>1043922.88</v>
      </c>
      <c r="R1157" s="10">
        <v>5341939.9400000004</v>
      </c>
    </row>
    <row r="1158" spans="1:18" ht="12.75" x14ac:dyDescent="0.2">
      <c r="A1158" s="9" t="s">
        <v>332</v>
      </c>
      <c r="B1158" s="9" t="s">
        <v>239</v>
      </c>
      <c r="C1158" s="9" t="s">
        <v>309</v>
      </c>
      <c r="D1158" s="9" t="s">
        <v>112</v>
      </c>
      <c r="E1158" s="9" t="s">
        <v>298</v>
      </c>
      <c r="F1158" s="9" t="s">
        <v>334</v>
      </c>
      <c r="G1158" s="9" t="s">
        <v>309</v>
      </c>
      <c r="H1158" s="10">
        <v>1574915.81</v>
      </c>
      <c r="I1158" s="10">
        <v>584863.28</v>
      </c>
      <c r="J1158" s="10">
        <v>330152.92</v>
      </c>
      <c r="K1158" s="10">
        <v>158903.73000000001</v>
      </c>
      <c r="L1158" s="10">
        <v>315959.44</v>
      </c>
      <c r="M1158" s="10">
        <v>148460.78</v>
      </c>
      <c r="N1158" s="10">
        <v>223272.1</v>
      </c>
      <c r="O1158" s="10">
        <v>460354.63</v>
      </c>
      <c r="P1158" s="10">
        <v>501134.37</v>
      </c>
      <c r="Q1158" s="10">
        <v>1043922.88</v>
      </c>
      <c r="R1158" s="10">
        <v>5341939.9400000004</v>
      </c>
    </row>
    <row r="1159" spans="1:18" ht="12.75" x14ac:dyDescent="0.2">
      <c r="A1159" s="9" t="s">
        <v>335</v>
      </c>
      <c r="B1159" s="9" t="s">
        <v>239</v>
      </c>
      <c r="C1159" s="9" t="s">
        <v>309</v>
      </c>
      <c r="D1159" s="9" t="s">
        <v>112</v>
      </c>
      <c r="E1159" s="9" t="s">
        <v>299</v>
      </c>
      <c r="F1159" s="9" t="s">
        <v>334</v>
      </c>
      <c r="G1159" s="9" t="s">
        <v>309</v>
      </c>
      <c r="H1159" s="10">
        <v>672627.59</v>
      </c>
      <c r="I1159" s="10">
        <v>208857.23</v>
      </c>
      <c r="J1159" s="10">
        <v>80672.03</v>
      </c>
      <c r="K1159" s="10">
        <v>52668.1</v>
      </c>
      <c r="L1159" s="10">
        <v>88936.45</v>
      </c>
      <c r="M1159" s="10">
        <v>89437.15</v>
      </c>
      <c r="N1159" s="10">
        <v>179944.41</v>
      </c>
      <c r="O1159" s="10">
        <v>132328.75</v>
      </c>
      <c r="P1159" s="10">
        <v>175824.17</v>
      </c>
      <c r="Q1159" s="10">
        <v>331547.95</v>
      </c>
      <c r="R1159" s="10">
        <v>2012843.83</v>
      </c>
    </row>
    <row r="1160" spans="1:18" ht="12.75" x14ac:dyDescent="0.2">
      <c r="A1160" s="9" t="s">
        <v>332</v>
      </c>
      <c r="B1160" s="9" t="s">
        <v>239</v>
      </c>
      <c r="C1160" s="9" t="s">
        <v>309</v>
      </c>
      <c r="D1160" s="9" t="s">
        <v>112</v>
      </c>
      <c r="E1160" s="9" t="s">
        <v>300</v>
      </c>
      <c r="F1160" s="9" t="s">
        <v>334</v>
      </c>
      <c r="G1160" s="9" t="s">
        <v>309</v>
      </c>
      <c r="H1160" s="10">
        <v>1574915.81</v>
      </c>
      <c r="I1160" s="10">
        <v>584863.28</v>
      </c>
      <c r="J1160" s="10">
        <v>330152.92</v>
      </c>
      <c r="K1160" s="10">
        <v>158903.73000000001</v>
      </c>
      <c r="L1160" s="10">
        <v>315959.44</v>
      </c>
      <c r="M1160" s="10">
        <v>148460.78</v>
      </c>
      <c r="N1160" s="10">
        <v>223272.1</v>
      </c>
      <c r="O1160" s="10">
        <v>460354.63</v>
      </c>
      <c r="P1160" s="10">
        <v>501134.37</v>
      </c>
      <c r="Q1160" s="10">
        <v>1043922.88</v>
      </c>
      <c r="R1160" s="10">
        <v>5341939.9400000004</v>
      </c>
    </row>
    <row r="1161" spans="1:18" ht="12.75" x14ac:dyDescent="0.2">
      <c r="A1161" s="9" t="s">
        <v>332</v>
      </c>
      <c r="B1161" s="9" t="s">
        <v>239</v>
      </c>
      <c r="C1161" s="9" t="s">
        <v>309</v>
      </c>
      <c r="D1161" s="9" t="s">
        <v>112</v>
      </c>
      <c r="E1161" s="9" t="s">
        <v>301</v>
      </c>
      <c r="F1161" s="9" t="s">
        <v>334</v>
      </c>
      <c r="G1161" s="9" t="s">
        <v>309</v>
      </c>
      <c r="H1161" s="10">
        <v>1574915.81</v>
      </c>
      <c r="I1161" s="10">
        <v>584863.28</v>
      </c>
      <c r="J1161" s="10">
        <v>330152.92</v>
      </c>
      <c r="K1161" s="10">
        <v>158903.73000000001</v>
      </c>
      <c r="L1161" s="10">
        <v>315959.44</v>
      </c>
      <c r="M1161" s="10">
        <v>148460.78</v>
      </c>
      <c r="N1161" s="10">
        <v>223272.1</v>
      </c>
      <c r="O1161" s="10">
        <v>460354.63</v>
      </c>
      <c r="P1161" s="10">
        <v>501134.37</v>
      </c>
      <c r="Q1161" s="10">
        <v>1043922.88</v>
      </c>
      <c r="R1161" s="10">
        <v>5341939.9400000004</v>
      </c>
    </row>
    <row r="1162" spans="1:18" ht="12.75" x14ac:dyDescent="0.2">
      <c r="A1162" s="9" t="s">
        <v>335</v>
      </c>
      <c r="B1162" s="9" t="s">
        <v>239</v>
      </c>
      <c r="C1162" s="9" t="s">
        <v>309</v>
      </c>
      <c r="D1162" s="9" t="s">
        <v>112</v>
      </c>
      <c r="E1162" s="9" t="s">
        <v>302</v>
      </c>
      <c r="F1162" s="9" t="s">
        <v>334</v>
      </c>
      <c r="G1162" s="9" t="s">
        <v>309</v>
      </c>
      <c r="H1162" s="10">
        <v>672627.59</v>
      </c>
      <c r="I1162" s="10">
        <v>208857.23</v>
      </c>
      <c r="J1162" s="10">
        <v>80672.03</v>
      </c>
      <c r="K1162" s="10">
        <v>52668.1</v>
      </c>
      <c r="L1162" s="10">
        <v>88936.45</v>
      </c>
      <c r="M1162" s="10">
        <v>89437.15</v>
      </c>
      <c r="N1162" s="10">
        <v>179944.41</v>
      </c>
      <c r="O1162" s="10">
        <v>132328.75</v>
      </c>
      <c r="P1162" s="10">
        <v>175824.17</v>
      </c>
      <c r="Q1162" s="10">
        <v>331547.95</v>
      </c>
      <c r="R1162" s="10">
        <v>2012843.83</v>
      </c>
    </row>
    <row r="1163" spans="1:18" ht="12.75" x14ac:dyDescent="0.2">
      <c r="A1163" s="9" t="s">
        <v>332</v>
      </c>
      <c r="B1163" s="9" t="s">
        <v>239</v>
      </c>
      <c r="C1163" s="9" t="s">
        <v>309</v>
      </c>
      <c r="D1163" s="9" t="s">
        <v>74</v>
      </c>
      <c r="E1163" s="9" t="s">
        <v>303</v>
      </c>
      <c r="F1163" s="9" t="s">
        <v>334</v>
      </c>
      <c r="G1163" s="9" t="s">
        <v>309</v>
      </c>
      <c r="H1163" s="10">
        <v>1927781.94</v>
      </c>
      <c r="I1163" s="10">
        <v>712890.79</v>
      </c>
      <c r="J1163" s="10">
        <v>367396.97</v>
      </c>
      <c r="K1163" s="10">
        <v>131531.76</v>
      </c>
      <c r="L1163" s="10">
        <v>324928.32</v>
      </c>
      <c r="M1163" s="10">
        <v>220620.13</v>
      </c>
      <c r="N1163" s="10">
        <v>127079.36</v>
      </c>
      <c r="O1163" s="10">
        <v>1737939.29</v>
      </c>
      <c r="P1163" s="10">
        <v>2558736.27</v>
      </c>
      <c r="Q1163" s="10">
        <v>2640827</v>
      </c>
      <c r="R1163" s="10">
        <v>10749731.83</v>
      </c>
    </row>
    <row r="1164" spans="1:18" ht="12.75" x14ac:dyDescent="0.2">
      <c r="A1164" s="9" t="s">
        <v>335</v>
      </c>
      <c r="B1164" s="9" t="s">
        <v>239</v>
      </c>
      <c r="C1164" s="9" t="s">
        <v>309</v>
      </c>
      <c r="D1164" s="9" t="s">
        <v>74</v>
      </c>
      <c r="E1164" s="9" t="s">
        <v>303</v>
      </c>
      <c r="F1164" s="9" t="s">
        <v>334</v>
      </c>
      <c r="G1164" s="9" t="s">
        <v>309</v>
      </c>
      <c r="H1164" s="10">
        <v>1656194.31</v>
      </c>
      <c r="I1164" s="10">
        <v>760218.11</v>
      </c>
      <c r="J1164" s="10">
        <v>406571.45</v>
      </c>
      <c r="K1164" s="10">
        <v>105336.21</v>
      </c>
      <c r="L1164" s="10">
        <v>274071.69</v>
      </c>
      <c r="M1164" s="10">
        <v>278248.92</v>
      </c>
      <c r="N1164" s="10">
        <v>370023.38</v>
      </c>
      <c r="O1164" s="10">
        <v>436165.5</v>
      </c>
      <c r="P1164" s="10">
        <v>821613.95</v>
      </c>
      <c r="Q1164" s="10">
        <v>785372</v>
      </c>
      <c r="R1164" s="10">
        <v>5893815.5199999996</v>
      </c>
    </row>
    <row r="1165" spans="1:18" ht="12.75" x14ac:dyDescent="0.2">
      <c r="A1165" s="9" t="s">
        <v>335</v>
      </c>
      <c r="B1165" s="9" t="s">
        <v>239</v>
      </c>
      <c r="C1165" s="9" t="s">
        <v>309</v>
      </c>
      <c r="D1165" s="9" t="s">
        <v>74</v>
      </c>
      <c r="E1165" s="9" t="s">
        <v>248</v>
      </c>
      <c r="F1165" s="9" t="s">
        <v>334</v>
      </c>
      <c r="G1165" s="9" t="s">
        <v>309</v>
      </c>
      <c r="H1165" s="10">
        <v>1656194.31</v>
      </c>
      <c r="I1165" s="10">
        <v>760218.11</v>
      </c>
      <c r="J1165" s="10">
        <v>406571.45</v>
      </c>
      <c r="K1165" s="10">
        <v>105336.21</v>
      </c>
      <c r="L1165" s="10">
        <v>274071.69</v>
      </c>
      <c r="M1165" s="10">
        <v>278248.92</v>
      </c>
      <c r="N1165" s="10">
        <v>370023.38</v>
      </c>
      <c r="O1165" s="10">
        <v>436165.5</v>
      </c>
      <c r="P1165" s="10">
        <v>821613.95</v>
      </c>
      <c r="Q1165" s="10">
        <v>785372</v>
      </c>
      <c r="R1165" s="10">
        <v>5893815.5199999996</v>
      </c>
    </row>
    <row r="1166" spans="1:18" ht="12.75" x14ac:dyDescent="0.2">
      <c r="A1166" s="9" t="s">
        <v>335</v>
      </c>
      <c r="B1166" s="9" t="s">
        <v>239</v>
      </c>
      <c r="C1166" s="9" t="s">
        <v>309</v>
      </c>
      <c r="D1166" s="9" t="s">
        <v>74</v>
      </c>
      <c r="E1166" s="9" t="s">
        <v>249</v>
      </c>
      <c r="F1166" s="9" t="s">
        <v>334</v>
      </c>
      <c r="G1166" s="9" t="s">
        <v>309</v>
      </c>
      <c r="H1166" s="10">
        <v>1656194.31</v>
      </c>
      <c r="I1166" s="10">
        <v>760218.11</v>
      </c>
      <c r="J1166" s="10">
        <v>406571.45</v>
      </c>
      <c r="K1166" s="10">
        <v>105336.21</v>
      </c>
      <c r="L1166" s="10">
        <v>274071.69</v>
      </c>
      <c r="M1166" s="10">
        <v>278248.92</v>
      </c>
      <c r="N1166" s="10">
        <v>370023.38</v>
      </c>
      <c r="O1166" s="10">
        <v>436165.5</v>
      </c>
      <c r="P1166" s="10">
        <v>821613.95</v>
      </c>
      <c r="Q1166" s="10">
        <v>785372</v>
      </c>
      <c r="R1166" s="10">
        <v>5893815.5199999996</v>
      </c>
    </row>
    <row r="1167" spans="1:18" ht="12.75" x14ac:dyDescent="0.2">
      <c r="A1167" s="9" t="s">
        <v>335</v>
      </c>
      <c r="B1167" s="9" t="s">
        <v>239</v>
      </c>
      <c r="C1167" s="9" t="s">
        <v>309</v>
      </c>
      <c r="D1167" s="9" t="s">
        <v>52</v>
      </c>
      <c r="E1167" s="9" t="s">
        <v>253</v>
      </c>
      <c r="F1167" s="9" t="s">
        <v>334</v>
      </c>
      <c r="G1167" s="9" t="s">
        <v>309</v>
      </c>
      <c r="H1167" s="10">
        <v>819750.49</v>
      </c>
      <c r="I1167" s="10">
        <v>21254.79</v>
      </c>
      <c r="J1167" s="10">
        <v>85470.03</v>
      </c>
      <c r="K1167" s="10">
        <v>63201.72</v>
      </c>
      <c r="L1167" s="10">
        <v>99896.77</v>
      </c>
      <c r="M1167" s="10">
        <v>103872.77</v>
      </c>
      <c r="N1167" s="10">
        <v>197701.73</v>
      </c>
      <c r="O1167" s="10">
        <v>96003</v>
      </c>
      <c r="P1167" s="10">
        <v>515141.28</v>
      </c>
      <c r="Q1167" s="10">
        <v>423145.53</v>
      </c>
      <c r="R1167" s="10">
        <v>2425438.11</v>
      </c>
    </row>
    <row r="1168" spans="1:18" ht="12.75" x14ac:dyDescent="0.2">
      <c r="A1168" s="9" t="s">
        <v>335</v>
      </c>
      <c r="B1168" s="9" t="s">
        <v>239</v>
      </c>
      <c r="C1168" s="9" t="s">
        <v>309</v>
      </c>
      <c r="D1168" s="9" t="s">
        <v>52</v>
      </c>
      <c r="E1168" s="9" t="s">
        <v>267</v>
      </c>
      <c r="F1168" s="9" t="s">
        <v>334</v>
      </c>
      <c r="G1168" s="9" t="s">
        <v>309</v>
      </c>
      <c r="H1168" s="10">
        <v>819750.49</v>
      </c>
      <c r="I1168" s="10">
        <v>21254.79</v>
      </c>
      <c r="J1168" s="10">
        <v>85470.03</v>
      </c>
      <c r="K1168" s="10">
        <v>63201.72</v>
      </c>
      <c r="L1168" s="10">
        <v>99896.77</v>
      </c>
      <c r="M1168" s="10">
        <v>103872.77</v>
      </c>
      <c r="N1168" s="10">
        <v>197701.73</v>
      </c>
      <c r="O1168" s="10">
        <v>96003</v>
      </c>
      <c r="P1168" s="10">
        <v>515141.28</v>
      </c>
      <c r="Q1168" s="10">
        <v>423145.53</v>
      </c>
      <c r="R1168" s="10">
        <v>2425438.11</v>
      </c>
    </row>
    <row r="1169" spans="1:18" ht="12.75" x14ac:dyDescent="0.2">
      <c r="A1169" s="9" t="s">
        <v>335</v>
      </c>
      <c r="B1169" s="9" t="s">
        <v>239</v>
      </c>
      <c r="C1169" s="9" t="s">
        <v>309</v>
      </c>
      <c r="D1169" s="9" t="s">
        <v>52</v>
      </c>
      <c r="E1169" s="9" t="s">
        <v>268</v>
      </c>
      <c r="F1169" s="9" t="s">
        <v>334</v>
      </c>
      <c r="G1169" s="9" t="s">
        <v>309</v>
      </c>
      <c r="H1169" s="10">
        <v>819750.49</v>
      </c>
      <c r="I1169" s="10">
        <v>21254.79</v>
      </c>
      <c r="J1169" s="10">
        <v>85470.03</v>
      </c>
      <c r="K1169" s="10">
        <v>63201.72</v>
      </c>
      <c r="L1169" s="10">
        <v>99896.77</v>
      </c>
      <c r="M1169" s="10">
        <v>103872.77</v>
      </c>
      <c r="N1169" s="10">
        <v>197701.73</v>
      </c>
      <c r="O1169" s="10">
        <v>96003</v>
      </c>
      <c r="P1169" s="10">
        <v>515141.28</v>
      </c>
      <c r="Q1169" s="10">
        <v>423145.53</v>
      </c>
      <c r="R1169" s="10">
        <v>2425438.11</v>
      </c>
    </row>
    <row r="1170" spans="1:18" ht="12.75" x14ac:dyDescent="0.2">
      <c r="A1170" s="9" t="s">
        <v>332</v>
      </c>
      <c r="B1170" s="9" t="s">
        <v>239</v>
      </c>
      <c r="C1170" s="9" t="s">
        <v>309</v>
      </c>
      <c r="D1170" s="9" t="s">
        <v>52</v>
      </c>
      <c r="E1170" s="9" t="s">
        <v>304</v>
      </c>
      <c r="F1170" s="9" t="s">
        <v>334</v>
      </c>
      <c r="G1170" s="9" t="s">
        <v>309</v>
      </c>
      <c r="H1170" s="10">
        <v>816307.41</v>
      </c>
      <c r="I1170" s="10">
        <v>386675.36</v>
      </c>
      <c r="J1170" s="10">
        <v>160896.44</v>
      </c>
      <c r="K1170" s="10">
        <v>77855.33</v>
      </c>
      <c r="L1170" s="10">
        <v>79821.52</v>
      </c>
      <c r="M1170" s="10">
        <v>91554.48</v>
      </c>
      <c r="N1170" s="10">
        <v>59441.77</v>
      </c>
      <c r="O1170" s="10">
        <v>79951.990000000005</v>
      </c>
      <c r="P1170" s="10">
        <v>109924.41</v>
      </c>
      <c r="Q1170" s="10">
        <v>164232.88</v>
      </c>
      <c r="R1170" s="10">
        <v>2026661.59</v>
      </c>
    </row>
    <row r="1171" spans="1:18" ht="12.75" x14ac:dyDescent="0.2">
      <c r="A1171" s="9" t="s">
        <v>332</v>
      </c>
      <c r="B1171" s="9" t="s">
        <v>239</v>
      </c>
      <c r="C1171" s="9" t="s">
        <v>309</v>
      </c>
      <c r="D1171" s="9" t="s">
        <v>52</v>
      </c>
      <c r="E1171" s="9" t="s">
        <v>305</v>
      </c>
      <c r="F1171" s="9" t="s">
        <v>334</v>
      </c>
      <c r="G1171" s="9" t="s">
        <v>309</v>
      </c>
      <c r="H1171" s="10">
        <v>816307.41</v>
      </c>
      <c r="I1171" s="10">
        <v>386675.36</v>
      </c>
      <c r="J1171" s="10">
        <v>160896.44</v>
      </c>
      <c r="K1171" s="10">
        <v>77855.33</v>
      </c>
      <c r="L1171" s="10">
        <v>79821.52</v>
      </c>
      <c r="M1171" s="10">
        <v>91554.48</v>
      </c>
      <c r="N1171" s="10">
        <v>59441.77</v>
      </c>
      <c r="O1171" s="10">
        <v>79951.990000000005</v>
      </c>
      <c r="P1171" s="10">
        <v>109924.41</v>
      </c>
      <c r="Q1171" s="10">
        <v>164232.88</v>
      </c>
      <c r="R1171" s="10">
        <v>2026661.59</v>
      </c>
    </row>
    <row r="1172" spans="1:18" ht="12.75" x14ac:dyDescent="0.2">
      <c r="A1172" s="9" t="s">
        <v>335</v>
      </c>
      <c r="B1172" s="9" t="s">
        <v>239</v>
      </c>
      <c r="C1172" s="9" t="s">
        <v>309</v>
      </c>
      <c r="D1172" s="9" t="s">
        <v>87</v>
      </c>
      <c r="E1172" s="9" t="s">
        <v>270</v>
      </c>
      <c r="F1172" s="9" t="s">
        <v>334</v>
      </c>
      <c r="G1172" s="9" t="s">
        <v>309</v>
      </c>
      <c r="H1172" s="10">
        <v>1000617.19</v>
      </c>
      <c r="I1172" s="10">
        <v>359905.75</v>
      </c>
      <c r="J1172" s="10">
        <v>112179.41</v>
      </c>
      <c r="K1172" s="10">
        <v>15800.43</v>
      </c>
      <c r="L1172" s="10">
        <v>118627.41</v>
      </c>
      <c r="M1172" s="10">
        <v>29812.38</v>
      </c>
      <c r="N1172" s="10">
        <v>177931.56</v>
      </c>
      <c r="O1172" s="10">
        <v>302409.44</v>
      </c>
      <c r="P1172" s="10">
        <v>314595.23</v>
      </c>
      <c r="Q1172" s="10">
        <v>499879.72</v>
      </c>
      <c r="R1172" s="10">
        <v>2931758.52</v>
      </c>
    </row>
    <row r="1173" spans="1:18" ht="12.75" x14ac:dyDescent="0.2">
      <c r="A1173" s="9" t="s">
        <v>335</v>
      </c>
      <c r="B1173" s="9" t="s">
        <v>239</v>
      </c>
      <c r="C1173" s="9" t="s">
        <v>309</v>
      </c>
      <c r="D1173" s="9" t="s">
        <v>87</v>
      </c>
      <c r="E1173" s="9" t="s">
        <v>273</v>
      </c>
      <c r="F1173" s="9" t="s">
        <v>334</v>
      </c>
      <c r="G1173" s="9" t="s">
        <v>309</v>
      </c>
      <c r="H1173" s="10">
        <v>1000617.19</v>
      </c>
      <c r="I1173" s="10">
        <v>359905.75</v>
      </c>
      <c r="J1173" s="10">
        <v>112179.41</v>
      </c>
      <c r="K1173" s="10">
        <v>15800.43</v>
      </c>
      <c r="L1173" s="10">
        <v>118627.41</v>
      </c>
      <c r="M1173" s="10">
        <v>29812.38</v>
      </c>
      <c r="N1173" s="10">
        <v>177931.56</v>
      </c>
      <c r="O1173" s="10">
        <v>302409.44</v>
      </c>
      <c r="P1173" s="10">
        <v>314595.23</v>
      </c>
      <c r="Q1173" s="10">
        <v>499879.72</v>
      </c>
      <c r="R1173" s="10">
        <v>2931758.52</v>
      </c>
    </row>
    <row r="1174" spans="1:18" ht="12.75" x14ac:dyDescent="0.2">
      <c r="A1174" s="9" t="s">
        <v>335</v>
      </c>
      <c r="B1174" s="9" t="s">
        <v>239</v>
      </c>
      <c r="C1174" s="9" t="s">
        <v>309</v>
      </c>
      <c r="D1174" s="9" t="s">
        <v>87</v>
      </c>
      <c r="E1174" s="9" t="s">
        <v>276</v>
      </c>
      <c r="F1174" s="9" t="s">
        <v>334</v>
      </c>
      <c r="G1174" s="9" t="s">
        <v>309</v>
      </c>
      <c r="H1174" s="10">
        <v>1000617.19</v>
      </c>
      <c r="I1174" s="10">
        <v>359905.75</v>
      </c>
      <c r="J1174" s="10">
        <v>112179.41</v>
      </c>
      <c r="K1174" s="10">
        <v>15800.43</v>
      </c>
      <c r="L1174" s="10">
        <v>118627.41</v>
      </c>
      <c r="M1174" s="10">
        <v>29812.38</v>
      </c>
      <c r="N1174" s="10">
        <v>177931.56</v>
      </c>
      <c r="O1174" s="10">
        <v>302409.44</v>
      </c>
      <c r="P1174" s="10">
        <v>314595.23</v>
      </c>
      <c r="Q1174" s="10">
        <v>499879.72</v>
      </c>
      <c r="R1174" s="10">
        <v>2931758.52</v>
      </c>
    </row>
    <row r="1175" spans="1:18" ht="12.75" x14ac:dyDescent="0.2">
      <c r="A1175" s="9" t="s">
        <v>335</v>
      </c>
      <c r="B1175" s="9" t="s">
        <v>239</v>
      </c>
      <c r="C1175" s="9" t="s">
        <v>309</v>
      </c>
      <c r="D1175" s="9" t="s">
        <v>87</v>
      </c>
      <c r="E1175" s="9" t="s">
        <v>274</v>
      </c>
      <c r="F1175" s="9" t="s">
        <v>334</v>
      </c>
      <c r="G1175" s="9" t="s">
        <v>309</v>
      </c>
      <c r="H1175" s="10">
        <v>1000617.19</v>
      </c>
      <c r="I1175" s="10">
        <v>359905.75</v>
      </c>
      <c r="J1175" s="10">
        <v>112179.41</v>
      </c>
      <c r="K1175" s="10">
        <v>15800.43</v>
      </c>
      <c r="L1175" s="10">
        <v>118627.41</v>
      </c>
      <c r="M1175" s="10">
        <v>29812.38</v>
      </c>
      <c r="N1175" s="10">
        <v>177931.56</v>
      </c>
      <c r="O1175" s="10">
        <v>302409.44</v>
      </c>
      <c r="P1175" s="10">
        <v>314595.23</v>
      </c>
      <c r="Q1175" s="10">
        <v>499879.72</v>
      </c>
      <c r="R1175" s="10">
        <v>2931758.52</v>
      </c>
    </row>
    <row r="1176" spans="1:18" ht="12.75" x14ac:dyDescent="0.2">
      <c r="A1176" s="9" t="s">
        <v>335</v>
      </c>
      <c r="B1176" s="9" t="s">
        <v>239</v>
      </c>
      <c r="C1176" s="9" t="s">
        <v>309</v>
      </c>
      <c r="D1176" s="9" t="s">
        <v>96</v>
      </c>
      <c r="E1176" s="9" t="s">
        <v>286</v>
      </c>
      <c r="F1176" s="9" t="s">
        <v>334</v>
      </c>
      <c r="G1176" s="9" t="s">
        <v>309</v>
      </c>
      <c r="H1176" s="10">
        <v>206812.29</v>
      </c>
      <c r="I1176" s="10">
        <v>76466.850000000006</v>
      </c>
      <c r="J1176" s="10">
        <v>175291.03</v>
      </c>
      <c r="K1176" s="10">
        <v>54724.87</v>
      </c>
      <c r="L1176" s="10">
        <v>43742.57</v>
      </c>
      <c r="M1176" s="10">
        <v>140981.65</v>
      </c>
      <c r="N1176" s="10">
        <v>19770.169999999998</v>
      </c>
      <c r="O1176" s="10">
        <v>115203.6</v>
      </c>
      <c r="P1176" s="10">
        <v>19583.07</v>
      </c>
      <c r="Q1176" s="10">
        <v>78984.94</v>
      </c>
      <c r="R1176" s="10">
        <v>931561.04</v>
      </c>
    </row>
    <row r="1177" spans="1:18" ht="12.75" x14ac:dyDescent="0.2">
      <c r="A1177" s="9" t="s">
        <v>335</v>
      </c>
      <c r="B1177" s="9" t="s">
        <v>239</v>
      </c>
      <c r="C1177" s="9" t="s">
        <v>309</v>
      </c>
      <c r="D1177" s="9" t="s">
        <v>96</v>
      </c>
      <c r="E1177" s="9" t="s">
        <v>281</v>
      </c>
      <c r="F1177" s="9" t="s">
        <v>334</v>
      </c>
      <c r="G1177" s="9" t="s">
        <v>309</v>
      </c>
      <c r="H1177" s="10">
        <v>206812.29</v>
      </c>
      <c r="I1177" s="10">
        <v>76466.850000000006</v>
      </c>
      <c r="J1177" s="10">
        <v>175291.03</v>
      </c>
      <c r="K1177" s="10">
        <v>54724.87</v>
      </c>
      <c r="L1177" s="10">
        <v>43742.57</v>
      </c>
      <c r="M1177" s="10">
        <v>140981.65</v>
      </c>
      <c r="N1177" s="10">
        <v>19770.169999999998</v>
      </c>
      <c r="O1177" s="10">
        <v>115203.6</v>
      </c>
      <c r="P1177" s="10">
        <v>19583.07</v>
      </c>
      <c r="Q1177" s="10">
        <v>78984.94</v>
      </c>
      <c r="R1177" s="10">
        <v>931561.04</v>
      </c>
    </row>
    <row r="1178" spans="1:18" ht="12.75" x14ac:dyDescent="0.2">
      <c r="A1178" s="9" t="s">
        <v>335</v>
      </c>
      <c r="B1178" s="9" t="s">
        <v>239</v>
      </c>
      <c r="C1178" s="9" t="s">
        <v>309</v>
      </c>
      <c r="D1178" s="9" t="s">
        <v>96</v>
      </c>
      <c r="E1178" s="9" t="s">
        <v>282</v>
      </c>
      <c r="F1178" s="9" t="s">
        <v>334</v>
      </c>
      <c r="G1178" s="9" t="s">
        <v>309</v>
      </c>
      <c r="H1178" s="10">
        <v>206812.29</v>
      </c>
      <c r="I1178" s="10">
        <v>76466.850000000006</v>
      </c>
      <c r="J1178" s="10">
        <v>175291.03</v>
      </c>
      <c r="K1178" s="10">
        <v>54724.87</v>
      </c>
      <c r="L1178" s="10">
        <v>43742.57</v>
      </c>
      <c r="M1178" s="10">
        <v>140981.65</v>
      </c>
      <c r="N1178" s="10">
        <v>19770.169999999998</v>
      </c>
      <c r="O1178" s="10">
        <v>115203.6</v>
      </c>
      <c r="P1178" s="10">
        <v>19583.07</v>
      </c>
      <c r="Q1178" s="10">
        <v>78984.94</v>
      </c>
      <c r="R1178" s="10">
        <v>931561.04</v>
      </c>
    </row>
    <row r="1179" spans="1:18" ht="12.75" x14ac:dyDescent="0.2">
      <c r="A1179" s="9" t="s">
        <v>335</v>
      </c>
      <c r="B1179" s="9" t="s">
        <v>239</v>
      </c>
      <c r="C1179" s="9" t="s">
        <v>309</v>
      </c>
      <c r="D1179" s="9" t="s">
        <v>112</v>
      </c>
      <c r="E1179" s="9" t="s">
        <v>294</v>
      </c>
      <c r="F1179" s="9" t="s">
        <v>334</v>
      </c>
      <c r="G1179" s="9" t="s">
        <v>309</v>
      </c>
      <c r="H1179" s="10">
        <v>672627.59</v>
      </c>
      <c r="I1179" s="10">
        <v>208857.23</v>
      </c>
      <c r="J1179" s="10">
        <v>80672.03</v>
      </c>
      <c r="K1179" s="10">
        <v>52668.1</v>
      </c>
      <c r="L1179" s="10">
        <v>88936.45</v>
      </c>
      <c r="M1179" s="10">
        <v>89437.15</v>
      </c>
      <c r="N1179" s="10">
        <v>179944.41</v>
      </c>
      <c r="O1179" s="10">
        <v>132328.75</v>
      </c>
      <c r="P1179" s="10">
        <v>175824.17</v>
      </c>
      <c r="Q1179" s="10">
        <v>331547.95</v>
      </c>
      <c r="R1179" s="10">
        <v>2012843.83</v>
      </c>
    </row>
    <row r="1180" spans="1:18" ht="12.75" x14ac:dyDescent="0.2">
      <c r="A1180" s="9" t="s">
        <v>335</v>
      </c>
      <c r="B1180" s="9" t="s">
        <v>239</v>
      </c>
      <c r="C1180" s="9" t="s">
        <v>309</v>
      </c>
      <c r="D1180" s="9" t="s">
        <v>112</v>
      </c>
      <c r="E1180" s="9" t="s">
        <v>292</v>
      </c>
      <c r="F1180" s="9" t="s">
        <v>334</v>
      </c>
      <c r="G1180" s="9" t="s">
        <v>309</v>
      </c>
      <c r="H1180" s="10">
        <v>672627.59</v>
      </c>
      <c r="I1180" s="10">
        <v>208857.23</v>
      </c>
      <c r="J1180" s="10">
        <v>80672.03</v>
      </c>
      <c r="K1180" s="10">
        <v>52668.1</v>
      </c>
      <c r="L1180" s="10">
        <v>88936.45</v>
      </c>
      <c r="M1180" s="10">
        <v>89437.15</v>
      </c>
      <c r="N1180" s="10">
        <v>179944.41</v>
      </c>
      <c r="O1180" s="10">
        <v>132328.75</v>
      </c>
      <c r="P1180" s="10">
        <v>175824.17</v>
      </c>
      <c r="Q1180" s="10">
        <v>331547.95</v>
      </c>
      <c r="R1180" s="10">
        <v>2012843.83</v>
      </c>
    </row>
    <row r="1181" spans="1:18" ht="12.75" x14ac:dyDescent="0.2">
      <c r="A1181" s="9" t="s">
        <v>335</v>
      </c>
      <c r="B1181" s="9" t="s">
        <v>239</v>
      </c>
      <c r="C1181" s="9" t="s">
        <v>309</v>
      </c>
      <c r="D1181" s="9" t="s">
        <v>112</v>
      </c>
      <c r="E1181" s="9" t="s">
        <v>301</v>
      </c>
      <c r="F1181" s="9" t="s">
        <v>334</v>
      </c>
      <c r="G1181" s="9" t="s">
        <v>309</v>
      </c>
      <c r="H1181" s="10">
        <v>672627.59</v>
      </c>
      <c r="I1181" s="10">
        <v>208857.23</v>
      </c>
      <c r="J1181" s="10">
        <v>80672.03</v>
      </c>
      <c r="K1181" s="10">
        <v>52668.1</v>
      </c>
      <c r="L1181" s="10">
        <v>88936.45</v>
      </c>
      <c r="M1181" s="10">
        <v>89437.15</v>
      </c>
      <c r="N1181" s="10">
        <v>179944.41</v>
      </c>
      <c r="O1181" s="10">
        <v>132328.75</v>
      </c>
      <c r="P1181" s="10">
        <v>175824.17</v>
      </c>
      <c r="Q1181" s="10">
        <v>331547.95</v>
      </c>
      <c r="R1181" s="10">
        <v>2012843.83</v>
      </c>
    </row>
    <row r="1182" spans="1:18" ht="12.75" x14ac:dyDescent="0.2">
      <c r="A1182" s="9" t="s">
        <v>335</v>
      </c>
      <c r="B1182" s="9" t="s">
        <v>239</v>
      </c>
      <c r="C1182" s="9" t="s">
        <v>309</v>
      </c>
      <c r="D1182" s="9" t="s">
        <v>112</v>
      </c>
      <c r="E1182" s="9" t="s">
        <v>300</v>
      </c>
      <c r="F1182" s="9" t="s">
        <v>334</v>
      </c>
      <c r="G1182" s="9" t="s">
        <v>309</v>
      </c>
      <c r="H1182" s="10">
        <v>672627.59</v>
      </c>
      <c r="I1182" s="10">
        <v>208857.23</v>
      </c>
      <c r="J1182" s="10">
        <v>80672.03</v>
      </c>
      <c r="K1182" s="10">
        <v>52668.1</v>
      </c>
      <c r="L1182" s="10">
        <v>88936.45</v>
      </c>
      <c r="M1182" s="10">
        <v>89437.15</v>
      </c>
      <c r="N1182" s="10">
        <v>179944.41</v>
      </c>
      <c r="O1182" s="10">
        <v>132328.75</v>
      </c>
      <c r="P1182" s="10">
        <v>175824.17</v>
      </c>
      <c r="Q1182" s="10">
        <v>331547.95</v>
      </c>
      <c r="R1182" s="10">
        <v>2012843.83</v>
      </c>
    </row>
    <row r="1183" spans="1:18" ht="12.75" x14ac:dyDescent="0.2">
      <c r="A1183" s="9" t="s">
        <v>349</v>
      </c>
      <c r="B1183" s="9" t="s">
        <v>239</v>
      </c>
      <c r="C1183" s="9" t="s">
        <v>310</v>
      </c>
      <c r="D1183" s="9" t="s">
        <v>238</v>
      </c>
      <c r="E1183" s="9" t="s">
        <v>241</v>
      </c>
      <c r="F1183" s="9" t="s">
        <v>334</v>
      </c>
      <c r="G1183" s="9" t="s">
        <v>310</v>
      </c>
      <c r="H1183" s="10">
        <v>1984093.81</v>
      </c>
      <c r="I1183" s="10">
        <v>1060597.23</v>
      </c>
      <c r="J1183" s="10">
        <v>1300218.3999999999</v>
      </c>
      <c r="K1183" s="10">
        <v>1345067.39</v>
      </c>
      <c r="L1183" s="10">
        <v>2221334.58</v>
      </c>
      <c r="M1183" s="10">
        <v>1110098.81</v>
      </c>
      <c r="N1183" s="10">
        <v>1074127.8</v>
      </c>
      <c r="O1183" s="10">
        <v>1206803.8700000001</v>
      </c>
      <c r="P1183" s="10">
        <v>1295172.93</v>
      </c>
      <c r="Q1183" s="10">
        <v>362547.3</v>
      </c>
      <c r="R1183" s="10">
        <v>12960062.119999999</v>
      </c>
    </row>
    <row r="1184" spans="1:18" ht="12.75" x14ac:dyDescent="0.2">
      <c r="A1184" s="9" t="s">
        <v>349</v>
      </c>
      <c r="B1184" s="9" t="s">
        <v>239</v>
      </c>
      <c r="C1184" s="9" t="s">
        <v>310</v>
      </c>
      <c r="D1184" s="9" t="s">
        <v>238</v>
      </c>
      <c r="E1184" s="9" t="s">
        <v>242</v>
      </c>
      <c r="F1184" s="9" t="s">
        <v>334</v>
      </c>
      <c r="G1184" s="9" t="s">
        <v>310</v>
      </c>
      <c r="H1184" s="10">
        <v>1764181.61</v>
      </c>
      <c r="I1184" s="10">
        <v>943043.18</v>
      </c>
      <c r="J1184" s="10">
        <v>1156105.31</v>
      </c>
      <c r="K1184" s="10">
        <v>1195983.3500000001</v>
      </c>
      <c r="L1184" s="10">
        <v>1975127.19</v>
      </c>
      <c r="M1184" s="10">
        <v>987058.12</v>
      </c>
      <c r="N1184" s="10">
        <v>955074.05</v>
      </c>
      <c r="O1184" s="10">
        <v>1073044.6299999999</v>
      </c>
      <c r="P1184" s="10">
        <v>1151619.07</v>
      </c>
      <c r="Q1184" s="10">
        <v>322363.42</v>
      </c>
      <c r="R1184" s="10">
        <v>11523599.93</v>
      </c>
    </row>
    <row r="1185" spans="1:18" ht="12.75" x14ac:dyDescent="0.2">
      <c r="A1185" s="9" t="s">
        <v>332</v>
      </c>
      <c r="B1185" s="9" t="s">
        <v>239</v>
      </c>
      <c r="C1185" s="9" t="s">
        <v>310</v>
      </c>
      <c r="D1185" s="9" t="s">
        <v>74</v>
      </c>
      <c r="E1185" s="9" t="s">
        <v>244</v>
      </c>
      <c r="F1185" s="9" t="s">
        <v>334</v>
      </c>
      <c r="G1185" s="9" t="s">
        <v>310</v>
      </c>
      <c r="H1185" s="10">
        <v>492314.56</v>
      </c>
      <c r="I1185" s="10">
        <v>-132176.6</v>
      </c>
      <c r="J1185" s="10">
        <v>360397.39</v>
      </c>
      <c r="K1185" s="10">
        <v>208745.27</v>
      </c>
      <c r="L1185" s="10">
        <v>647279.56000000006</v>
      </c>
      <c r="M1185" s="10">
        <v>440040.32</v>
      </c>
      <c r="N1185" s="10">
        <v>-261379.63</v>
      </c>
      <c r="O1185" s="10">
        <v>-422680.26</v>
      </c>
      <c r="P1185" s="10">
        <v>-91373.06</v>
      </c>
      <c r="Q1185" s="10">
        <v>-956840.87</v>
      </c>
      <c r="R1185" s="10">
        <v>284326.68</v>
      </c>
    </row>
    <row r="1186" spans="1:18" ht="12.75" x14ac:dyDescent="0.2">
      <c r="A1186" s="9" t="s">
        <v>332</v>
      </c>
      <c r="B1186" s="9" t="s">
        <v>239</v>
      </c>
      <c r="C1186" s="9" t="s">
        <v>310</v>
      </c>
      <c r="D1186" s="9" t="s">
        <v>74</v>
      </c>
      <c r="E1186" s="9" t="s">
        <v>245</v>
      </c>
      <c r="F1186" s="9" t="s">
        <v>334</v>
      </c>
      <c r="G1186" s="9" t="s">
        <v>310</v>
      </c>
      <c r="H1186" s="10">
        <v>492314.56</v>
      </c>
      <c r="I1186" s="10">
        <v>-132176.6</v>
      </c>
      <c r="J1186" s="10">
        <v>360397.39</v>
      </c>
      <c r="K1186" s="10">
        <v>208745.27</v>
      </c>
      <c r="L1186" s="10">
        <v>647279.56000000006</v>
      </c>
      <c r="M1186" s="10">
        <v>440040.32</v>
      </c>
      <c r="N1186" s="10">
        <v>-261379.63</v>
      </c>
      <c r="O1186" s="10">
        <v>-422680.26</v>
      </c>
      <c r="P1186" s="10">
        <v>-91373.06</v>
      </c>
      <c r="Q1186" s="10">
        <v>-956840.87</v>
      </c>
      <c r="R1186" s="10">
        <v>284326.68</v>
      </c>
    </row>
    <row r="1187" spans="1:18" ht="12.75" x14ac:dyDescent="0.2">
      <c r="A1187" s="9" t="s">
        <v>332</v>
      </c>
      <c r="B1187" s="9" t="s">
        <v>239</v>
      </c>
      <c r="C1187" s="9" t="s">
        <v>310</v>
      </c>
      <c r="D1187" s="9" t="s">
        <v>74</v>
      </c>
      <c r="E1187" s="9" t="s">
        <v>246</v>
      </c>
      <c r="F1187" s="9" t="s">
        <v>334</v>
      </c>
      <c r="G1187" s="9" t="s">
        <v>310</v>
      </c>
      <c r="H1187" s="10">
        <v>492314.56</v>
      </c>
      <c r="I1187" s="10">
        <v>-132176.6</v>
      </c>
      <c r="J1187" s="10">
        <v>360397.39</v>
      </c>
      <c r="K1187" s="10">
        <v>208745.27</v>
      </c>
      <c r="L1187" s="10">
        <v>647279.56000000006</v>
      </c>
      <c r="M1187" s="10">
        <v>440040.32</v>
      </c>
      <c r="N1187" s="10">
        <v>-261379.63</v>
      </c>
      <c r="O1187" s="10">
        <v>-422680.26</v>
      </c>
      <c r="P1187" s="10">
        <v>-91373.06</v>
      </c>
      <c r="Q1187" s="10">
        <v>-956840.87</v>
      </c>
      <c r="R1187" s="10">
        <v>284326.68</v>
      </c>
    </row>
    <row r="1188" spans="1:18" ht="12.75" x14ac:dyDescent="0.2">
      <c r="A1188" s="9" t="s">
        <v>332</v>
      </c>
      <c r="B1188" s="9" t="s">
        <v>239</v>
      </c>
      <c r="C1188" s="9" t="s">
        <v>310</v>
      </c>
      <c r="D1188" s="9" t="s">
        <v>74</v>
      </c>
      <c r="E1188" s="9" t="s">
        <v>247</v>
      </c>
      <c r="F1188" s="9" t="s">
        <v>334</v>
      </c>
      <c r="G1188" s="9" t="s">
        <v>310</v>
      </c>
      <c r="H1188" s="10">
        <v>492314.56</v>
      </c>
      <c r="I1188" s="10">
        <v>-132176.6</v>
      </c>
      <c r="J1188" s="10">
        <v>360397.39</v>
      </c>
      <c r="K1188" s="10">
        <v>208745.27</v>
      </c>
      <c r="L1188" s="10">
        <v>647279.56000000006</v>
      </c>
      <c r="M1188" s="10">
        <v>440040.32</v>
      </c>
      <c r="N1188" s="10">
        <v>-261379.63</v>
      </c>
      <c r="O1188" s="10">
        <v>-422680.26</v>
      </c>
      <c r="P1188" s="10">
        <v>-91373.06</v>
      </c>
      <c r="Q1188" s="10">
        <v>-956840.87</v>
      </c>
      <c r="R1188" s="10">
        <v>284326.68</v>
      </c>
    </row>
    <row r="1189" spans="1:18" ht="12.75" x14ac:dyDescent="0.2">
      <c r="A1189" s="9" t="s">
        <v>332</v>
      </c>
      <c r="B1189" s="9" t="s">
        <v>239</v>
      </c>
      <c r="C1189" s="9" t="s">
        <v>310</v>
      </c>
      <c r="D1189" s="9" t="s">
        <v>74</v>
      </c>
      <c r="E1189" s="9" t="s">
        <v>248</v>
      </c>
      <c r="F1189" s="9" t="s">
        <v>334</v>
      </c>
      <c r="G1189" s="9" t="s">
        <v>310</v>
      </c>
      <c r="H1189" s="10">
        <v>492314.56</v>
      </c>
      <c r="I1189" s="10">
        <v>-132176.6</v>
      </c>
      <c r="J1189" s="10">
        <v>360397.39</v>
      </c>
      <c r="K1189" s="10">
        <v>208745.27</v>
      </c>
      <c r="L1189" s="10">
        <v>647279.56000000006</v>
      </c>
      <c r="M1189" s="10">
        <v>440040.32</v>
      </c>
      <c r="N1189" s="10">
        <v>-261379.63</v>
      </c>
      <c r="O1189" s="10">
        <v>-422680.26</v>
      </c>
      <c r="P1189" s="10">
        <v>-91373.06</v>
      </c>
      <c r="Q1189" s="10">
        <v>-956840.87</v>
      </c>
      <c r="R1189" s="10">
        <v>284326.68</v>
      </c>
    </row>
    <row r="1190" spans="1:18" ht="12.75" x14ac:dyDescent="0.2">
      <c r="A1190" s="9" t="s">
        <v>332</v>
      </c>
      <c r="B1190" s="9" t="s">
        <v>239</v>
      </c>
      <c r="C1190" s="9" t="s">
        <v>310</v>
      </c>
      <c r="D1190" s="9" t="s">
        <v>74</v>
      </c>
      <c r="E1190" s="9" t="s">
        <v>249</v>
      </c>
      <c r="F1190" s="9" t="s">
        <v>334</v>
      </c>
      <c r="G1190" s="9" t="s">
        <v>310</v>
      </c>
      <c r="H1190" s="10">
        <v>492314.56</v>
      </c>
      <c r="I1190" s="10">
        <v>-132176.6</v>
      </c>
      <c r="J1190" s="10">
        <v>360397.39</v>
      </c>
      <c r="K1190" s="10">
        <v>208745.27</v>
      </c>
      <c r="L1190" s="10">
        <v>647279.56000000006</v>
      </c>
      <c r="M1190" s="10">
        <v>440040.32</v>
      </c>
      <c r="N1190" s="10">
        <v>-261379.63</v>
      </c>
      <c r="O1190" s="10">
        <v>-422680.26</v>
      </c>
      <c r="P1190" s="10">
        <v>-91373.06</v>
      </c>
      <c r="Q1190" s="10">
        <v>-956840.87</v>
      </c>
      <c r="R1190" s="10">
        <v>284326.68</v>
      </c>
    </row>
    <row r="1191" spans="1:18" ht="12.75" x14ac:dyDescent="0.2">
      <c r="A1191" s="9" t="s">
        <v>332</v>
      </c>
      <c r="B1191" s="9" t="s">
        <v>239</v>
      </c>
      <c r="C1191" s="9" t="s">
        <v>310</v>
      </c>
      <c r="D1191" s="9" t="s">
        <v>74</v>
      </c>
      <c r="E1191" s="9" t="s">
        <v>250</v>
      </c>
      <c r="F1191" s="9" t="s">
        <v>334</v>
      </c>
      <c r="G1191" s="9" t="s">
        <v>310</v>
      </c>
      <c r="H1191" s="10">
        <v>492314.56</v>
      </c>
      <c r="I1191" s="10">
        <v>-132176.6</v>
      </c>
      <c r="J1191" s="10">
        <v>360397.39</v>
      </c>
      <c r="K1191" s="10">
        <v>208745.27</v>
      </c>
      <c r="L1191" s="10">
        <v>647279.56000000006</v>
      </c>
      <c r="M1191" s="10">
        <v>440040.32</v>
      </c>
      <c r="N1191" s="10">
        <v>-261379.63</v>
      </c>
      <c r="O1191" s="10">
        <v>-422680.26</v>
      </c>
      <c r="P1191" s="10">
        <v>-91373.06</v>
      </c>
      <c r="Q1191" s="10">
        <v>-956840.87</v>
      </c>
      <c r="R1191" s="10">
        <v>284326.68</v>
      </c>
    </row>
    <row r="1192" spans="1:18" ht="12.75" x14ac:dyDescent="0.2">
      <c r="A1192" s="9" t="s">
        <v>332</v>
      </c>
      <c r="B1192" s="9" t="s">
        <v>239</v>
      </c>
      <c r="C1192" s="9" t="s">
        <v>310</v>
      </c>
      <c r="D1192" s="9" t="s">
        <v>74</v>
      </c>
      <c r="E1192" s="9" t="s">
        <v>251</v>
      </c>
      <c r="F1192" s="9" t="s">
        <v>334</v>
      </c>
      <c r="G1192" s="9" t="s">
        <v>310</v>
      </c>
      <c r="H1192" s="10">
        <v>492314.56</v>
      </c>
      <c r="I1192" s="10">
        <v>-132176.6</v>
      </c>
      <c r="J1192" s="10">
        <v>360397.39</v>
      </c>
      <c r="K1192" s="10">
        <v>208745.27</v>
      </c>
      <c r="L1192" s="10">
        <v>647279.56000000006</v>
      </c>
      <c r="M1192" s="10">
        <v>440040.32</v>
      </c>
      <c r="N1192" s="10">
        <v>-261379.63</v>
      </c>
      <c r="O1192" s="10">
        <v>-422680.26</v>
      </c>
      <c r="P1192" s="10">
        <v>-91373.06</v>
      </c>
      <c r="Q1192" s="10">
        <v>-956840.87</v>
      </c>
      <c r="R1192" s="10">
        <v>284326.68</v>
      </c>
    </row>
    <row r="1193" spans="1:18" ht="12.75" x14ac:dyDescent="0.2">
      <c r="A1193" s="9" t="s">
        <v>332</v>
      </c>
      <c r="B1193" s="9" t="s">
        <v>239</v>
      </c>
      <c r="C1193" s="9" t="s">
        <v>310</v>
      </c>
      <c r="D1193" s="9" t="s">
        <v>52</v>
      </c>
      <c r="E1193" s="9" t="s">
        <v>253</v>
      </c>
      <c r="F1193" s="9" t="s">
        <v>334</v>
      </c>
      <c r="G1193" s="9" t="s">
        <v>310</v>
      </c>
      <c r="H1193" s="10">
        <v>361588.14</v>
      </c>
      <c r="I1193" s="10">
        <v>462033.04</v>
      </c>
      <c r="J1193" s="10">
        <v>473459.54</v>
      </c>
      <c r="K1193" s="10">
        <v>346177.6</v>
      </c>
      <c r="L1193" s="10">
        <v>337187.96</v>
      </c>
      <c r="M1193" s="10">
        <v>252478.48</v>
      </c>
      <c r="N1193" s="10">
        <v>1366.92</v>
      </c>
      <c r="O1193" s="10">
        <v>129925.22</v>
      </c>
      <c r="P1193" s="10">
        <v>234884.01</v>
      </c>
      <c r="Q1193" s="10">
        <v>418795.66</v>
      </c>
      <c r="R1193" s="10">
        <v>3017896.57</v>
      </c>
    </row>
    <row r="1194" spans="1:18" ht="12.75" x14ac:dyDescent="0.2">
      <c r="A1194" s="9" t="s">
        <v>332</v>
      </c>
      <c r="B1194" s="9" t="s">
        <v>239</v>
      </c>
      <c r="C1194" s="9" t="s">
        <v>310</v>
      </c>
      <c r="D1194" s="9" t="s">
        <v>52</v>
      </c>
      <c r="E1194" s="9" t="s">
        <v>254</v>
      </c>
      <c r="F1194" s="9" t="s">
        <v>334</v>
      </c>
      <c r="G1194" s="9" t="s">
        <v>310</v>
      </c>
      <c r="H1194" s="10">
        <v>361588.14</v>
      </c>
      <c r="I1194" s="10">
        <v>462033.04</v>
      </c>
      <c r="J1194" s="10">
        <v>473459.54</v>
      </c>
      <c r="K1194" s="10">
        <v>346177.6</v>
      </c>
      <c r="L1194" s="10">
        <v>337187.96</v>
      </c>
      <c r="M1194" s="10">
        <v>252478.48</v>
      </c>
      <c r="N1194" s="10">
        <v>1366.92</v>
      </c>
      <c r="O1194" s="10">
        <v>129925.22</v>
      </c>
      <c r="P1194" s="10">
        <v>234884.01</v>
      </c>
      <c r="Q1194" s="10">
        <v>418795.66</v>
      </c>
      <c r="R1194" s="10">
        <v>3017896.57</v>
      </c>
    </row>
    <row r="1195" spans="1:18" ht="12.75" x14ac:dyDescent="0.2">
      <c r="A1195" s="9" t="s">
        <v>332</v>
      </c>
      <c r="B1195" s="9" t="s">
        <v>239</v>
      </c>
      <c r="C1195" s="9" t="s">
        <v>310</v>
      </c>
      <c r="D1195" s="9" t="s">
        <v>52</v>
      </c>
      <c r="E1195" s="9" t="s">
        <v>255</v>
      </c>
      <c r="F1195" s="9" t="s">
        <v>334</v>
      </c>
      <c r="G1195" s="9" t="s">
        <v>310</v>
      </c>
      <c r="H1195" s="10">
        <v>361588.14</v>
      </c>
      <c r="I1195" s="10">
        <v>462033.04</v>
      </c>
      <c r="J1195" s="10">
        <v>473459.54</v>
      </c>
      <c r="K1195" s="10">
        <v>346177.6</v>
      </c>
      <c r="L1195" s="10">
        <v>337187.96</v>
      </c>
      <c r="M1195" s="10">
        <v>252478.48</v>
      </c>
      <c r="N1195" s="10">
        <v>1366.92</v>
      </c>
      <c r="O1195" s="10">
        <v>129925.22</v>
      </c>
      <c r="P1195" s="10">
        <v>234884.01</v>
      </c>
      <c r="Q1195" s="10">
        <v>418795.66</v>
      </c>
      <c r="R1195" s="10">
        <v>3017896.57</v>
      </c>
    </row>
    <row r="1196" spans="1:18" ht="12.75" x14ac:dyDescent="0.2">
      <c r="A1196" s="9" t="s">
        <v>332</v>
      </c>
      <c r="B1196" s="9" t="s">
        <v>239</v>
      </c>
      <c r="C1196" s="9" t="s">
        <v>310</v>
      </c>
      <c r="D1196" s="9" t="s">
        <v>52</v>
      </c>
      <c r="E1196" s="9" t="s">
        <v>256</v>
      </c>
      <c r="F1196" s="9" t="s">
        <v>334</v>
      </c>
      <c r="G1196" s="9" t="s">
        <v>310</v>
      </c>
      <c r="H1196" s="10">
        <v>361588.14</v>
      </c>
      <c r="I1196" s="10">
        <v>462033.04</v>
      </c>
      <c r="J1196" s="10">
        <v>473459.54</v>
      </c>
      <c r="K1196" s="10">
        <v>346177.6</v>
      </c>
      <c r="L1196" s="10">
        <v>337187.96</v>
      </c>
      <c r="M1196" s="10">
        <v>252478.48</v>
      </c>
      <c r="N1196" s="10">
        <v>1366.92</v>
      </c>
      <c r="O1196" s="10">
        <v>129925.22</v>
      </c>
      <c r="P1196" s="10">
        <v>234884.01</v>
      </c>
      <c r="Q1196" s="10">
        <v>418795.66</v>
      </c>
      <c r="R1196" s="10">
        <v>3017896.57</v>
      </c>
    </row>
    <row r="1197" spans="1:18" ht="12.75" x14ac:dyDescent="0.2">
      <c r="A1197" s="9" t="s">
        <v>332</v>
      </c>
      <c r="B1197" s="9" t="s">
        <v>239</v>
      </c>
      <c r="C1197" s="9" t="s">
        <v>310</v>
      </c>
      <c r="D1197" s="9" t="s">
        <v>52</v>
      </c>
      <c r="E1197" s="9" t="s">
        <v>257</v>
      </c>
      <c r="F1197" s="9" t="s">
        <v>334</v>
      </c>
      <c r="G1197" s="9" t="s">
        <v>310</v>
      </c>
      <c r="H1197" s="10">
        <v>361588.14</v>
      </c>
      <c r="I1197" s="10">
        <v>462033.04</v>
      </c>
      <c r="J1197" s="10">
        <v>473459.54</v>
      </c>
      <c r="K1197" s="10">
        <v>346177.6</v>
      </c>
      <c r="L1197" s="10">
        <v>337187.96</v>
      </c>
      <c r="M1197" s="10">
        <v>252478.48</v>
      </c>
      <c r="N1197" s="10">
        <v>1366.92</v>
      </c>
      <c r="O1197" s="10">
        <v>129925.22</v>
      </c>
      <c r="P1197" s="10">
        <v>234884.01</v>
      </c>
      <c r="Q1197" s="10">
        <v>418795.66</v>
      </c>
      <c r="R1197" s="10">
        <v>3017896.57</v>
      </c>
    </row>
    <row r="1198" spans="1:18" ht="12.75" x14ac:dyDescent="0.2">
      <c r="A1198" s="9" t="s">
        <v>332</v>
      </c>
      <c r="B1198" s="9" t="s">
        <v>239</v>
      </c>
      <c r="C1198" s="9" t="s">
        <v>310</v>
      </c>
      <c r="D1198" s="9" t="s">
        <v>52</v>
      </c>
      <c r="E1198" s="9" t="s">
        <v>258</v>
      </c>
      <c r="F1198" s="9" t="s">
        <v>334</v>
      </c>
      <c r="G1198" s="9" t="s">
        <v>310</v>
      </c>
      <c r="H1198" s="10">
        <v>361588.14</v>
      </c>
      <c r="I1198" s="10">
        <v>462033.04</v>
      </c>
      <c r="J1198" s="10">
        <v>473459.54</v>
      </c>
      <c r="K1198" s="10">
        <v>346177.6</v>
      </c>
      <c r="L1198" s="10">
        <v>337187.96</v>
      </c>
      <c r="M1198" s="10">
        <v>252478.48</v>
      </c>
      <c r="N1198" s="10">
        <v>1366.92</v>
      </c>
      <c r="O1198" s="10">
        <v>129925.22</v>
      </c>
      <c r="P1198" s="10">
        <v>234884.01</v>
      </c>
      <c r="Q1198" s="10">
        <v>418795.66</v>
      </c>
      <c r="R1198" s="10">
        <v>3017896.57</v>
      </c>
    </row>
    <row r="1199" spans="1:18" ht="12.75" x14ac:dyDescent="0.2">
      <c r="A1199" s="9" t="s">
        <v>332</v>
      </c>
      <c r="B1199" s="9" t="s">
        <v>239</v>
      </c>
      <c r="C1199" s="9" t="s">
        <v>310</v>
      </c>
      <c r="D1199" s="9" t="s">
        <v>52</v>
      </c>
      <c r="E1199" s="9" t="s">
        <v>259</v>
      </c>
      <c r="F1199" s="9" t="s">
        <v>334</v>
      </c>
      <c r="G1199" s="9" t="s">
        <v>310</v>
      </c>
      <c r="H1199" s="10">
        <v>361588.14</v>
      </c>
      <c r="I1199" s="10">
        <v>462033.04</v>
      </c>
      <c r="J1199" s="10">
        <v>473459.54</v>
      </c>
      <c r="K1199" s="10">
        <v>346177.6</v>
      </c>
      <c r="L1199" s="10">
        <v>337187.96</v>
      </c>
      <c r="M1199" s="10">
        <v>252478.48</v>
      </c>
      <c r="N1199" s="10">
        <v>1366.92</v>
      </c>
      <c r="O1199" s="10">
        <v>129925.22</v>
      </c>
      <c r="P1199" s="10">
        <v>234884.01</v>
      </c>
      <c r="Q1199" s="10">
        <v>418795.66</v>
      </c>
      <c r="R1199" s="10">
        <v>3017896.57</v>
      </c>
    </row>
    <row r="1200" spans="1:18" ht="12.75" x14ac:dyDescent="0.2">
      <c r="A1200" s="9" t="s">
        <v>332</v>
      </c>
      <c r="B1200" s="9" t="s">
        <v>239</v>
      </c>
      <c r="C1200" s="9" t="s">
        <v>310</v>
      </c>
      <c r="D1200" s="9" t="s">
        <v>52</v>
      </c>
      <c r="E1200" s="9" t="s">
        <v>260</v>
      </c>
      <c r="F1200" s="9" t="s">
        <v>334</v>
      </c>
      <c r="G1200" s="9" t="s">
        <v>310</v>
      </c>
      <c r="H1200" s="10">
        <v>361588.14</v>
      </c>
      <c r="I1200" s="10">
        <v>462033.04</v>
      </c>
      <c r="J1200" s="10">
        <v>473459.54</v>
      </c>
      <c r="K1200" s="10">
        <v>346177.6</v>
      </c>
      <c r="L1200" s="10">
        <v>337187.96</v>
      </c>
      <c r="M1200" s="10">
        <v>252478.48</v>
      </c>
      <c r="N1200" s="10">
        <v>1366.92</v>
      </c>
      <c r="O1200" s="10">
        <v>129925.22</v>
      </c>
      <c r="P1200" s="10">
        <v>234884.01</v>
      </c>
      <c r="Q1200" s="10">
        <v>418795.66</v>
      </c>
      <c r="R1200" s="10">
        <v>3017896.57</v>
      </c>
    </row>
    <row r="1201" spans="1:18" ht="12.75" x14ac:dyDescent="0.2">
      <c r="A1201" s="9" t="s">
        <v>332</v>
      </c>
      <c r="B1201" s="9" t="s">
        <v>239</v>
      </c>
      <c r="C1201" s="9" t="s">
        <v>310</v>
      </c>
      <c r="D1201" s="9" t="s">
        <v>52</v>
      </c>
      <c r="E1201" s="9" t="s">
        <v>261</v>
      </c>
      <c r="F1201" s="9" t="s">
        <v>334</v>
      </c>
      <c r="G1201" s="9" t="s">
        <v>310</v>
      </c>
      <c r="H1201" s="10">
        <v>361588.14</v>
      </c>
      <c r="I1201" s="10">
        <v>462033.04</v>
      </c>
      <c r="J1201" s="10">
        <v>473459.54</v>
      </c>
      <c r="K1201" s="10">
        <v>346177.6</v>
      </c>
      <c r="L1201" s="10">
        <v>337187.96</v>
      </c>
      <c r="M1201" s="10">
        <v>252478.48</v>
      </c>
      <c r="N1201" s="10">
        <v>1366.92</v>
      </c>
      <c r="O1201" s="10">
        <v>129925.22</v>
      </c>
      <c r="P1201" s="10">
        <v>234884.01</v>
      </c>
      <c r="Q1201" s="10">
        <v>418795.66</v>
      </c>
      <c r="R1201" s="10">
        <v>3017896.57</v>
      </c>
    </row>
    <row r="1202" spans="1:18" ht="12.75" x14ac:dyDescent="0.2">
      <c r="A1202" s="9" t="s">
        <v>332</v>
      </c>
      <c r="B1202" s="9" t="s">
        <v>239</v>
      </c>
      <c r="C1202" s="9" t="s">
        <v>310</v>
      </c>
      <c r="D1202" s="9" t="s">
        <v>52</v>
      </c>
      <c r="E1202" s="9" t="s">
        <v>262</v>
      </c>
      <c r="F1202" s="9" t="s">
        <v>334</v>
      </c>
      <c r="G1202" s="9" t="s">
        <v>310</v>
      </c>
      <c r="H1202" s="10">
        <v>361588.14</v>
      </c>
      <c r="I1202" s="10">
        <v>462033.04</v>
      </c>
      <c r="J1202" s="10">
        <v>473459.54</v>
      </c>
      <c r="K1202" s="10">
        <v>346177.6</v>
      </c>
      <c r="L1202" s="10">
        <v>337187.96</v>
      </c>
      <c r="M1202" s="10">
        <v>252478.48</v>
      </c>
      <c r="N1202" s="10">
        <v>1366.92</v>
      </c>
      <c r="O1202" s="10">
        <v>129925.22</v>
      </c>
      <c r="P1202" s="10">
        <v>234884.01</v>
      </c>
      <c r="Q1202" s="10">
        <v>418795.66</v>
      </c>
      <c r="R1202" s="10">
        <v>3017896.57</v>
      </c>
    </row>
    <row r="1203" spans="1:18" ht="12.75" x14ac:dyDescent="0.2">
      <c r="A1203" s="9" t="s">
        <v>332</v>
      </c>
      <c r="B1203" s="9" t="s">
        <v>239</v>
      </c>
      <c r="C1203" s="9" t="s">
        <v>310</v>
      </c>
      <c r="D1203" s="9" t="s">
        <v>52</v>
      </c>
      <c r="E1203" s="9" t="s">
        <v>263</v>
      </c>
      <c r="F1203" s="9" t="s">
        <v>334</v>
      </c>
      <c r="G1203" s="9" t="s">
        <v>310</v>
      </c>
      <c r="H1203" s="10">
        <v>361588.14</v>
      </c>
      <c r="I1203" s="10">
        <v>462033.04</v>
      </c>
      <c r="J1203" s="10">
        <v>473459.54</v>
      </c>
      <c r="K1203" s="10">
        <v>346177.6</v>
      </c>
      <c r="L1203" s="10">
        <v>337187.96</v>
      </c>
      <c r="M1203" s="10">
        <v>252478.48</v>
      </c>
      <c r="N1203" s="10">
        <v>1366.92</v>
      </c>
      <c r="O1203" s="10">
        <v>129925.22</v>
      </c>
      <c r="P1203" s="10">
        <v>234884.01</v>
      </c>
      <c r="Q1203" s="10">
        <v>418795.66</v>
      </c>
      <c r="R1203" s="10">
        <v>3017896.57</v>
      </c>
    </row>
    <row r="1204" spans="1:18" ht="12.75" x14ac:dyDescent="0.2">
      <c r="A1204" s="9" t="s">
        <v>332</v>
      </c>
      <c r="B1204" s="9" t="s">
        <v>239</v>
      </c>
      <c r="C1204" s="9" t="s">
        <v>310</v>
      </c>
      <c r="D1204" s="9" t="s">
        <v>52</v>
      </c>
      <c r="E1204" s="9" t="s">
        <v>264</v>
      </c>
      <c r="F1204" s="9" t="s">
        <v>334</v>
      </c>
      <c r="G1204" s="9" t="s">
        <v>310</v>
      </c>
      <c r="H1204" s="10">
        <v>361588.14</v>
      </c>
      <c r="I1204" s="10">
        <v>462033.04</v>
      </c>
      <c r="J1204" s="10">
        <v>473459.54</v>
      </c>
      <c r="K1204" s="10">
        <v>346177.6</v>
      </c>
      <c r="L1204" s="10">
        <v>337187.96</v>
      </c>
      <c r="M1204" s="10">
        <v>252478.48</v>
      </c>
      <c r="N1204" s="10">
        <v>1366.92</v>
      </c>
      <c r="O1204" s="10">
        <v>129925.22</v>
      </c>
      <c r="P1204" s="10">
        <v>234884.01</v>
      </c>
      <c r="Q1204" s="10">
        <v>418795.66</v>
      </c>
      <c r="R1204" s="10">
        <v>3017896.57</v>
      </c>
    </row>
    <row r="1205" spans="1:18" ht="12.75" x14ac:dyDescent="0.2">
      <c r="A1205" s="9" t="s">
        <v>332</v>
      </c>
      <c r="B1205" s="9" t="s">
        <v>239</v>
      </c>
      <c r="C1205" s="9" t="s">
        <v>310</v>
      </c>
      <c r="D1205" s="9" t="s">
        <v>52</v>
      </c>
      <c r="E1205" s="9" t="s">
        <v>265</v>
      </c>
      <c r="F1205" s="9" t="s">
        <v>334</v>
      </c>
      <c r="G1205" s="9" t="s">
        <v>310</v>
      </c>
      <c r="H1205" s="10">
        <v>361588.14</v>
      </c>
      <c r="I1205" s="10">
        <v>462033.04</v>
      </c>
      <c r="J1205" s="10">
        <v>473459.54</v>
      </c>
      <c r="K1205" s="10">
        <v>346177.6</v>
      </c>
      <c r="L1205" s="10">
        <v>337187.96</v>
      </c>
      <c r="M1205" s="10">
        <v>252478.48</v>
      </c>
      <c r="N1205" s="10">
        <v>1366.92</v>
      </c>
      <c r="O1205" s="10">
        <v>129925.22</v>
      </c>
      <c r="P1205" s="10">
        <v>234884.01</v>
      </c>
      <c r="Q1205" s="10">
        <v>418795.66</v>
      </c>
      <c r="R1205" s="10">
        <v>3017896.57</v>
      </c>
    </row>
    <row r="1206" spans="1:18" ht="12.75" x14ac:dyDescent="0.2">
      <c r="A1206" s="9" t="s">
        <v>332</v>
      </c>
      <c r="B1206" s="9" t="s">
        <v>239</v>
      </c>
      <c r="C1206" s="9" t="s">
        <v>310</v>
      </c>
      <c r="D1206" s="9" t="s">
        <v>52</v>
      </c>
      <c r="E1206" s="9" t="s">
        <v>266</v>
      </c>
      <c r="F1206" s="9" t="s">
        <v>334</v>
      </c>
      <c r="G1206" s="9" t="s">
        <v>310</v>
      </c>
      <c r="H1206" s="10">
        <v>361588.14</v>
      </c>
      <c r="I1206" s="10">
        <v>462033.04</v>
      </c>
      <c r="J1206" s="10">
        <v>473459.54</v>
      </c>
      <c r="K1206" s="10">
        <v>346177.6</v>
      </c>
      <c r="L1206" s="10">
        <v>337187.96</v>
      </c>
      <c r="M1206" s="10">
        <v>252478.48</v>
      </c>
      <c r="N1206" s="10">
        <v>1366.92</v>
      </c>
      <c r="O1206" s="10">
        <v>129925.22</v>
      </c>
      <c r="P1206" s="10">
        <v>234884.01</v>
      </c>
      <c r="Q1206" s="10">
        <v>418795.66</v>
      </c>
      <c r="R1206" s="10">
        <v>3017896.57</v>
      </c>
    </row>
    <row r="1207" spans="1:18" ht="12.75" x14ac:dyDescent="0.2">
      <c r="A1207" s="9" t="s">
        <v>332</v>
      </c>
      <c r="B1207" s="9" t="s">
        <v>239</v>
      </c>
      <c r="C1207" s="9" t="s">
        <v>310</v>
      </c>
      <c r="D1207" s="9" t="s">
        <v>52</v>
      </c>
      <c r="E1207" s="9" t="s">
        <v>267</v>
      </c>
      <c r="F1207" s="9" t="s">
        <v>334</v>
      </c>
      <c r="G1207" s="9" t="s">
        <v>310</v>
      </c>
      <c r="H1207" s="10">
        <v>361588.14</v>
      </c>
      <c r="I1207" s="10">
        <v>462033.04</v>
      </c>
      <c r="J1207" s="10">
        <v>473459.54</v>
      </c>
      <c r="K1207" s="10">
        <v>346177.6</v>
      </c>
      <c r="L1207" s="10">
        <v>337187.96</v>
      </c>
      <c r="M1207" s="10">
        <v>252478.48</v>
      </c>
      <c r="N1207" s="10">
        <v>1366.92</v>
      </c>
      <c r="O1207" s="10">
        <v>129925.22</v>
      </c>
      <c r="P1207" s="10">
        <v>234884.01</v>
      </c>
      <c r="Q1207" s="10">
        <v>418795.66</v>
      </c>
      <c r="R1207" s="10">
        <v>3017896.57</v>
      </c>
    </row>
    <row r="1208" spans="1:18" ht="12.75" x14ac:dyDescent="0.2">
      <c r="A1208" s="9" t="s">
        <v>332</v>
      </c>
      <c r="B1208" s="9" t="s">
        <v>239</v>
      </c>
      <c r="C1208" s="9" t="s">
        <v>310</v>
      </c>
      <c r="D1208" s="9" t="s">
        <v>52</v>
      </c>
      <c r="E1208" s="9" t="s">
        <v>268</v>
      </c>
      <c r="F1208" s="9" t="s">
        <v>334</v>
      </c>
      <c r="G1208" s="9" t="s">
        <v>310</v>
      </c>
      <c r="H1208" s="10">
        <v>361588.14</v>
      </c>
      <c r="I1208" s="10">
        <v>462033.04</v>
      </c>
      <c r="J1208" s="10">
        <v>473459.54</v>
      </c>
      <c r="K1208" s="10">
        <v>346177.6</v>
      </c>
      <c r="L1208" s="10">
        <v>337187.96</v>
      </c>
      <c r="M1208" s="10">
        <v>252478.48</v>
      </c>
      <c r="N1208" s="10">
        <v>1366.92</v>
      </c>
      <c r="O1208" s="10">
        <v>129925.22</v>
      </c>
      <c r="P1208" s="10">
        <v>234884.01</v>
      </c>
      <c r="Q1208" s="10">
        <v>418795.66</v>
      </c>
      <c r="R1208" s="10">
        <v>3017896.57</v>
      </c>
    </row>
    <row r="1209" spans="1:18" ht="12.75" x14ac:dyDescent="0.2">
      <c r="A1209" s="9" t="s">
        <v>332</v>
      </c>
      <c r="B1209" s="9" t="s">
        <v>239</v>
      </c>
      <c r="C1209" s="9" t="s">
        <v>310</v>
      </c>
      <c r="D1209" s="9" t="s">
        <v>87</v>
      </c>
      <c r="E1209" s="9" t="s">
        <v>270</v>
      </c>
      <c r="F1209" s="9" t="s">
        <v>334</v>
      </c>
      <c r="G1209" s="9" t="s">
        <v>310</v>
      </c>
      <c r="H1209" s="10">
        <v>0</v>
      </c>
      <c r="I1209" s="10">
        <v>0</v>
      </c>
      <c r="J1209" s="10">
        <v>62663.01</v>
      </c>
      <c r="K1209" s="10">
        <v>-648897.74</v>
      </c>
      <c r="L1209" s="10">
        <v>313839.52</v>
      </c>
      <c r="M1209" s="10">
        <v>311699.61</v>
      </c>
      <c r="N1209" s="10">
        <v>444896.17</v>
      </c>
      <c r="O1209" s="10">
        <v>39645.519999999997</v>
      </c>
      <c r="P1209" s="10">
        <v>90424.01</v>
      </c>
      <c r="Q1209" s="10">
        <v>2907110.76</v>
      </c>
      <c r="R1209" s="10">
        <v>3521380.86</v>
      </c>
    </row>
    <row r="1210" spans="1:18" ht="12.75" x14ac:dyDescent="0.2">
      <c r="A1210" s="9" t="s">
        <v>332</v>
      </c>
      <c r="B1210" s="9" t="s">
        <v>239</v>
      </c>
      <c r="C1210" s="9" t="s">
        <v>310</v>
      </c>
      <c r="D1210" s="9" t="s">
        <v>87</v>
      </c>
      <c r="E1210" s="9" t="s">
        <v>271</v>
      </c>
      <c r="F1210" s="9" t="s">
        <v>334</v>
      </c>
      <c r="G1210" s="9" t="s">
        <v>310</v>
      </c>
      <c r="H1210" s="10">
        <v>0</v>
      </c>
      <c r="I1210" s="10">
        <v>0</v>
      </c>
      <c r="J1210" s="10">
        <v>62663.01</v>
      </c>
      <c r="K1210" s="10">
        <v>-648897.74</v>
      </c>
      <c r="L1210" s="10">
        <v>313839.52</v>
      </c>
      <c r="M1210" s="10">
        <v>311699.61</v>
      </c>
      <c r="N1210" s="10">
        <v>444896.17</v>
      </c>
      <c r="O1210" s="10">
        <v>39645.519999999997</v>
      </c>
      <c r="P1210" s="10">
        <v>90424.01</v>
      </c>
      <c r="Q1210" s="10">
        <v>2907110.76</v>
      </c>
      <c r="R1210" s="10">
        <v>3521380.86</v>
      </c>
    </row>
    <row r="1211" spans="1:18" ht="12.75" x14ac:dyDescent="0.2">
      <c r="A1211" s="9" t="s">
        <v>332</v>
      </c>
      <c r="B1211" s="9" t="s">
        <v>239</v>
      </c>
      <c r="C1211" s="9" t="s">
        <v>310</v>
      </c>
      <c r="D1211" s="9" t="s">
        <v>87</v>
      </c>
      <c r="E1211" s="9" t="s">
        <v>272</v>
      </c>
      <c r="F1211" s="9" t="s">
        <v>334</v>
      </c>
      <c r="G1211" s="9" t="s">
        <v>310</v>
      </c>
      <c r="H1211" s="10">
        <v>0</v>
      </c>
      <c r="I1211" s="10">
        <v>0</v>
      </c>
      <c r="J1211" s="10">
        <v>62663.01</v>
      </c>
      <c r="K1211" s="10">
        <v>-648897.74</v>
      </c>
      <c r="L1211" s="10">
        <v>313839.52</v>
      </c>
      <c r="M1211" s="10">
        <v>311699.61</v>
      </c>
      <c r="N1211" s="10">
        <v>444896.17</v>
      </c>
      <c r="O1211" s="10">
        <v>39645.519999999997</v>
      </c>
      <c r="P1211" s="10">
        <v>90424.01</v>
      </c>
      <c r="Q1211" s="10">
        <v>2907110.76</v>
      </c>
      <c r="R1211" s="10">
        <v>3521380.86</v>
      </c>
    </row>
    <row r="1212" spans="1:18" ht="12.75" x14ac:dyDescent="0.2">
      <c r="A1212" s="9" t="s">
        <v>332</v>
      </c>
      <c r="B1212" s="9" t="s">
        <v>239</v>
      </c>
      <c r="C1212" s="9" t="s">
        <v>310</v>
      </c>
      <c r="D1212" s="9" t="s">
        <v>87</v>
      </c>
      <c r="E1212" s="9" t="s">
        <v>273</v>
      </c>
      <c r="F1212" s="9" t="s">
        <v>334</v>
      </c>
      <c r="G1212" s="9" t="s">
        <v>310</v>
      </c>
      <c r="H1212" s="10">
        <v>0</v>
      </c>
      <c r="I1212" s="10">
        <v>0</v>
      </c>
      <c r="J1212" s="10">
        <v>62663.01</v>
      </c>
      <c r="K1212" s="10">
        <v>-648897.74</v>
      </c>
      <c r="L1212" s="10">
        <v>313839.52</v>
      </c>
      <c r="M1212" s="10">
        <v>311699.61</v>
      </c>
      <c r="N1212" s="10">
        <v>444896.17</v>
      </c>
      <c r="O1212" s="10">
        <v>39645.519999999997</v>
      </c>
      <c r="P1212" s="10">
        <v>90424.01</v>
      </c>
      <c r="Q1212" s="10">
        <v>2907110.76</v>
      </c>
      <c r="R1212" s="10">
        <v>3521380.86</v>
      </c>
    </row>
    <row r="1213" spans="1:18" ht="12.75" x14ac:dyDescent="0.2">
      <c r="A1213" s="9" t="s">
        <v>332</v>
      </c>
      <c r="B1213" s="9" t="s">
        <v>239</v>
      </c>
      <c r="C1213" s="9" t="s">
        <v>310</v>
      </c>
      <c r="D1213" s="9" t="s">
        <v>87</v>
      </c>
      <c r="E1213" s="9" t="s">
        <v>274</v>
      </c>
      <c r="F1213" s="9" t="s">
        <v>334</v>
      </c>
      <c r="G1213" s="9" t="s">
        <v>310</v>
      </c>
      <c r="H1213" s="10">
        <v>0</v>
      </c>
      <c r="I1213" s="10">
        <v>0</v>
      </c>
      <c r="J1213" s="10">
        <v>62663.01</v>
      </c>
      <c r="K1213" s="10">
        <v>-648897.74</v>
      </c>
      <c r="L1213" s="10">
        <v>313839.52</v>
      </c>
      <c r="M1213" s="10">
        <v>311699.61</v>
      </c>
      <c r="N1213" s="10">
        <v>444896.17</v>
      </c>
      <c r="O1213" s="10">
        <v>39645.519999999997</v>
      </c>
      <c r="P1213" s="10">
        <v>90424.01</v>
      </c>
      <c r="Q1213" s="10">
        <v>2907110.76</v>
      </c>
      <c r="R1213" s="10">
        <v>3521380.86</v>
      </c>
    </row>
    <row r="1214" spans="1:18" ht="12.75" x14ac:dyDescent="0.2">
      <c r="A1214" s="9" t="s">
        <v>332</v>
      </c>
      <c r="B1214" s="9" t="s">
        <v>239</v>
      </c>
      <c r="C1214" s="9" t="s">
        <v>310</v>
      </c>
      <c r="D1214" s="9" t="s">
        <v>87</v>
      </c>
      <c r="E1214" s="9" t="s">
        <v>275</v>
      </c>
      <c r="F1214" s="9" t="s">
        <v>334</v>
      </c>
      <c r="G1214" s="9" t="s">
        <v>310</v>
      </c>
      <c r="H1214" s="10">
        <v>0</v>
      </c>
      <c r="I1214" s="10">
        <v>0</v>
      </c>
      <c r="J1214" s="10">
        <v>62663.01</v>
      </c>
      <c r="K1214" s="10">
        <v>-648897.74</v>
      </c>
      <c r="L1214" s="10">
        <v>313839.52</v>
      </c>
      <c r="M1214" s="10">
        <v>311699.61</v>
      </c>
      <c r="N1214" s="10">
        <v>444896.17</v>
      </c>
      <c r="O1214" s="10">
        <v>39645.519999999997</v>
      </c>
      <c r="P1214" s="10">
        <v>90424.01</v>
      </c>
      <c r="Q1214" s="10">
        <v>2907110.76</v>
      </c>
      <c r="R1214" s="10">
        <v>3521380.86</v>
      </c>
    </row>
    <row r="1215" spans="1:18" ht="12.75" x14ac:dyDescent="0.2">
      <c r="A1215" s="9" t="s">
        <v>332</v>
      </c>
      <c r="B1215" s="9" t="s">
        <v>239</v>
      </c>
      <c r="C1215" s="9" t="s">
        <v>310</v>
      </c>
      <c r="D1215" s="9" t="s">
        <v>87</v>
      </c>
      <c r="E1215" s="9" t="s">
        <v>276</v>
      </c>
      <c r="F1215" s="9" t="s">
        <v>334</v>
      </c>
      <c r="G1215" s="9" t="s">
        <v>310</v>
      </c>
      <c r="H1215" s="10">
        <v>0</v>
      </c>
      <c r="I1215" s="10">
        <v>0</v>
      </c>
      <c r="J1215" s="10">
        <v>62663.01</v>
      </c>
      <c r="K1215" s="10">
        <v>-648897.74</v>
      </c>
      <c r="L1215" s="10">
        <v>313839.52</v>
      </c>
      <c r="M1215" s="10">
        <v>311699.61</v>
      </c>
      <c r="N1215" s="10">
        <v>444896.17</v>
      </c>
      <c r="O1215" s="10">
        <v>39645.519999999997</v>
      </c>
      <c r="P1215" s="10">
        <v>90424.01</v>
      </c>
      <c r="Q1215" s="10">
        <v>2907110.76</v>
      </c>
      <c r="R1215" s="10">
        <v>3521380.86</v>
      </c>
    </row>
    <row r="1216" spans="1:18" ht="12.75" x14ac:dyDescent="0.2">
      <c r="A1216" s="9" t="s">
        <v>332</v>
      </c>
      <c r="B1216" s="9" t="s">
        <v>239</v>
      </c>
      <c r="C1216" s="9" t="s">
        <v>310</v>
      </c>
      <c r="D1216" s="9" t="s">
        <v>96</v>
      </c>
      <c r="E1216" s="9" t="s">
        <v>277</v>
      </c>
      <c r="F1216" s="9" t="s">
        <v>334</v>
      </c>
      <c r="G1216" s="9" t="s">
        <v>310</v>
      </c>
      <c r="H1216" s="10">
        <v>49868.49</v>
      </c>
      <c r="I1216" s="10">
        <v>350627.19</v>
      </c>
      <c r="J1216" s="10">
        <v>82622.7</v>
      </c>
      <c r="K1216" s="10">
        <v>-134437.74</v>
      </c>
      <c r="L1216" s="10">
        <v>29869.51</v>
      </c>
      <c r="M1216" s="10">
        <v>317091.73</v>
      </c>
      <c r="N1216" s="10">
        <v>174612.24</v>
      </c>
      <c r="O1216" s="10">
        <v>124755.99</v>
      </c>
      <c r="P1216" s="10">
        <v>55403.51</v>
      </c>
      <c r="Q1216" s="10">
        <v>20915.28</v>
      </c>
      <c r="R1216" s="10">
        <v>1071328.8999999999</v>
      </c>
    </row>
    <row r="1217" spans="1:18" ht="12.75" x14ac:dyDescent="0.2">
      <c r="A1217" s="9" t="s">
        <v>332</v>
      </c>
      <c r="B1217" s="9" t="s">
        <v>239</v>
      </c>
      <c r="C1217" s="9" t="s">
        <v>310</v>
      </c>
      <c r="D1217" s="9" t="s">
        <v>96</v>
      </c>
      <c r="E1217" s="9" t="s">
        <v>278</v>
      </c>
      <c r="F1217" s="9" t="s">
        <v>334</v>
      </c>
      <c r="G1217" s="9" t="s">
        <v>310</v>
      </c>
      <c r="H1217" s="10">
        <v>49868.49</v>
      </c>
      <c r="I1217" s="10">
        <v>350627.19</v>
      </c>
      <c r="J1217" s="10">
        <v>82622.7</v>
      </c>
      <c r="K1217" s="10">
        <v>-134437.74</v>
      </c>
      <c r="L1217" s="10">
        <v>29869.51</v>
      </c>
      <c r="M1217" s="10">
        <v>317091.73</v>
      </c>
      <c r="N1217" s="10">
        <v>174612.24</v>
      </c>
      <c r="O1217" s="10">
        <v>124755.99</v>
      </c>
      <c r="P1217" s="10">
        <v>55403.51</v>
      </c>
      <c r="Q1217" s="10">
        <v>20915.28</v>
      </c>
      <c r="R1217" s="10">
        <v>1071328.8999999999</v>
      </c>
    </row>
    <row r="1218" spans="1:18" ht="12.75" x14ac:dyDescent="0.2">
      <c r="A1218" s="9" t="s">
        <v>332</v>
      </c>
      <c r="B1218" s="9" t="s">
        <v>239</v>
      </c>
      <c r="C1218" s="9" t="s">
        <v>310</v>
      </c>
      <c r="D1218" s="9" t="s">
        <v>96</v>
      </c>
      <c r="E1218" s="9" t="s">
        <v>279</v>
      </c>
      <c r="F1218" s="9" t="s">
        <v>334</v>
      </c>
      <c r="G1218" s="9" t="s">
        <v>310</v>
      </c>
      <c r="H1218" s="10">
        <v>49868.49</v>
      </c>
      <c r="I1218" s="10">
        <v>350627.19</v>
      </c>
      <c r="J1218" s="10">
        <v>82622.7</v>
      </c>
      <c r="K1218" s="10">
        <v>-134437.74</v>
      </c>
      <c r="L1218" s="10">
        <v>29869.51</v>
      </c>
      <c r="M1218" s="10">
        <v>317091.73</v>
      </c>
      <c r="N1218" s="10">
        <v>174612.24</v>
      </c>
      <c r="O1218" s="10">
        <v>124755.99</v>
      </c>
      <c r="P1218" s="10">
        <v>55403.51</v>
      </c>
      <c r="Q1218" s="10">
        <v>20915.28</v>
      </c>
      <c r="R1218" s="10">
        <v>1071328.8999999999</v>
      </c>
    </row>
    <row r="1219" spans="1:18" ht="12.75" x14ac:dyDescent="0.2">
      <c r="A1219" s="9" t="s">
        <v>332</v>
      </c>
      <c r="B1219" s="9" t="s">
        <v>239</v>
      </c>
      <c r="C1219" s="9" t="s">
        <v>310</v>
      </c>
      <c r="D1219" s="9" t="s">
        <v>96</v>
      </c>
      <c r="E1219" s="9" t="s">
        <v>280</v>
      </c>
      <c r="F1219" s="9" t="s">
        <v>334</v>
      </c>
      <c r="G1219" s="9" t="s">
        <v>310</v>
      </c>
      <c r="H1219" s="10">
        <v>49868.49</v>
      </c>
      <c r="I1219" s="10">
        <v>350627.19</v>
      </c>
      <c r="J1219" s="10">
        <v>82622.7</v>
      </c>
      <c r="K1219" s="10">
        <v>-134437.74</v>
      </c>
      <c r="L1219" s="10">
        <v>29869.51</v>
      </c>
      <c r="M1219" s="10">
        <v>317091.73</v>
      </c>
      <c r="N1219" s="10">
        <v>174612.24</v>
      </c>
      <c r="O1219" s="10">
        <v>124755.99</v>
      </c>
      <c r="P1219" s="10">
        <v>55403.51</v>
      </c>
      <c r="Q1219" s="10">
        <v>20915.28</v>
      </c>
      <c r="R1219" s="10">
        <v>1071328.8999999999</v>
      </c>
    </row>
    <row r="1220" spans="1:18" ht="12.75" x14ac:dyDescent="0.2">
      <c r="A1220" s="9" t="s">
        <v>332</v>
      </c>
      <c r="B1220" s="9" t="s">
        <v>239</v>
      </c>
      <c r="C1220" s="9" t="s">
        <v>310</v>
      </c>
      <c r="D1220" s="9" t="s">
        <v>96</v>
      </c>
      <c r="E1220" s="9" t="s">
        <v>281</v>
      </c>
      <c r="F1220" s="9" t="s">
        <v>334</v>
      </c>
      <c r="G1220" s="9" t="s">
        <v>310</v>
      </c>
      <c r="H1220" s="10">
        <v>49868.49</v>
      </c>
      <c r="I1220" s="10">
        <v>350627.19</v>
      </c>
      <c r="J1220" s="10">
        <v>82622.7</v>
      </c>
      <c r="K1220" s="10">
        <v>-134437.74</v>
      </c>
      <c r="L1220" s="10">
        <v>29869.51</v>
      </c>
      <c r="M1220" s="10">
        <v>317091.73</v>
      </c>
      <c r="N1220" s="10">
        <v>174612.24</v>
      </c>
      <c r="O1220" s="10">
        <v>124755.99</v>
      </c>
      <c r="P1220" s="10">
        <v>55403.51</v>
      </c>
      <c r="Q1220" s="10">
        <v>20915.28</v>
      </c>
      <c r="R1220" s="10">
        <v>1071328.8999999999</v>
      </c>
    </row>
    <row r="1221" spans="1:18" ht="12.75" x14ac:dyDescent="0.2">
      <c r="A1221" s="9" t="s">
        <v>332</v>
      </c>
      <c r="B1221" s="9" t="s">
        <v>239</v>
      </c>
      <c r="C1221" s="9" t="s">
        <v>310</v>
      </c>
      <c r="D1221" s="9" t="s">
        <v>96</v>
      </c>
      <c r="E1221" s="9" t="s">
        <v>282</v>
      </c>
      <c r="F1221" s="9" t="s">
        <v>334</v>
      </c>
      <c r="G1221" s="9" t="s">
        <v>310</v>
      </c>
      <c r="H1221" s="10">
        <v>49868.49</v>
      </c>
      <c r="I1221" s="10">
        <v>350627.19</v>
      </c>
      <c r="J1221" s="10">
        <v>82622.7</v>
      </c>
      <c r="K1221" s="10">
        <v>-134437.74</v>
      </c>
      <c r="L1221" s="10">
        <v>29869.51</v>
      </c>
      <c r="M1221" s="10">
        <v>317091.73</v>
      </c>
      <c r="N1221" s="10">
        <v>174612.24</v>
      </c>
      <c r="O1221" s="10">
        <v>124755.99</v>
      </c>
      <c r="P1221" s="10">
        <v>55403.51</v>
      </c>
      <c r="Q1221" s="10">
        <v>20915.28</v>
      </c>
      <c r="R1221" s="10">
        <v>1071328.8999999999</v>
      </c>
    </row>
    <row r="1222" spans="1:18" ht="12.75" x14ac:dyDescent="0.2">
      <c r="A1222" s="9" t="s">
        <v>332</v>
      </c>
      <c r="B1222" s="9" t="s">
        <v>239</v>
      </c>
      <c r="C1222" s="9" t="s">
        <v>310</v>
      </c>
      <c r="D1222" s="9" t="s">
        <v>96</v>
      </c>
      <c r="E1222" s="9" t="s">
        <v>283</v>
      </c>
      <c r="F1222" s="9" t="s">
        <v>334</v>
      </c>
      <c r="G1222" s="9" t="s">
        <v>310</v>
      </c>
      <c r="H1222" s="10">
        <v>49868.49</v>
      </c>
      <c r="I1222" s="10">
        <v>350627.19</v>
      </c>
      <c r="J1222" s="10">
        <v>82622.7</v>
      </c>
      <c r="K1222" s="10">
        <v>-134437.74</v>
      </c>
      <c r="L1222" s="10">
        <v>29869.51</v>
      </c>
      <c r="M1222" s="10">
        <v>317091.73</v>
      </c>
      <c r="N1222" s="10">
        <v>174612.24</v>
      </c>
      <c r="O1222" s="10">
        <v>124755.99</v>
      </c>
      <c r="P1222" s="10">
        <v>55403.51</v>
      </c>
      <c r="Q1222" s="10">
        <v>20915.28</v>
      </c>
      <c r="R1222" s="10">
        <v>1071328.8999999999</v>
      </c>
    </row>
    <row r="1223" spans="1:18" ht="12.75" x14ac:dyDescent="0.2">
      <c r="A1223" s="9" t="s">
        <v>332</v>
      </c>
      <c r="B1223" s="9" t="s">
        <v>239</v>
      </c>
      <c r="C1223" s="9" t="s">
        <v>310</v>
      </c>
      <c r="D1223" s="9" t="s">
        <v>96</v>
      </c>
      <c r="E1223" s="9" t="s">
        <v>284</v>
      </c>
      <c r="F1223" s="9" t="s">
        <v>334</v>
      </c>
      <c r="G1223" s="9" t="s">
        <v>310</v>
      </c>
      <c r="H1223" s="10">
        <v>49868.49</v>
      </c>
      <c r="I1223" s="10">
        <v>350627.19</v>
      </c>
      <c r="J1223" s="10">
        <v>82622.7</v>
      </c>
      <c r="K1223" s="10">
        <v>-134437.74</v>
      </c>
      <c r="L1223" s="10">
        <v>29869.51</v>
      </c>
      <c r="M1223" s="10">
        <v>317091.73</v>
      </c>
      <c r="N1223" s="10">
        <v>174612.24</v>
      </c>
      <c r="O1223" s="10">
        <v>124755.99</v>
      </c>
      <c r="P1223" s="10">
        <v>55403.51</v>
      </c>
      <c r="Q1223" s="10">
        <v>20915.28</v>
      </c>
      <c r="R1223" s="10">
        <v>1071328.8999999999</v>
      </c>
    </row>
    <row r="1224" spans="1:18" ht="12.75" x14ac:dyDescent="0.2">
      <c r="A1224" s="9" t="s">
        <v>332</v>
      </c>
      <c r="B1224" s="9" t="s">
        <v>239</v>
      </c>
      <c r="C1224" s="9" t="s">
        <v>310</v>
      </c>
      <c r="D1224" s="9" t="s">
        <v>96</v>
      </c>
      <c r="E1224" s="9" t="s">
        <v>285</v>
      </c>
      <c r="F1224" s="9" t="s">
        <v>334</v>
      </c>
      <c r="G1224" s="9" t="s">
        <v>310</v>
      </c>
      <c r="H1224" s="10">
        <v>49868.49</v>
      </c>
      <c r="I1224" s="10">
        <v>350627.19</v>
      </c>
      <c r="J1224" s="10">
        <v>82622.7</v>
      </c>
      <c r="K1224" s="10">
        <v>-134437.74</v>
      </c>
      <c r="L1224" s="10">
        <v>29869.51</v>
      </c>
      <c r="M1224" s="10">
        <v>317091.73</v>
      </c>
      <c r="N1224" s="10">
        <v>174612.24</v>
      </c>
      <c r="O1224" s="10">
        <v>124755.99</v>
      </c>
      <c r="P1224" s="10">
        <v>55403.51</v>
      </c>
      <c r="Q1224" s="10">
        <v>20915.28</v>
      </c>
      <c r="R1224" s="10">
        <v>1071328.8999999999</v>
      </c>
    </row>
    <row r="1225" spans="1:18" ht="12.75" x14ac:dyDescent="0.2">
      <c r="A1225" s="9" t="s">
        <v>332</v>
      </c>
      <c r="B1225" s="9" t="s">
        <v>239</v>
      </c>
      <c r="C1225" s="9" t="s">
        <v>310</v>
      </c>
      <c r="D1225" s="9" t="s">
        <v>96</v>
      </c>
      <c r="E1225" s="9" t="s">
        <v>286</v>
      </c>
      <c r="F1225" s="9" t="s">
        <v>334</v>
      </c>
      <c r="G1225" s="9" t="s">
        <v>310</v>
      </c>
      <c r="H1225" s="10">
        <v>49868.49</v>
      </c>
      <c r="I1225" s="10">
        <v>350627.19</v>
      </c>
      <c r="J1225" s="10">
        <v>82622.7</v>
      </c>
      <c r="K1225" s="10">
        <v>-134437.74</v>
      </c>
      <c r="L1225" s="10">
        <v>29869.51</v>
      </c>
      <c r="M1225" s="10">
        <v>317091.73</v>
      </c>
      <c r="N1225" s="10">
        <v>174612.24</v>
      </c>
      <c r="O1225" s="10">
        <v>124755.99</v>
      </c>
      <c r="P1225" s="10">
        <v>55403.51</v>
      </c>
      <c r="Q1225" s="10">
        <v>20915.28</v>
      </c>
      <c r="R1225" s="10">
        <v>1071328.8999999999</v>
      </c>
    </row>
    <row r="1226" spans="1:18" ht="12.75" x14ac:dyDescent="0.2">
      <c r="A1226" s="9" t="s">
        <v>332</v>
      </c>
      <c r="B1226" s="9" t="s">
        <v>239</v>
      </c>
      <c r="C1226" s="9" t="s">
        <v>310</v>
      </c>
      <c r="D1226" s="9" t="s">
        <v>112</v>
      </c>
      <c r="E1226" s="9" t="s">
        <v>288</v>
      </c>
      <c r="F1226" s="9" t="s">
        <v>334</v>
      </c>
      <c r="G1226" s="9" t="s">
        <v>310</v>
      </c>
      <c r="H1226" s="10">
        <v>22937.37</v>
      </c>
      <c r="I1226" s="10">
        <v>39311.43</v>
      </c>
      <c r="J1226" s="10">
        <v>69016.960000000006</v>
      </c>
      <c r="K1226" s="10">
        <v>124183.24</v>
      </c>
      <c r="L1226" s="10">
        <v>66856.55</v>
      </c>
      <c r="M1226" s="10">
        <v>-146281.04999999999</v>
      </c>
      <c r="N1226" s="10">
        <v>69103.69</v>
      </c>
      <c r="O1226" s="10">
        <v>0</v>
      </c>
      <c r="P1226" s="10">
        <v>0</v>
      </c>
      <c r="Q1226" s="10">
        <v>0</v>
      </c>
      <c r="R1226" s="10">
        <v>245128.19</v>
      </c>
    </row>
    <row r="1227" spans="1:18" ht="12.75" x14ac:dyDescent="0.2">
      <c r="A1227" s="9" t="s">
        <v>332</v>
      </c>
      <c r="B1227" s="9" t="s">
        <v>239</v>
      </c>
      <c r="C1227" s="9" t="s">
        <v>310</v>
      </c>
      <c r="D1227" s="9" t="s">
        <v>112</v>
      </c>
      <c r="E1227" s="9" t="s">
        <v>289</v>
      </c>
      <c r="F1227" s="9" t="s">
        <v>334</v>
      </c>
      <c r="G1227" s="9" t="s">
        <v>310</v>
      </c>
      <c r="H1227" s="10">
        <v>22937.37</v>
      </c>
      <c r="I1227" s="10">
        <v>39311.43</v>
      </c>
      <c r="J1227" s="10">
        <v>69016.960000000006</v>
      </c>
      <c r="K1227" s="10">
        <v>124183.24</v>
      </c>
      <c r="L1227" s="10">
        <v>66856.55</v>
      </c>
      <c r="M1227" s="10">
        <v>-146281.04999999999</v>
      </c>
      <c r="N1227" s="10">
        <v>69103.69</v>
      </c>
      <c r="O1227" s="10">
        <v>0</v>
      </c>
      <c r="P1227" s="10">
        <v>0</v>
      </c>
      <c r="Q1227" s="10">
        <v>0</v>
      </c>
      <c r="R1227" s="10">
        <v>245128.19</v>
      </c>
    </row>
    <row r="1228" spans="1:18" ht="12.75" x14ac:dyDescent="0.2">
      <c r="A1228" s="9" t="s">
        <v>332</v>
      </c>
      <c r="B1228" s="9" t="s">
        <v>239</v>
      </c>
      <c r="C1228" s="9" t="s">
        <v>310</v>
      </c>
      <c r="D1228" s="9" t="s">
        <v>112</v>
      </c>
      <c r="E1228" s="9" t="s">
        <v>290</v>
      </c>
      <c r="F1228" s="9" t="s">
        <v>334</v>
      </c>
      <c r="G1228" s="9" t="s">
        <v>310</v>
      </c>
      <c r="H1228" s="10">
        <v>22937.37</v>
      </c>
      <c r="I1228" s="10">
        <v>39311.43</v>
      </c>
      <c r="J1228" s="10">
        <v>69016.960000000006</v>
      </c>
      <c r="K1228" s="10">
        <v>124183.24</v>
      </c>
      <c r="L1228" s="10">
        <v>66856.55</v>
      </c>
      <c r="M1228" s="10">
        <v>-146281.04999999999</v>
      </c>
      <c r="N1228" s="10">
        <v>69103.69</v>
      </c>
      <c r="O1228" s="10">
        <v>0</v>
      </c>
      <c r="P1228" s="10">
        <v>0</v>
      </c>
      <c r="Q1228" s="10">
        <v>0</v>
      </c>
      <c r="R1228" s="10">
        <v>245128.19</v>
      </c>
    </row>
    <row r="1229" spans="1:18" ht="12.75" x14ac:dyDescent="0.2">
      <c r="A1229" s="9" t="s">
        <v>332</v>
      </c>
      <c r="B1229" s="9" t="s">
        <v>239</v>
      </c>
      <c r="C1229" s="9" t="s">
        <v>310</v>
      </c>
      <c r="D1229" s="9" t="s">
        <v>112</v>
      </c>
      <c r="E1229" s="9" t="s">
        <v>291</v>
      </c>
      <c r="F1229" s="9" t="s">
        <v>334</v>
      </c>
      <c r="G1229" s="9" t="s">
        <v>310</v>
      </c>
      <c r="H1229" s="10">
        <v>22937.37</v>
      </c>
      <c r="I1229" s="10">
        <v>39311.43</v>
      </c>
      <c r="J1229" s="10">
        <v>69016.960000000006</v>
      </c>
      <c r="K1229" s="10">
        <v>124183.24</v>
      </c>
      <c r="L1229" s="10">
        <v>66856.55</v>
      </c>
      <c r="M1229" s="10">
        <v>-146281.04999999999</v>
      </c>
      <c r="N1229" s="10">
        <v>69103.69</v>
      </c>
      <c r="O1229" s="10">
        <v>0</v>
      </c>
      <c r="P1229" s="10">
        <v>0</v>
      </c>
      <c r="Q1229" s="10">
        <v>0</v>
      </c>
      <c r="R1229" s="10">
        <v>245128.19</v>
      </c>
    </row>
    <row r="1230" spans="1:18" ht="12.75" x14ac:dyDescent="0.2">
      <c r="A1230" s="9" t="s">
        <v>332</v>
      </c>
      <c r="B1230" s="9" t="s">
        <v>239</v>
      </c>
      <c r="C1230" s="9" t="s">
        <v>310</v>
      </c>
      <c r="D1230" s="9" t="s">
        <v>112</v>
      </c>
      <c r="E1230" s="9" t="s">
        <v>292</v>
      </c>
      <c r="F1230" s="9" t="s">
        <v>334</v>
      </c>
      <c r="G1230" s="9" t="s">
        <v>310</v>
      </c>
      <c r="H1230" s="10">
        <v>22937.37</v>
      </c>
      <c r="I1230" s="10">
        <v>39311.43</v>
      </c>
      <c r="J1230" s="10">
        <v>69016.960000000006</v>
      </c>
      <c r="K1230" s="10">
        <v>124183.24</v>
      </c>
      <c r="L1230" s="10">
        <v>66856.55</v>
      </c>
      <c r="M1230" s="10">
        <v>-146281.04999999999</v>
      </c>
      <c r="N1230" s="10">
        <v>69103.69</v>
      </c>
      <c r="O1230" s="10">
        <v>0</v>
      </c>
      <c r="P1230" s="10">
        <v>0</v>
      </c>
      <c r="Q1230" s="10">
        <v>0</v>
      </c>
      <c r="R1230" s="10">
        <v>245128.19</v>
      </c>
    </row>
    <row r="1231" spans="1:18" ht="12.75" x14ac:dyDescent="0.2">
      <c r="A1231" s="9" t="s">
        <v>332</v>
      </c>
      <c r="B1231" s="9" t="s">
        <v>239</v>
      </c>
      <c r="C1231" s="9" t="s">
        <v>310</v>
      </c>
      <c r="D1231" s="9" t="s">
        <v>112</v>
      </c>
      <c r="E1231" s="9" t="s">
        <v>293</v>
      </c>
      <c r="F1231" s="9" t="s">
        <v>334</v>
      </c>
      <c r="G1231" s="9" t="s">
        <v>310</v>
      </c>
      <c r="H1231" s="10">
        <v>22937.37</v>
      </c>
      <c r="I1231" s="10">
        <v>39311.43</v>
      </c>
      <c r="J1231" s="10">
        <v>69016.960000000006</v>
      </c>
      <c r="K1231" s="10">
        <v>124183.24</v>
      </c>
      <c r="L1231" s="10">
        <v>66856.55</v>
      </c>
      <c r="M1231" s="10">
        <v>-146281.04999999999</v>
      </c>
      <c r="N1231" s="10">
        <v>69103.69</v>
      </c>
      <c r="O1231" s="10">
        <v>0</v>
      </c>
      <c r="P1231" s="10">
        <v>0</v>
      </c>
      <c r="Q1231" s="10">
        <v>0</v>
      </c>
      <c r="R1231" s="10">
        <v>245128.19</v>
      </c>
    </row>
    <row r="1232" spans="1:18" ht="12.75" x14ac:dyDescent="0.2">
      <c r="A1232" s="9" t="s">
        <v>332</v>
      </c>
      <c r="B1232" s="9" t="s">
        <v>239</v>
      </c>
      <c r="C1232" s="9" t="s">
        <v>310</v>
      </c>
      <c r="D1232" s="9" t="s">
        <v>112</v>
      </c>
      <c r="E1232" s="9" t="s">
        <v>294</v>
      </c>
      <c r="F1232" s="9" t="s">
        <v>334</v>
      </c>
      <c r="G1232" s="9" t="s">
        <v>310</v>
      </c>
      <c r="H1232" s="10">
        <v>22937.37</v>
      </c>
      <c r="I1232" s="10">
        <v>39311.43</v>
      </c>
      <c r="J1232" s="10">
        <v>69016.960000000006</v>
      </c>
      <c r="K1232" s="10">
        <v>124183.24</v>
      </c>
      <c r="L1232" s="10">
        <v>66856.55</v>
      </c>
      <c r="M1232" s="10">
        <v>-146281.04999999999</v>
      </c>
      <c r="N1232" s="10">
        <v>69103.69</v>
      </c>
      <c r="O1232" s="10">
        <v>0</v>
      </c>
      <c r="P1232" s="10">
        <v>0</v>
      </c>
      <c r="Q1232" s="10">
        <v>0</v>
      </c>
      <c r="R1232" s="10">
        <v>245128.19</v>
      </c>
    </row>
    <row r="1233" spans="1:18" ht="12.75" x14ac:dyDescent="0.2">
      <c r="A1233" s="9" t="s">
        <v>332</v>
      </c>
      <c r="B1233" s="9" t="s">
        <v>239</v>
      </c>
      <c r="C1233" s="9" t="s">
        <v>310</v>
      </c>
      <c r="D1233" s="9" t="s">
        <v>112</v>
      </c>
      <c r="E1233" s="9" t="s">
        <v>295</v>
      </c>
      <c r="F1233" s="9" t="s">
        <v>334</v>
      </c>
      <c r="G1233" s="9" t="s">
        <v>310</v>
      </c>
      <c r="H1233" s="10">
        <v>22937.37</v>
      </c>
      <c r="I1233" s="10">
        <v>39311.43</v>
      </c>
      <c r="J1233" s="10">
        <v>69016.960000000006</v>
      </c>
      <c r="K1233" s="10">
        <v>124183.24</v>
      </c>
      <c r="L1233" s="10">
        <v>66856.55</v>
      </c>
      <c r="M1233" s="10">
        <v>-146281.04999999999</v>
      </c>
      <c r="N1233" s="10">
        <v>69103.69</v>
      </c>
      <c r="O1233" s="10">
        <v>0</v>
      </c>
      <c r="P1233" s="10">
        <v>0</v>
      </c>
      <c r="Q1233" s="10">
        <v>0</v>
      </c>
      <c r="R1233" s="10">
        <v>245128.19</v>
      </c>
    </row>
    <row r="1234" spans="1:18" ht="12.75" x14ac:dyDescent="0.2">
      <c r="A1234" s="9" t="s">
        <v>332</v>
      </c>
      <c r="B1234" s="9" t="s">
        <v>239</v>
      </c>
      <c r="C1234" s="9" t="s">
        <v>310</v>
      </c>
      <c r="D1234" s="9" t="s">
        <v>112</v>
      </c>
      <c r="E1234" s="9" t="s">
        <v>296</v>
      </c>
      <c r="F1234" s="9" t="s">
        <v>334</v>
      </c>
      <c r="G1234" s="9" t="s">
        <v>310</v>
      </c>
      <c r="H1234" s="10">
        <v>22937.37</v>
      </c>
      <c r="I1234" s="10">
        <v>39311.43</v>
      </c>
      <c r="J1234" s="10">
        <v>69016.960000000006</v>
      </c>
      <c r="K1234" s="10">
        <v>124183.24</v>
      </c>
      <c r="L1234" s="10">
        <v>66856.55</v>
      </c>
      <c r="M1234" s="10">
        <v>-146281.04999999999</v>
      </c>
      <c r="N1234" s="10">
        <v>69103.69</v>
      </c>
      <c r="O1234" s="10">
        <v>0</v>
      </c>
      <c r="P1234" s="10">
        <v>0</v>
      </c>
      <c r="Q1234" s="10">
        <v>0</v>
      </c>
      <c r="R1234" s="10">
        <v>245128.19</v>
      </c>
    </row>
    <row r="1235" spans="1:18" ht="12.75" x14ac:dyDescent="0.2">
      <c r="A1235" s="9" t="s">
        <v>332</v>
      </c>
      <c r="B1235" s="9" t="s">
        <v>239</v>
      </c>
      <c r="C1235" s="9" t="s">
        <v>310</v>
      </c>
      <c r="D1235" s="9" t="s">
        <v>112</v>
      </c>
      <c r="E1235" s="9" t="s">
        <v>297</v>
      </c>
      <c r="F1235" s="9" t="s">
        <v>334</v>
      </c>
      <c r="G1235" s="9" t="s">
        <v>310</v>
      </c>
      <c r="H1235" s="10">
        <v>22937.37</v>
      </c>
      <c r="I1235" s="10">
        <v>39311.43</v>
      </c>
      <c r="J1235" s="10">
        <v>69016.960000000006</v>
      </c>
      <c r="K1235" s="10">
        <v>124183.24</v>
      </c>
      <c r="L1235" s="10">
        <v>66856.55</v>
      </c>
      <c r="M1235" s="10">
        <v>-146281.04999999999</v>
      </c>
      <c r="N1235" s="10">
        <v>69103.69</v>
      </c>
      <c r="O1235" s="10">
        <v>0</v>
      </c>
      <c r="P1235" s="10">
        <v>0</v>
      </c>
      <c r="Q1235" s="10">
        <v>0</v>
      </c>
      <c r="R1235" s="10">
        <v>245128.19</v>
      </c>
    </row>
    <row r="1236" spans="1:18" ht="12.75" x14ac:dyDescent="0.2">
      <c r="A1236" s="9" t="s">
        <v>332</v>
      </c>
      <c r="B1236" s="9" t="s">
        <v>239</v>
      </c>
      <c r="C1236" s="9" t="s">
        <v>310</v>
      </c>
      <c r="D1236" s="9" t="s">
        <v>112</v>
      </c>
      <c r="E1236" s="9" t="s">
        <v>298</v>
      </c>
      <c r="F1236" s="9" t="s">
        <v>334</v>
      </c>
      <c r="G1236" s="9" t="s">
        <v>310</v>
      </c>
      <c r="H1236" s="10">
        <v>22937.37</v>
      </c>
      <c r="I1236" s="10">
        <v>39311.43</v>
      </c>
      <c r="J1236" s="10">
        <v>69016.960000000006</v>
      </c>
      <c r="K1236" s="10">
        <v>124183.24</v>
      </c>
      <c r="L1236" s="10">
        <v>66856.55</v>
      </c>
      <c r="M1236" s="10">
        <v>-146281.04999999999</v>
      </c>
      <c r="N1236" s="10">
        <v>69103.69</v>
      </c>
      <c r="O1236" s="10">
        <v>0</v>
      </c>
      <c r="P1236" s="10">
        <v>0</v>
      </c>
      <c r="Q1236" s="10">
        <v>0</v>
      </c>
      <c r="R1236" s="10">
        <v>245128.19</v>
      </c>
    </row>
    <row r="1237" spans="1:18" ht="12.75" x14ac:dyDescent="0.2">
      <c r="A1237" s="9" t="s">
        <v>335</v>
      </c>
      <c r="B1237" s="9" t="s">
        <v>239</v>
      </c>
      <c r="C1237" s="9" t="s">
        <v>310</v>
      </c>
      <c r="D1237" s="9" t="s">
        <v>112</v>
      </c>
      <c r="E1237" s="9" t="s">
        <v>299</v>
      </c>
      <c r="F1237" s="9" t="s">
        <v>334</v>
      </c>
      <c r="G1237" s="9" t="s">
        <v>310</v>
      </c>
      <c r="H1237" s="10">
        <v>0</v>
      </c>
      <c r="I1237" s="10">
        <v>0</v>
      </c>
      <c r="J1237" s="10">
        <v>0</v>
      </c>
      <c r="K1237" s="10">
        <v>0</v>
      </c>
      <c r="L1237" s="10">
        <v>612098.36</v>
      </c>
      <c r="M1237" s="10">
        <v>1634754.85</v>
      </c>
      <c r="N1237" s="10">
        <v>571171.9</v>
      </c>
      <c r="O1237" s="10">
        <v>1270689.78</v>
      </c>
      <c r="P1237" s="10">
        <v>179839.05</v>
      </c>
      <c r="Q1237" s="10">
        <v>0</v>
      </c>
      <c r="R1237" s="10">
        <v>4268553.9400000004</v>
      </c>
    </row>
    <row r="1238" spans="1:18" ht="12.75" x14ac:dyDescent="0.2">
      <c r="A1238" s="9" t="s">
        <v>332</v>
      </c>
      <c r="B1238" s="9" t="s">
        <v>239</v>
      </c>
      <c r="C1238" s="9" t="s">
        <v>310</v>
      </c>
      <c r="D1238" s="9" t="s">
        <v>112</v>
      </c>
      <c r="E1238" s="9" t="s">
        <v>300</v>
      </c>
      <c r="F1238" s="9" t="s">
        <v>334</v>
      </c>
      <c r="G1238" s="9" t="s">
        <v>310</v>
      </c>
      <c r="H1238" s="10">
        <v>22937.37</v>
      </c>
      <c r="I1238" s="10">
        <v>39311.43</v>
      </c>
      <c r="J1238" s="10">
        <v>69016.960000000006</v>
      </c>
      <c r="K1238" s="10">
        <v>124183.24</v>
      </c>
      <c r="L1238" s="10">
        <v>66856.55</v>
      </c>
      <c r="M1238" s="10">
        <v>-146281.04999999999</v>
      </c>
      <c r="N1238" s="10">
        <v>69103.69</v>
      </c>
      <c r="O1238" s="10">
        <v>0</v>
      </c>
      <c r="P1238" s="10">
        <v>0</v>
      </c>
      <c r="Q1238" s="10">
        <v>0</v>
      </c>
      <c r="R1238" s="10">
        <v>245128.19</v>
      </c>
    </row>
    <row r="1239" spans="1:18" ht="12.75" x14ac:dyDescent="0.2">
      <c r="A1239" s="9" t="s">
        <v>332</v>
      </c>
      <c r="B1239" s="9" t="s">
        <v>239</v>
      </c>
      <c r="C1239" s="9" t="s">
        <v>310</v>
      </c>
      <c r="D1239" s="9" t="s">
        <v>112</v>
      </c>
      <c r="E1239" s="9" t="s">
        <v>301</v>
      </c>
      <c r="F1239" s="9" t="s">
        <v>334</v>
      </c>
      <c r="G1239" s="9" t="s">
        <v>310</v>
      </c>
      <c r="H1239" s="10">
        <v>22937.37</v>
      </c>
      <c r="I1239" s="10">
        <v>39311.43</v>
      </c>
      <c r="J1239" s="10">
        <v>69016.960000000006</v>
      </c>
      <c r="K1239" s="10">
        <v>124183.24</v>
      </c>
      <c r="L1239" s="10">
        <v>66856.55</v>
      </c>
      <c r="M1239" s="10">
        <v>-146281.04999999999</v>
      </c>
      <c r="N1239" s="10">
        <v>69103.69</v>
      </c>
      <c r="O1239" s="10">
        <v>0</v>
      </c>
      <c r="P1239" s="10">
        <v>0</v>
      </c>
      <c r="Q1239" s="10">
        <v>0</v>
      </c>
      <c r="R1239" s="10">
        <v>245128.19</v>
      </c>
    </row>
    <row r="1240" spans="1:18" ht="12.75" x14ac:dyDescent="0.2">
      <c r="A1240" s="9" t="s">
        <v>335</v>
      </c>
      <c r="B1240" s="9" t="s">
        <v>239</v>
      </c>
      <c r="C1240" s="9" t="s">
        <v>310</v>
      </c>
      <c r="D1240" s="9" t="s">
        <v>112</v>
      </c>
      <c r="E1240" s="9" t="s">
        <v>302</v>
      </c>
      <c r="F1240" s="9" t="s">
        <v>334</v>
      </c>
      <c r="G1240" s="9" t="s">
        <v>310</v>
      </c>
      <c r="H1240" s="10">
        <v>0</v>
      </c>
      <c r="I1240" s="10">
        <v>0</v>
      </c>
      <c r="J1240" s="10">
        <v>0</v>
      </c>
      <c r="K1240" s="10">
        <v>0</v>
      </c>
      <c r="L1240" s="10">
        <v>612098.36</v>
      </c>
      <c r="M1240" s="10">
        <v>1634754.85</v>
      </c>
      <c r="N1240" s="10">
        <v>571171.9</v>
      </c>
      <c r="O1240" s="10">
        <v>1270689.78</v>
      </c>
      <c r="P1240" s="10">
        <v>179839.05</v>
      </c>
      <c r="Q1240" s="10">
        <v>0</v>
      </c>
      <c r="R1240" s="10">
        <v>4268553.9400000004</v>
      </c>
    </row>
    <row r="1241" spans="1:18" ht="12.75" x14ac:dyDescent="0.2">
      <c r="A1241" s="9" t="s">
        <v>332</v>
      </c>
      <c r="B1241" s="9" t="s">
        <v>239</v>
      </c>
      <c r="C1241" s="9" t="s">
        <v>310</v>
      </c>
      <c r="D1241" s="9" t="s">
        <v>74</v>
      </c>
      <c r="E1241" s="9" t="s">
        <v>303</v>
      </c>
      <c r="F1241" s="9" t="s">
        <v>334</v>
      </c>
      <c r="G1241" s="9" t="s">
        <v>310</v>
      </c>
      <c r="H1241" s="10">
        <v>492314.56</v>
      </c>
      <c r="I1241" s="10">
        <v>-132176.6</v>
      </c>
      <c r="J1241" s="10">
        <v>360397.39</v>
      </c>
      <c r="K1241" s="10">
        <v>208745.27</v>
      </c>
      <c r="L1241" s="10">
        <v>647279.56000000006</v>
      </c>
      <c r="M1241" s="10">
        <v>440040.32</v>
      </c>
      <c r="N1241" s="10">
        <v>-261379.63</v>
      </c>
      <c r="O1241" s="10">
        <v>-422680.26</v>
      </c>
      <c r="P1241" s="10">
        <v>-91373.06</v>
      </c>
      <c r="Q1241" s="10">
        <v>-956840.87</v>
      </c>
      <c r="R1241" s="10">
        <v>284326.68</v>
      </c>
    </row>
    <row r="1242" spans="1:18" ht="12.75" x14ac:dyDescent="0.2">
      <c r="A1242" s="9" t="s">
        <v>335</v>
      </c>
      <c r="B1242" s="9" t="s">
        <v>239</v>
      </c>
      <c r="C1242" s="9" t="s">
        <v>310</v>
      </c>
      <c r="D1242" s="9" t="s">
        <v>74</v>
      </c>
      <c r="E1242" s="9" t="s">
        <v>303</v>
      </c>
      <c r="F1242" s="9" t="s">
        <v>334</v>
      </c>
      <c r="G1242" s="9" t="s">
        <v>310</v>
      </c>
      <c r="H1242" s="10">
        <v>0</v>
      </c>
      <c r="I1242" s="10">
        <v>0</v>
      </c>
      <c r="J1242" s="10">
        <v>0</v>
      </c>
      <c r="K1242" s="10">
        <v>0</v>
      </c>
      <c r="L1242" s="10">
        <v>345000.89</v>
      </c>
      <c r="M1242" s="10">
        <v>122328.59</v>
      </c>
      <c r="N1242" s="10">
        <v>22181.43</v>
      </c>
      <c r="O1242" s="10">
        <v>167224.98000000001</v>
      </c>
      <c r="P1242" s="10">
        <v>130792.04</v>
      </c>
      <c r="Q1242" s="10">
        <v>10758.89</v>
      </c>
      <c r="R1242" s="10">
        <v>798286.82</v>
      </c>
    </row>
    <row r="1243" spans="1:18" ht="12.75" x14ac:dyDescent="0.2">
      <c r="A1243" s="9" t="s">
        <v>335</v>
      </c>
      <c r="B1243" s="9" t="s">
        <v>239</v>
      </c>
      <c r="C1243" s="9" t="s">
        <v>310</v>
      </c>
      <c r="D1243" s="9" t="s">
        <v>74</v>
      </c>
      <c r="E1243" s="9" t="s">
        <v>248</v>
      </c>
      <c r="F1243" s="9" t="s">
        <v>334</v>
      </c>
      <c r="G1243" s="9" t="s">
        <v>310</v>
      </c>
      <c r="H1243" s="10">
        <v>0</v>
      </c>
      <c r="I1243" s="10">
        <v>0</v>
      </c>
      <c r="J1243" s="10">
        <v>0</v>
      </c>
      <c r="K1243" s="10">
        <v>0</v>
      </c>
      <c r="L1243" s="10">
        <v>345000.89</v>
      </c>
      <c r="M1243" s="10">
        <v>122328.59</v>
      </c>
      <c r="N1243" s="10">
        <v>22181.43</v>
      </c>
      <c r="O1243" s="10">
        <v>167224.98000000001</v>
      </c>
      <c r="P1243" s="10">
        <v>130792.04</v>
      </c>
      <c r="Q1243" s="10">
        <v>10758.89</v>
      </c>
      <c r="R1243" s="10">
        <v>798286.82</v>
      </c>
    </row>
    <row r="1244" spans="1:18" ht="12.75" x14ac:dyDescent="0.2">
      <c r="A1244" s="9" t="s">
        <v>335</v>
      </c>
      <c r="B1244" s="9" t="s">
        <v>239</v>
      </c>
      <c r="C1244" s="9" t="s">
        <v>310</v>
      </c>
      <c r="D1244" s="9" t="s">
        <v>74</v>
      </c>
      <c r="E1244" s="9" t="s">
        <v>249</v>
      </c>
      <c r="F1244" s="9" t="s">
        <v>334</v>
      </c>
      <c r="G1244" s="9" t="s">
        <v>310</v>
      </c>
      <c r="H1244" s="10">
        <v>0</v>
      </c>
      <c r="I1244" s="10">
        <v>0</v>
      </c>
      <c r="J1244" s="10">
        <v>0</v>
      </c>
      <c r="K1244" s="10">
        <v>0</v>
      </c>
      <c r="L1244" s="10">
        <v>345000.89</v>
      </c>
      <c r="M1244" s="10">
        <v>122328.59</v>
      </c>
      <c r="N1244" s="10">
        <v>22181.43</v>
      </c>
      <c r="O1244" s="10">
        <v>167224.98000000001</v>
      </c>
      <c r="P1244" s="10">
        <v>130792.04</v>
      </c>
      <c r="Q1244" s="10">
        <v>10758.89</v>
      </c>
      <c r="R1244" s="10">
        <v>798286.82</v>
      </c>
    </row>
    <row r="1245" spans="1:18" ht="12.75" x14ac:dyDescent="0.2">
      <c r="A1245" s="9" t="s">
        <v>335</v>
      </c>
      <c r="B1245" s="9" t="s">
        <v>239</v>
      </c>
      <c r="C1245" s="9" t="s">
        <v>310</v>
      </c>
      <c r="D1245" s="9" t="s">
        <v>52</v>
      </c>
      <c r="E1245" s="9" t="s">
        <v>253</v>
      </c>
      <c r="F1245" s="9" t="s">
        <v>334</v>
      </c>
      <c r="G1245" s="9" t="s">
        <v>310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9">
        <v>0</v>
      </c>
    </row>
    <row r="1246" spans="1:18" ht="12.75" x14ac:dyDescent="0.2">
      <c r="A1246" s="9" t="s">
        <v>335</v>
      </c>
      <c r="B1246" s="9" t="s">
        <v>239</v>
      </c>
      <c r="C1246" s="9" t="s">
        <v>310</v>
      </c>
      <c r="D1246" s="9" t="s">
        <v>52</v>
      </c>
      <c r="E1246" s="9" t="s">
        <v>267</v>
      </c>
      <c r="F1246" s="9" t="s">
        <v>334</v>
      </c>
      <c r="G1246" s="9" t="s">
        <v>310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9">
        <v>0</v>
      </c>
    </row>
    <row r="1247" spans="1:18" ht="12.75" x14ac:dyDescent="0.2">
      <c r="A1247" s="9" t="s">
        <v>335</v>
      </c>
      <c r="B1247" s="9" t="s">
        <v>239</v>
      </c>
      <c r="C1247" s="9" t="s">
        <v>310</v>
      </c>
      <c r="D1247" s="9" t="s">
        <v>52</v>
      </c>
      <c r="E1247" s="9" t="s">
        <v>268</v>
      </c>
      <c r="F1247" s="9" t="s">
        <v>334</v>
      </c>
      <c r="G1247" s="9" t="s">
        <v>310</v>
      </c>
      <c r="H1247" s="10">
        <v>0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9">
        <v>0</v>
      </c>
    </row>
    <row r="1248" spans="1:18" ht="12.75" x14ac:dyDescent="0.2">
      <c r="A1248" s="9" t="s">
        <v>332</v>
      </c>
      <c r="B1248" s="9" t="s">
        <v>239</v>
      </c>
      <c r="C1248" s="9" t="s">
        <v>310</v>
      </c>
      <c r="D1248" s="9" t="s">
        <v>52</v>
      </c>
      <c r="E1248" s="9" t="s">
        <v>304</v>
      </c>
      <c r="F1248" s="9" t="s">
        <v>334</v>
      </c>
      <c r="G1248" s="9" t="s">
        <v>310</v>
      </c>
      <c r="H1248" s="10">
        <v>361588.14</v>
      </c>
      <c r="I1248" s="10">
        <v>462033.04</v>
      </c>
      <c r="J1248" s="10">
        <v>473459.54</v>
      </c>
      <c r="K1248" s="10">
        <v>346177.6</v>
      </c>
      <c r="L1248" s="10">
        <v>337187.96</v>
      </c>
      <c r="M1248" s="10">
        <v>252478.48</v>
      </c>
      <c r="N1248" s="10">
        <v>1366.92</v>
      </c>
      <c r="O1248" s="10">
        <v>129925.22</v>
      </c>
      <c r="P1248" s="10">
        <v>234884.01</v>
      </c>
      <c r="Q1248" s="10">
        <v>418795.66</v>
      </c>
      <c r="R1248" s="10">
        <v>3017896.57</v>
      </c>
    </row>
    <row r="1249" spans="1:18" ht="12.75" x14ac:dyDescent="0.2">
      <c r="A1249" s="9" t="s">
        <v>332</v>
      </c>
      <c r="B1249" s="9" t="s">
        <v>239</v>
      </c>
      <c r="C1249" s="9" t="s">
        <v>310</v>
      </c>
      <c r="D1249" s="9" t="s">
        <v>52</v>
      </c>
      <c r="E1249" s="9" t="s">
        <v>305</v>
      </c>
      <c r="F1249" s="9" t="s">
        <v>334</v>
      </c>
      <c r="G1249" s="9" t="s">
        <v>310</v>
      </c>
      <c r="H1249" s="10">
        <v>361588.14</v>
      </c>
      <c r="I1249" s="10">
        <v>462033.04</v>
      </c>
      <c r="J1249" s="10">
        <v>473459.54</v>
      </c>
      <c r="K1249" s="10">
        <v>346177.6</v>
      </c>
      <c r="L1249" s="10">
        <v>337187.96</v>
      </c>
      <c r="M1249" s="10">
        <v>252478.48</v>
      </c>
      <c r="N1249" s="10">
        <v>1366.92</v>
      </c>
      <c r="O1249" s="10">
        <v>129925.22</v>
      </c>
      <c r="P1249" s="10">
        <v>234884.01</v>
      </c>
      <c r="Q1249" s="10">
        <v>418795.66</v>
      </c>
      <c r="R1249" s="10">
        <v>3017896.57</v>
      </c>
    </row>
    <row r="1250" spans="1:18" ht="12.75" x14ac:dyDescent="0.2">
      <c r="A1250" s="9" t="s">
        <v>335</v>
      </c>
      <c r="B1250" s="9" t="s">
        <v>239</v>
      </c>
      <c r="C1250" s="9" t="s">
        <v>310</v>
      </c>
      <c r="D1250" s="9" t="s">
        <v>87</v>
      </c>
      <c r="E1250" s="9" t="s">
        <v>270</v>
      </c>
      <c r="F1250" s="9" t="s">
        <v>334</v>
      </c>
      <c r="G1250" s="9" t="s">
        <v>310</v>
      </c>
      <c r="H1250" s="10">
        <v>75306.100000000006</v>
      </c>
      <c r="I1250" s="10">
        <v>136581.87</v>
      </c>
      <c r="J1250" s="10">
        <v>83674.11</v>
      </c>
      <c r="K1250" s="10">
        <v>131591.04000000001</v>
      </c>
      <c r="L1250" s="10">
        <v>174726.26</v>
      </c>
      <c r="M1250" s="10">
        <v>276907.45</v>
      </c>
      <c r="N1250" s="10">
        <v>194708.62</v>
      </c>
      <c r="O1250" s="10">
        <v>185887.06</v>
      </c>
      <c r="P1250" s="10">
        <v>299186.78000000003</v>
      </c>
      <c r="Q1250" s="10">
        <v>79077.820000000007</v>
      </c>
      <c r="R1250" s="10">
        <v>1637647.11</v>
      </c>
    </row>
    <row r="1251" spans="1:18" ht="12.75" x14ac:dyDescent="0.2">
      <c r="A1251" s="9" t="s">
        <v>335</v>
      </c>
      <c r="B1251" s="9" t="s">
        <v>239</v>
      </c>
      <c r="C1251" s="9" t="s">
        <v>310</v>
      </c>
      <c r="D1251" s="9" t="s">
        <v>87</v>
      </c>
      <c r="E1251" s="9" t="s">
        <v>273</v>
      </c>
      <c r="F1251" s="9" t="s">
        <v>334</v>
      </c>
      <c r="G1251" s="9" t="s">
        <v>310</v>
      </c>
      <c r="H1251" s="10">
        <v>75306.100000000006</v>
      </c>
      <c r="I1251" s="10">
        <v>136581.87</v>
      </c>
      <c r="J1251" s="10">
        <v>83674.11</v>
      </c>
      <c r="K1251" s="10">
        <v>131591.04000000001</v>
      </c>
      <c r="L1251" s="10">
        <v>174726.26</v>
      </c>
      <c r="M1251" s="10">
        <v>276907.45</v>
      </c>
      <c r="N1251" s="10">
        <v>194708.62</v>
      </c>
      <c r="O1251" s="10">
        <v>185887.06</v>
      </c>
      <c r="P1251" s="10">
        <v>299186.78000000003</v>
      </c>
      <c r="Q1251" s="10">
        <v>79077.820000000007</v>
      </c>
      <c r="R1251" s="10">
        <v>1637647.11</v>
      </c>
    </row>
    <row r="1252" spans="1:18" ht="12.75" x14ac:dyDescent="0.2">
      <c r="A1252" s="9" t="s">
        <v>335</v>
      </c>
      <c r="B1252" s="9" t="s">
        <v>239</v>
      </c>
      <c r="C1252" s="9" t="s">
        <v>310</v>
      </c>
      <c r="D1252" s="9" t="s">
        <v>87</v>
      </c>
      <c r="E1252" s="9" t="s">
        <v>276</v>
      </c>
      <c r="F1252" s="9" t="s">
        <v>334</v>
      </c>
      <c r="G1252" s="9" t="s">
        <v>310</v>
      </c>
      <c r="H1252" s="10">
        <v>75306.100000000006</v>
      </c>
      <c r="I1252" s="10">
        <v>136581.87</v>
      </c>
      <c r="J1252" s="10">
        <v>83674.11</v>
      </c>
      <c r="K1252" s="10">
        <v>131591.04000000001</v>
      </c>
      <c r="L1252" s="10">
        <v>174726.26</v>
      </c>
      <c r="M1252" s="10">
        <v>276907.45</v>
      </c>
      <c r="N1252" s="10">
        <v>194708.62</v>
      </c>
      <c r="O1252" s="10">
        <v>185887.06</v>
      </c>
      <c r="P1252" s="10">
        <v>299186.78000000003</v>
      </c>
      <c r="Q1252" s="10">
        <v>79077.820000000007</v>
      </c>
      <c r="R1252" s="10">
        <v>1637647.11</v>
      </c>
    </row>
    <row r="1253" spans="1:18" ht="12.75" x14ac:dyDescent="0.2">
      <c r="A1253" s="9" t="s">
        <v>335</v>
      </c>
      <c r="B1253" s="9" t="s">
        <v>239</v>
      </c>
      <c r="C1253" s="9" t="s">
        <v>310</v>
      </c>
      <c r="D1253" s="9" t="s">
        <v>87</v>
      </c>
      <c r="E1253" s="9" t="s">
        <v>274</v>
      </c>
      <c r="F1253" s="9" t="s">
        <v>334</v>
      </c>
      <c r="G1253" s="9" t="s">
        <v>310</v>
      </c>
      <c r="H1253" s="10">
        <v>75306.100000000006</v>
      </c>
      <c r="I1253" s="10">
        <v>136581.87</v>
      </c>
      <c r="J1253" s="10">
        <v>83674.11</v>
      </c>
      <c r="K1253" s="10">
        <v>131591.04000000001</v>
      </c>
      <c r="L1253" s="10">
        <v>174726.26</v>
      </c>
      <c r="M1253" s="10">
        <v>276907.45</v>
      </c>
      <c r="N1253" s="10">
        <v>194708.62</v>
      </c>
      <c r="O1253" s="10">
        <v>185887.06</v>
      </c>
      <c r="P1253" s="10">
        <v>299186.78000000003</v>
      </c>
      <c r="Q1253" s="10">
        <v>79077.820000000007</v>
      </c>
      <c r="R1253" s="10">
        <v>1637647.11</v>
      </c>
    </row>
    <row r="1254" spans="1:18" ht="12.75" x14ac:dyDescent="0.2">
      <c r="A1254" s="9" t="s">
        <v>335</v>
      </c>
      <c r="B1254" s="9" t="s">
        <v>239</v>
      </c>
      <c r="C1254" s="9" t="s">
        <v>310</v>
      </c>
      <c r="D1254" s="9" t="s">
        <v>96</v>
      </c>
      <c r="E1254" s="9" t="s">
        <v>286</v>
      </c>
      <c r="F1254" s="9" t="s">
        <v>334</v>
      </c>
      <c r="G1254" s="9" t="s">
        <v>310</v>
      </c>
      <c r="H1254" s="10">
        <v>0</v>
      </c>
      <c r="I1254" s="10">
        <v>0</v>
      </c>
      <c r="J1254" s="10">
        <v>-1772.29</v>
      </c>
      <c r="K1254" s="10">
        <v>47987.62</v>
      </c>
      <c r="L1254" s="10">
        <v>27016.91</v>
      </c>
      <c r="M1254" s="10">
        <v>147716</v>
      </c>
      <c r="N1254" s="10">
        <v>191066.43</v>
      </c>
      <c r="O1254" s="10">
        <v>237939.14</v>
      </c>
      <c r="P1254" s="10">
        <v>64900.75</v>
      </c>
      <c r="Q1254" s="10">
        <v>17214.22</v>
      </c>
      <c r="R1254" s="10">
        <v>732068.78</v>
      </c>
    </row>
    <row r="1255" spans="1:18" ht="12.75" x14ac:dyDescent="0.2">
      <c r="A1255" s="9" t="s">
        <v>335</v>
      </c>
      <c r="B1255" s="9" t="s">
        <v>239</v>
      </c>
      <c r="C1255" s="9" t="s">
        <v>310</v>
      </c>
      <c r="D1255" s="9" t="s">
        <v>96</v>
      </c>
      <c r="E1255" s="9" t="s">
        <v>281</v>
      </c>
      <c r="F1255" s="9" t="s">
        <v>334</v>
      </c>
      <c r="G1255" s="9" t="s">
        <v>310</v>
      </c>
      <c r="H1255" s="10">
        <v>0</v>
      </c>
      <c r="I1255" s="10">
        <v>0</v>
      </c>
      <c r="J1255" s="10">
        <v>-1772.29</v>
      </c>
      <c r="K1255" s="10">
        <v>47987.62</v>
      </c>
      <c r="L1255" s="10">
        <v>27016.91</v>
      </c>
      <c r="M1255" s="10">
        <v>147716</v>
      </c>
      <c r="N1255" s="10">
        <v>191066.43</v>
      </c>
      <c r="O1255" s="10">
        <v>237939.14</v>
      </c>
      <c r="P1255" s="10">
        <v>64900.75</v>
      </c>
      <c r="Q1255" s="10">
        <v>17214.22</v>
      </c>
      <c r="R1255" s="10">
        <v>732068.78</v>
      </c>
    </row>
    <row r="1256" spans="1:18" ht="12.75" x14ac:dyDescent="0.2">
      <c r="A1256" s="9" t="s">
        <v>335</v>
      </c>
      <c r="B1256" s="9" t="s">
        <v>239</v>
      </c>
      <c r="C1256" s="9" t="s">
        <v>310</v>
      </c>
      <c r="D1256" s="9" t="s">
        <v>96</v>
      </c>
      <c r="E1256" s="9" t="s">
        <v>282</v>
      </c>
      <c r="F1256" s="9" t="s">
        <v>334</v>
      </c>
      <c r="G1256" s="9" t="s">
        <v>310</v>
      </c>
      <c r="H1256" s="10">
        <v>0</v>
      </c>
      <c r="I1256" s="10">
        <v>0</v>
      </c>
      <c r="J1256" s="10">
        <v>-1772.29</v>
      </c>
      <c r="K1256" s="10">
        <v>47987.62</v>
      </c>
      <c r="L1256" s="10">
        <v>27016.91</v>
      </c>
      <c r="M1256" s="10">
        <v>147716</v>
      </c>
      <c r="N1256" s="10">
        <v>191066.43</v>
      </c>
      <c r="O1256" s="10">
        <v>237939.14</v>
      </c>
      <c r="P1256" s="10">
        <v>64900.75</v>
      </c>
      <c r="Q1256" s="10">
        <v>17214.22</v>
      </c>
      <c r="R1256" s="10">
        <v>732068.78</v>
      </c>
    </row>
    <row r="1257" spans="1:18" ht="12.75" x14ac:dyDescent="0.2">
      <c r="A1257" s="9" t="s">
        <v>335</v>
      </c>
      <c r="B1257" s="9" t="s">
        <v>239</v>
      </c>
      <c r="C1257" s="9" t="s">
        <v>310</v>
      </c>
      <c r="D1257" s="9" t="s">
        <v>112</v>
      </c>
      <c r="E1257" s="9" t="s">
        <v>294</v>
      </c>
      <c r="F1257" s="9" t="s">
        <v>334</v>
      </c>
      <c r="G1257" s="9" t="s">
        <v>310</v>
      </c>
      <c r="H1257" s="10">
        <v>0</v>
      </c>
      <c r="I1257" s="10">
        <v>0</v>
      </c>
      <c r="J1257" s="10">
        <v>0</v>
      </c>
      <c r="K1257" s="10">
        <v>0</v>
      </c>
      <c r="L1257" s="10">
        <v>612098.36</v>
      </c>
      <c r="M1257" s="10">
        <v>1634754.85</v>
      </c>
      <c r="N1257" s="10">
        <v>571171.9</v>
      </c>
      <c r="O1257" s="10">
        <v>1270689.78</v>
      </c>
      <c r="P1257" s="10">
        <v>179839.05</v>
      </c>
      <c r="Q1257" s="10">
        <v>0</v>
      </c>
      <c r="R1257" s="10">
        <v>4268553.9400000004</v>
      </c>
    </row>
    <row r="1258" spans="1:18" ht="12.75" x14ac:dyDescent="0.2">
      <c r="A1258" s="9" t="s">
        <v>335</v>
      </c>
      <c r="B1258" s="9" t="s">
        <v>239</v>
      </c>
      <c r="C1258" s="9" t="s">
        <v>310</v>
      </c>
      <c r="D1258" s="9" t="s">
        <v>112</v>
      </c>
      <c r="E1258" s="9" t="s">
        <v>292</v>
      </c>
      <c r="F1258" s="9" t="s">
        <v>334</v>
      </c>
      <c r="G1258" s="9" t="s">
        <v>310</v>
      </c>
      <c r="H1258" s="10">
        <v>0</v>
      </c>
      <c r="I1258" s="10">
        <v>0</v>
      </c>
      <c r="J1258" s="10">
        <v>0</v>
      </c>
      <c r="K1258" s="10">
        <v>0</v>
      </c>
      <c r="L1258" s="10">
        <v>612098.36</v>
      </c>
      <c r="M1258" s="10">
        <v>1634754.85</v>
      </c>
      <c r="N1258" s="10">
        <v>571171.9</v>
      </c>
      <c r="O1258" s="10">
        <v>1270689.78</v>
      </c>
      <c r="P1258" s="10">
        <v>179839.05</v>
      </c>
      <c r="Q1258" s="10">
        <v>0</v>
      </c>
      <c r="R1258" s="10">
        <v>4268553.9400000004</v>
      </c>
    </row>
    <row r="1259" spans="1:18" ht="12.75" x14ac:dyDescent="0.2">
      <c r="A1259" s="9" t="s">
        <v>335</v>
      </c>
      <c r="B1259" s="9" t="s">
        <v>239</v>
      </c>
      <c r="C1259" s="9" t="s">
        <v>310</v>
      </c>
      <c r="D1259" s="9" t="s">
        <v>112</v>
      </c>
      <c r="E1259" s="9" t="s">
        <v>301</v>
      </c>
      <c r="F1259" s="9" t="s">
        <v>334</v>
      </c>
      <c r="G1259" s="9" t="s">
        <v>310</v>
      </c>
      <c r="H1259" s="10">
        <v>0</v>
      </c>
      <c r="I1259" s="10">
        <v>0</v>
      </c>
      <c r="J1259" s="10">
        <v>0</v>
      </c>
      <c r="K1259" s="10">
        <v>0</v>
      </c>
      <c r="L1259" s="10">
        <v>612098.36</v>
      </c>
      <c r="M1259" s="10">
        <v>1634754.85</v>
      </c>
      <c r="N1259" s="10">
        <v>571171.9</v>
      </c>
      <c r="O1259" s="10">
        <v>1270689.78</v>
      </c>
      <c r="P1259" s="10">
        <v>179839.05</v>
      </c>
      <c r="Q1259" s="10">
        <v>0</v>
      </c>
      <c r="R1259" s="10">
        <v>4268553.9400000004</v>
      </c>
    </row>
    <row r="1260" spans="1:18" ht="12.75" x14ac:dyDescent="0.2">
      <c r="A1260" s="9" t="s">
        <v>335</v>
      </c>
      <c r="B1260" s="9" t="s">
        <v>239</v>
      </c>
      <c r="C1260" s="9" t="s">
        <v>310</v>
      </c>
      <c r="D1260" s="9" t="s">
        <v>112</v>
      </c>
      <c r="E1260" s="9" t="s">
        <v>300</v>
      </c>
      <c r="F1260" s="9" t="s">
        <v>334</v>
      </c>
      <c r="G1260" s="9" t="s">
        <v>310</v>
      </c>
      <c r="H1260" s="10">
        <v>0</v>
      </c>
      <c r="I1260" s="10">
        <v>0</v>
      </c>
      <c r="J1260" s="10">
        <v>0</v>
      </c>
      <c r="K1260" s="10">
        <v>0</v>
      </c>
      <c r="L1260" s="10">
        <v>612098.36</v>
      </c>
      <c r="M1260" s="10">
        <v>1634754.85</v>
      </c>
      <c r="N1260" s="10">
        <v>571171.9</v>
      </c>
      <c r="O1260" s="10">
        <v>1270689.78</v>
      </c>
      <c r="P1260" s="10">
        <v>179839.05</v>
      </c>
      <c r="Q1260" s="10">
        <v>0</v>
      </c>
      <c r="R1260" s="10">
        <v>4268553.9400000004</v>
      </c>
    </row>
    <row r="1261" spans="1:18" ht="12.75" x14ac:dyDescent="0.2">
      <c r="A1261" s="9" t="s">
        <v>349</v>
      </c>
      <c r="B1261" s="9" t="s">
        <v>239</v>
      </c>
      <c r="C1261" s="9" t="s">
        <v>311</v>
      </c>
      <c r="D1261" s="9" t="s">
        <v>238</v>
      </c>
      <c r="E1261" s="9" t="s">
        <v>241</v>
      </c>
      <c r="F1261" s="9" t="s">
        <v>334</v>
      </c>
      <c r="G1261" s="9" t="s">
        <v>311</v>
      </c>
      <c r="H1261" s="10">
        <v>353381.59</v>
      </c>
      <c r="I1261" s="10">
        <v>492778.92</v>
      </c>
      <c r="J1261" s="10">
        <v>528056.34</v>
      </c>
      <c r="K1261" s="10">
        <v>406646.74</v>
      </c>
      <c r="L1261" s="10">
        <v>247296.29</v>
      </c>
      <c r="M1261" s="10">
        <v>1069779.24</v>
      </c>
      <c r="N1261" s="10">
        <v>464661.19</v>
      </c>
      <c r="O1261" s="10">
        <v>323326.15999999997</v>
      </c>
      <c r="P1261" s="10">
        <v>715791.18</v>
      </c>
      <c r="Q1261" s="10">
        <v>386962.01</v>
      </c>
      <c r="R1261" s="10">
        <v>4988679.66</v>
      </c>
    </row>
    <row r="1262" spans="1:18" ht="12.75" x14ac:dyDescent="0.2">
      <c r="A1262" s="9" t="s">
        <v>349</v>
      </c>
      <c r="B1262" s="9" t="s">
        <v>239</v>
      </c>
      <c r="C1262" s="9" t="s">
        <v>311</v>
      </c>
      <c r="D1262" s="9" t="s">
        <v>238</v>
      </c>
      <c r="E1262" s="9" t="s">
        <v>242</v>
      </c>
      <c r="F1262" s="9" t="s">
        <v>334</v>
      </c>
      <c r="G1262" s="9" t="s">
        <v>311</v>
      </c>
      <c r="H1262" s="10">
        <v>314213.62</v>
      </c>
      <c r="I1262" s="10">
        <v>438160.48</v>
      </c>
      <c r="J1262" s="10">
        <v>469527.84</v>
      </c>
      <c r="K1262" s="10">
        <v>361574.99</v>
      </c>
      <c r="L1262" s="10">
        <v>219886.56</v>
      </c>
      <c r="M1262" s="10">
        <v>951207.46</v>
      </c>
      <c r="N1262" s="10">
        <v>413159.25</v>
      </c>
      <c r="O1262" s="10">
        <v>287489.46000000002</v>
      </c>
      <c r="P1262" s="10">
        <v>636454.59</v>
      </c>
      <c r="Q1262" s="10">
        <v>344072.06</v>
      </c>
      <c r="R1262" s="10">
        <v>4435746.3099999996</v>
      </c>
    </row>
    <row r="1263" spans="1:18" ht="12.75" x14ac:dyDescent="0.2">
      <c r="A1263" s="9" t="s">
        <v>332</v>
      </c>
      <c r="B1263" s="9" t="s">
        <v>239</v>
      </c>
      <c r="C1263" s="9" t="s">
        <v>311</v>
      </c>
      <c r="D1263" s="9" t="s">
        <v>74</v>
      </c>
      <c r="E1263" s="9" t="s">
        <v>244</v>
      </c>
      <c r="F1263" s="9" t="s">
        <v>334</v>
      </c>
      <c r="G1263" s="9" t="s">
        <v>311</v>
      </c>
      <c r="H1263" s="10">
        <v>27252.59</v>
      </c>
      <c r="I1263" s="10">
        <v>7477.8</v>
      </c>
      <c r="J1263" s="10">
        <v>62983.25</v>
      </c>
      <c r="K1263" s="10">
        <v>68444.460000000006</v>
      </c>
      <c r="L1263" s="10">
        <v>4147.43</v>
      </c>
      <c r="M1263" s="10">
        <v>9017.6200000000008</v>
      </c>
      <c r="N1263" s="10">
        <v>222.48</v>
      </c>
      <c r="O1263" s="10">
        <v>5502.58</v>
      </c>
      <c r="P1263" s="10">
        <v>4966.83</v>
      </c>
      <c r="Q1263" s="10">
        <v>73052.84</v>
      </c>
      <c r="R1263" s="10">
        <v>263067.88</v>
      </c>
    </row>
    <row r="1264" spans="1:18" ht="12.75" x14ac:dyDescent="0.2">
      <c r="A1264" s="9" t="s">
        <v>332</v>
      </c>
      <c r="B1264" s="9" t="s">
        <v>239</v>
      </c>
      <c r="C1264" s="9" t="s">
        <v>311</v>
      </c>
      <c r="D1264" s="9" t="s">
        <v>74</v>
      </c>
      <c r="E1264" s="9" t="s">
        <v>245</v>
      </c>
      <c r="F1264" s="9" t="s">
        <v>334</v>
      </c>
      <c r="G1264" s="9" t="s">
        <v>311</v>
      </c>
      <c r="H1264" s="10">
        <v>27252.59</v>
      </c>
      <c r="I1264" s="10">
        <v>7477.8</v>
      </c>
      <c r="J1264" s="10">
        <v>62983.25</v>
      </c>
      <c r="K1264" s="10">
        <v>68444.460000000006</v>
      </c>
      <c r="L1264" s="10">
        <v>4147.43</v>
      </c>
      <c r="M1264" s="10">
        <v>9017.6200000000008</v>
      </c>
      <c r="N1264" s="10">
        <v>222.48</v>
      </c>
      <c r="O1264" s="10">
        <v>5502.58</v>
      </c>
      <c r="P1264" s="10">
        <v>4966.83</v>
      </c>
      <c r="Q1264" s="10">
        <v>73052.84</v>
      </c>
      <c r="R1264" s="10">
        <v>263067.88</v>
      </c>
    </row>
    <row r="1265" spans="1:18" ht="12.75" x14ac:dyDescent="0.2">
      <c r="A1265" s="9" t="s">
        <v>332</v>
      </c>
      <c r="B1265" s="9" t="s">
        <v>239</v>
      </c>
      <c r="C1265" s="9" t="s">
        <v>311</v>
      </c>
      <c r="D1265" s="9" t="s">
        <v>74</v>
      </c>
      <c r="E1265" s="9" t="s">
        <v>246</v>
      </c>
      <c r="F1265" s="9" t="s">
        <v>334</v>
      </c>
      <c r="G1265" s="9" t="s">
        <v>311</v>
      </c>
      <c r="H1265" s="10">
        <v>27252.59</v>
      </c>
      <c r="I1265" s="10">
        <v>7477.8</v>
      </c>
      <c r="J1265" s="10">
        <v>62983.25</v>
      </c>
      <c r="K1265" s="10">
        <v>68444.460000000006</v>
      </c>
      <c r="L1265" s="10">
        <v>4147.43</v>
      </c>
      <c r="M1265" s="10">
        <v>9017.6200000000008</v>
      </c>
      <c r="N1265" s="10">
        <v>222.48</v>
      </c>
      <c r="O1265" s="10">
        <v>5502.58</v>
      </c>
      <c r="P1265" s="10">
        <v>4966.83</v>
      </c>
      <c r="Q1265" s="10">
        <v>73052.84</v>
      </c>
      <c r="R1265" s="10">
        <v>263067.88</v>
      </c>
    </row>
    <row r="1266" spans="1:18" ht="12.75" x14ac:dyDescent="0.2">
      <c r="A1266" s="9" t="s">
        <v>332</v>
      </c>
      <c r="B1266" s="9" t="s">
        <v>239</v>
      </c>
      <c r="C1266" s="9" t="s">
        <v>311</v>
      </c>
      <c r="D1266" s="9" t="s">
        <v>74</v>
      </c>
      <c r="E1266" s="9" t="s">
        <v>247</v>
      </c>
      <c r="F1266" s="9" t="s">
        <v>334</v>
      </c>
      <c r="G1266" s="9" t="s">
        <v>311</v>
      </c>
      <c r="H1266" s="10">
        <v>27252.59</v>
      </c>
      <c r="I1266" s="10">
        <v>7477.8</v>
      </c>
      <c r="J1266" s="10">
        <v>62983.25</v>
      </c>
      <c r="K1266" s="10">
        <v>68444.460000000006</v>
      </c>
      <c r="L1266" s="10">
        <v>4147.43</v>
      </c>
      <c r="M1266" s="10">
        <v>9017.6200000000008</v>
      </c>
      <c r="N1266" s="10">
        <v>222.48</v>
      </c>
      <c r="O1266" s="10">
        <v>5502.58</v>
      </c>
      <c r="P1266" s="10">
        <v>4966.83</v>
      </c>
      <c r="Q1266" s="10">
        <v>73052.84</v>
      </c>
      <c r="R1266" s="10">
        <v>263067.88</v>
      </c>
    </row>
    <row r="1267" spans="1:18" ht="12.75" x14ac:dyDescent="0.2">
      <c r="A1267" s="9" t="s">
        <v>332</v>
      </c>
      <c r="B1267" s="9" t="s">
        <v>239</v>
      </c>
      <c r="C1267" s="9" t="s">
        <v>311</v>
      </c>
      <c r="D1267" s="9" t="s">
        <v>74</v>
      </c>
      <c r="E1267" s="9" t="s">
        <v>248</v>
      </c>
      <c r="F1267" s="9" t="s">
        <v>334</v>
      </c>
      <c r="G1267" s="9" t="s">
        <v>311</v>
      </c>
      <c r="H1267" s="10">
        <v>27252.59</v>
      </c>
      <c r="I1267" s="10">
        <v>7477.8</v>
      </c>
      <c r="J1267" s="10">
        <v>62983.25</v>
      </c>
      <c r="K1267" s="10">
        <v>68444.460000000006</v>
      </c>
      <c r="L1267" s="10">
        <v>4147.43</v>
      </c>
      <c r="M1267" s="10">
        <v>9017.6200000000008</v>
      </c>
      <c r="N1267" s="10">
        <v>222.48</v>
      </c>
      <c r="O1267" s="10">
        <v>5502.58</v>
      </c>
      <c r="P1267" s="10">
        <v>4966.83</v>
      </c>
      <c r="Q1267" s="10">
        <v>73052.84</v>
      </c>
      <c r="R1267" s="10">
        <v>263067.88</v>
      </c>
    </row>
    <row r="1268" spans="1:18" ht="12.75" x14ac:dyDescent="0.2">
      <c r="A1268" s="9" t="s">
        <v>332</v>
      </c>
      <c r="B1268" s="9" t="s">
        <v>239</v>
      </c>
      <c r="C1268" s="9" t="s">
        <v>311</v>
      </c>
      <c r="D1268" s="9" t="s">
        <v>74</v>
      </c>
      <c r="E1268" s="9" t="s">
        <v>249</v>
      </c>
      <c r="F1268" s="9" t="s">
        <v>334</v>
      </c>
      <c r="G1268" s="9" t="s">
        <v>311</v>
      </c>
      <c r="H1268" s="10">
        <v>27252.59</v>
      </c>
      <c r="I1268" s="10">
        <v>7477.8</v>
      </c>
      <c r="J1268" s="10">
        <v>62983.25</v>
      </c>
      <c r="K1268" s="10">
        <v>68444.460000000006</v>
      </c>
      <c r="L1268" s="10">
        <v>4147.43</v>
      </c>
      <c r="M1268" s="10">
        <v>9017.6200000000008</v>
      </c>
      <c r="N1268" s="10">
        <v>222.48</v>
      </c>
      <c r="O1268" s="10">
        <v>5502.58</v>
      </c>
      <c r="P1268" s="10">
        <v>4966.83</v>
      </c>
      <c r="Q1268" s="10">
        <v>73052.84</v>
      </c>
      <c r="R1268" s="10">
        <v>263067.88</v>
      </c>
    </row>
    <row r="1269" spans="1:18" ht="12.75" x14ac:dyDescent="0.2">
      <c r="A1269" s="9" t="s">
        <v>332</v>
      </c>
      <c r="B1269" s="9" t="s">
        <v>239</v>
      </c>
      <c r="C1269" s="9" t="s">
        <v>311</v>
      </c>
      <c r="D1269" s="9" t="s">
        <v>74</v>
      </c>
      <c r="E1269" s="9" t="s">
        <v>250</v>
      </c>
      <c r="F1269" s="9" t="s">
        <v>334</v>
      </c>
      <c r="G1269" s="9" t="s">
        <v>311</v>
      </c>
      <c r="H1269" s="10">
        <v>27252.59</v>
      </c>
      <c r="I1269" s="10">
        <v>7477.8</v>
      </c>
      <c r="J1269" s="10">
        <v>62983.25</v>
      </c>
      <c r="K1269" s="10">
        <v>68444.460000000006</v>
      </c>
      <c r="L1269" s="10">
        <v>4147.43</v>
      </c>
      <c r="M1269" s="10">
        <v>9017.6200000000008</v>
      </c>
      <c r="N1269" s="10">
        <v>222.48</v>
      </c>
      <c r="O1269" s="10">
        <v>5502.58</v>
      </c>
      <c r="P1269" s="10">
        <v>4966.83</v>
      </c>
      <c r="Q1269" s="10">
        <v>73052.84</v>
      </c>
      <c r="R1269" s="10">
        <v>263067.88</v>
      </c>
    </row>
    <row r="1270" spans="1:18" ht="12.75" x14ac:dyDescent="0.2">
      <c r="A1270" s="9" t="s">
        <v>332</v>
      </c>
      <c r="B1270" s="9" t="s">
        <v>239</v>
      </c>
      <c r="C1270" s="9" t="s">
        <v>311</v>
      </c>
      <c r="D1270" s="9" t="s">
        <v>74</v>
      </c>
      <c r="E1270" s="9" t="s">
        <v>251</v>
      </c>
      <c r="F1270" s="9" t="s">
        <v>334</v>
      </c>
      <c r="G1270" s="9" t="s">
        <v>311</v>
      </c>
      <c r="H1270" s="10">
        <v>27252.59</v>
      </c>
      <c r="I1270" s="10">
        <v>7477.8</v>
      </c>
      <c r="J1270" s="10">
        <v>62983.25</v>
      </c>
      <c r="K1270" s="10">
        <v>68444.460000000006</v>
      </c>
      <c r="L1270" s="10">
        <v>4147.43</v>
      </c>
      <c r="M1270" s="10">
        <v>9017.6200000000008</v>
      </c>
      <c r="N1270" s="10">
        <v>222.48</v>
      </c>
      <c r="O1270" s="10">
        <v>5502.58</v>
      </c>
      <c r="P1270" s="10">
        <v>4966.83</v>
      </c>
      <c r="Q1270" s="10">
        <v>73052.84</v>
      </c>
      <c r="R1270" s="10">
        <v>263067.88</v>
      </c>
    </row>
    <row r="1271" spans="1:18" ht="12.75" x14ac:dyDescent="0.2">
      <c r="A1271" s="9" t="s">
        <v>332</v>
      </c>
      <c r="B1271" s="9" t="s">
        <v>239</v>
      </c>
      <c r="C1271" s="9" t="s">
        <v>311</v>
      </c>
      <c r="D1271" s="9" t="s">
        <v>52</v>
      </c>
      <c r="E1271" s="9" t="s">
        <v>253</v>
      </c>
      <c r="F1271" s="9" t="s">
        <v>334</v>
      </c>
      <c r="G1271" s="9" t="s">
        <v>311</v>
      </c>
      <c r="H1271" s="10">
        <v>19659.3</v>
      </c>
      <c r="I1271" s="10">
        <v>2136.5100000000002</v>
      </c>
      <c r="J1271" s="10">
        <v>15165.94</v>
      </c>
      <c r="K1271" s="10">
        <v>28907.67</v>
      </c>
      <c r="L1271" s="10">
        <v>12617.46</v>
      </c>
      <c r="M1271" s="10">
        <v>62935.32</v>
      </c>
      <c r="N1271" s="10">
        <v>8119.77</v>
      </c>
      <c r="O1271" s="10">
        <v>5508.63</v>
      </c>
      <c r="P1271" s="10">
        <v>9565.3700000000008</v>
      </c>
      <c r="Q1271" s="10">
        <v>18260.34</v>
      </c>
      <c r="R1271" s="10">
        <v>182876.31</v>
      </c>
    </row>
    <row r="1272" spans="1:18" ht="12.75" x14ac:dyDescent="0.2">
      <c r="A1272" s="9" t="s">
        <v>332</v>
      </c>
      <c r="B1272" s="9" t="s">
        <v>239</v>
      </c>
      <c r="C1272" s="9" t="s">
        <v>311</v>
      </c>
      <c r="D1272" s="9" t="s">
        <v>52</v>
      </c>
      <c r="E1272" s="9" t="s">
        <v>254</v>
      </c>
      <c r="F1272" s="9" t="s">
        <v>334</v>
      </c>
      <c r="G1272" s="9" t="s">
        <v>311</v>
      </c>
      <c r="H1272" s="10">
        <v>19659.3</v>
      </c>
      <c r="I1272" s="10">
        <v>2136.5100000000002</v>
      </c>
      <c r="J1272" s="10">
        <v>15165.94</v>
      </c>
      <c r="K1272" s="10">
        <v>28907.67</v>
      </c>
      <c r="L1272" s="10">
        <v>12617.46</v>
      </c>
      <c r="M1272" s="10">
        <v>62935.32</v>
      </c>
      <c r="N1272" s="10">
        <v>8119.77</v>
      </c>
      <c r="O1272" s="10">
        <v>5508.63</v>
      </c>
      <c r="P1272" s="10">
        <v>9565.3700000000008</v>
      </c>
      <c r="Q1272" s="10">
        <v>18260.34</v>
      </c>
      <c r="R1272" s="10">
        <v>182876.31</v>
      </c>
    </row>
    <row r="1273" spans="1:18" ht="12.75" x14ac:dyDescent="0.2">
      <c r="A1273" s="9" t="s">
        <v>332</v>
      </c>
      <c r="B1273" s="9" t="s">
        <v>239</v>
      </c>
      <c r="C1273" s="9" t="s">
        <v>311</v>
      </c>
      <c r="D1273" s="9" t="s">
        <v>52</v>
      </c>
      <c r="E1273" s="9" t="s">
        <v>255</v>
      </c>
      <c r="F1273" s="9" t="s">
        <v>334</v>
      </c>
      <c r="G1273" s="9" t="s">
        <v>311</v>
      </c>
      <c r="H1273" s="10">
        <v>19659.3</v>
      </c>
      <c r="I1273" s="10">
        <v>2136.5100000000002</v>
      </c>
      <c r="J1273" s="10">
        <v>15165.94</v>
      </c>
      <c r="K1273" s="10">
        <v>28907.67</v>
      </c>
      <c r="L1273" s="10">
        <v>12617.46</v>
      </c>
      <c r="M1273" s="10">
        <v>62935.32</v>
      </c>
      <c r="N1273" s="10">
        <v>8119.77</v>
      </c>
      <c r="O1273" s="10">
        <v>5508.63</v>
      </c>
      <c r="P1273" s="10">
        <v>9565.3700000000008</v>
      </c>
      <c r="Q1273" s="10">
        <v>18260.34</v>
      </c>
      <c r="R1273" s="10">
        <v>182876.31</v>
      </c>
    </row>
    <row r="1274" spans="1:18" ht="12.75" x14ac:dyDescent="0.2">
      <c r="A1274" s="9" t="s">
        <v>332</v>
      </c>
      <c r="B1274" s="9" t="s">
        <v>239</v>
      </c>
      <c r="C1274" s="9" t="s">
        <v>311</v>
      </c>
      <c r="D1274" s="9" t="s">
        <v>52</v>
      </c>
      <c r="E1274" s="9" t="s">
        <v>256</v>
      </c>
      <c r="F1274" s="9" t="s">
        <v>334</v>
      </c>
      <c r="G1274" s="9" t="s">
        <v>311</v>
      </c>
      <c r="H1274" s="10">
        <v>19659.3</v>
      </c>
      <c r="I1274" s="10">
        <v>2136.5100000000002</v>
      </c>
      <c r="J1274" s="10">
        <v>15165.94</v>
      </c>
      <c r="K1274" s="10">
        <v>28907.67</v>
      </c>
      <c r="L1274" s="10">
        <v>12617.46</v>
      </c>
      <c r="M1274" s="10">
        <v>62935.32</v>
      </c>
      <c r="N1274" s="10">
        <v>8119.77</v>
      </c>
      <c r="O1274" s="10">
        <v>5508.63</v>
      </c>
      <c r="P1274" s="10">
        <v>9565.3700000000008</v>
      </c>
      <c r="Q1274" s="10">
        <v>18260.34</v>
      </c>
      <c r="R1274" s="10">
        <v>182876.31</v>
      </c>
    </row>
    <row r="1275" spans="1:18" ht="12.75" x14ac:dyDescent="0.2">
      <c r="A1275" s="9" t="s">
        <v>332</v>
      </c>
      <c r="B1275" s="9" t="s">
        <v>239</v>
      </c>
      <c r="C1275" s="9" t="s">
        <v>311</v>
      </c>
      <c r="D1275" s="9" t="s">
        <v>52</v>
      </c>
      <c r="E1275" s="9" t="s">
        <v>257</v>
      </c>
      <c r="F1275" s="9" t="s">
        <v>334</v>
      </c>
      <c r="G1275" s="9" t="s">
        <v>311</v>
      </c>
      <c r="H1275" s="10">
        <v>19659.3</v>
      </c>
      <c r="I1275" s="10">
        <v>2136.5100000000002</v>
      </c>
      <c r="J1275" s="10">
        <v>15165.94</v>
      </c>
      <c r="K1275" s="10">
        <v>28907.67</v>
      </c>
      <c r="L1275" s="10">
        <v>12617.46</v>
      </c>
      <c r="M1275" s="10">
        <v>62935.32</v>
      </c>
      <c r="N1275" s="10">
        <v>8119.77</v>
      </c>
      <c r="O1275" s="10">
        <v>5508.63</v>
      </c>
      <c r="P1275" s="10">
        <v>9565.3700000000008</v>
      </c>
      <c r="Q1275" s="10">
        <v>18260.34</v>
      </c>
      <c r="R1275" s="10">
        <v>182876.31</v>
      </c>
    </row>
    <row r="1276" spans="1:18" ht="12.75" x14ac:dyDescent="0.2">
      <c r="A1276" s="9" t="s">
        <v>332</v>
      </c>
      <c r="B1276" s="9" t="s">
        <v>239</v>
      </c>
      <c r="C1276" s="9" t="s">
        <v>311</v>
      </c>
      <c r="D1276" s="9" t="s">
        <v>52</v>
      </c>
      <c r="E1276" s="9" t="s">
        <v>258</v>
      </c>
      <c r="F1276" s="9" t="s">
        <v>334</v>
      </c>
      <c r="G1276" s="9" t="s">
        <v>311</v>
      </c>
      <c r="H1276" s="10">
        <v>19659.3</v>
      </c>
      <c r="I1276" s="10">
        <v>2136.5100000000002</v>
      </c>
      <c r="J1276" s="10">
        <v>15165.94</v>
      </c>
      <c r="K1276" s="10">
        <v>28907.67</v>
      </c>
      <c r="L1276" s="10">
        <v>12617.46</v>
      </c>
      <c r="M1276" s="10">
        <v>62935.32</v>
      </c>
      <c r="N1276" s="10">
        <v>8119.77</v>
      </c>
      <c r="O1276" s="10">
        <v>5508.63</v>
      </c>
      <c r="P1276" s="10">
        <v>9565.3700000000008</v>
      </c>
      <c r="Q1276" s="10">
        <v>18260.34</v>
      </c>
      <c r="R1276" s="10">
        <v>182876.31</v>
      </c>
    </row>
    <row r="1277" spans="1:18" ht="12.75" x14ac:dyDescent="0.2">
      <c r="A1277" s="9" t="s">
        <v>332</v>
      </c>
      <c r="B1277" s="9" t="s">
        <v>239</v>
      </c>
      <c r="C1277" s="9" t="s">
        <v>311</v>
      </c>
      <c r="D1277" s="9" t="s">
        <v>52</v>
      </c>
      <c r="E1277" s="9" t="s">
        <v>259</v>
      </c>
      <c r="F1277" s="9" t="s">
        <v>334</v>
      </c>
      <c r="G1277" s="9" t="s">
        <v>311</v>
      </c>
      <c r="H1277" s="10">
        <v>19659.3</v>
      </c>
      <c r="I1277" s="10">
        <v>2136.5100000000002</v>
      </c>
      <c r="J1277" s="10">
        <v>15165.94</v>
      </c>
      <c r="K1277" s="10">
        <v>28907.67</v>
      </c>
      <c r="L1277" s="10">
        <v>12617.46</v>
      </c>
      <c r="M1277" s="10">
        <v>62935.32</v>
      </c>
      <c r="N1277" s="10">
        <v>8119.77</v>
      </c>
      <c r="O1277" s="10">
        <v>5508.63</v>
      </c>
      <c r="P1277" s="10">
        <v>9565.3700000000008</v>
      </c>
      <c r="Q1277" s="10">
        <v>18260.34</v>
      </c>
      <c r="R1277" s="10">
        <v>182876.31</v>
      </c>
    </row>
    <row r="1278" spans="1:18" ht="12.75" x14ac:dyDescent="0.2">
      <c r="A1278" s="9" t="s">
        <v>332</v>
      </c>
      <c r="B1278" s="9" t="s">
        <v>239</v>
      </c>
      <c r="C1278" s="9" t="s">
        <v>311</v>
      </c>
      <c r="D1278" s="9" t="s">
        <v>52</v>
      </c>
      <c r="E1278" s="9" t="s">
        <v>260</v>
      </c>
      <c r="F1278" s="9" t="s">
        <v>334</v>
      </c>
      <c r="G1278" s="9" t="s">
        <v>311</v>
      </c>
      <c r="H1278" s="10">
        <v>19659.3</v>
      </c>
      <c r="I1278" s="10">
        <v>2136.5100000000002</v>
      </c>
      <c r="J1278" s="10">
        <v>15165.94</v>
      </c>
      <c r="K1278" s="10">
        <v>28907.67</v>
      </c>
      <c r="L1278" s="10">
        <v>12617.46</v>
      </c>
      <c r="M1278" s="10">
        <v>62935.32</v>
      </c>
      <c r="N1278" s="10">
        <v>8119.77</v>
      </c>
      <c r="O1278" s="10">
        <v>5508.63</v>
      </c>
      <c r="P1278" s="10">
        <v>9565.3700000000008</v>
      </c>
      <c r="Q1278" s="10">
        <v>18260.34</v>
      </c>
      <c r="R1278" s="10">
        <v>182876.31</v>
      </c>
    </row>
    <row r="1279" spans="1:18" ht="12.75" x14ac:dyDescent="0.2">
      <c r="A1279" s="9" t="s">
        <v>332</v>
      </c>
      <c r="B1279" s="9" t="s">
        <v>239</v>
      </c>
      <c r="C1279" s="9" t="s">
        <v>311</v>
      </c>
      <c r="D1279" s="9" t="s">
        <v>52</v>
      </c>
      <c r="E1279" s="9" t="s">
        <v>261</v>
      </c>
      <c r="F1279" s="9" t="s">
        <v>334</v>
      </c>
      <c r="G1279" s="9" t="s">
        <v>311</v>
      </c>
      <c r="H1279" s="10">
        <v>19659.3</v>
      </c>
      <c r="I1279" s="10">
        <v>2136.5100000000002</v>
      </c>
      <c r="J1279" s="10">
        <v>15165.94</v>
      </c>
      <c r="K1279" s="10">
        <v>28907.67</v>
      </c>
      <c r="L1279" s="10">
        <v>12617.46</v>
      </c>
      <c r="M1279" s="10">
        <v>62935.32</v>
      </c>
      <c r="N1279" s="10">
        <v>8119.77</v>
      </c>
      <c r="O1279" s="10">
        <v>5508.63</v>
      </c>
      <c r="P1279" s="10">
        <v>9565.3700000000008</v>
      </c>
      <c r="Q1279" s="10">
        <v>18260.34</v>
      </c>
      <c r="R1279" s="10">
        <v>182876.31</v>
      </c>
    </row>
    <row r="1280" spans="1:18" ht="12.75" x14ac:dyDescent="0.2">
      <c r="A1280" s="9" t="s">
        <v>332</v>
      </c>
      <c r="B1280" s="9" t="s">
        <v>239</v>
      </c>
      <c r="C1280" s="9" t="s">
        <v>311</v>
      </c>
      <c r="D1280" s="9" t="s">
        <v>52</v>
      </c>
      <c r="E1280" s="9" t="s">
        <v>262</v>
      </c>
      <c r="F1280" s="9" t="s">
        <v>334</v>
      </c>
      <c r="G1280" s="9" t="s">
        <v>311</v>
      </c>
      <c r="H1280" s="10">
        <v>19659.3</v>
      </c>
      <c r="I1280" s="10">
        <v>2136.5100000000002</v>
      </c>
      <c r="J1280" s="10">
        <v>15165.94</v>
      </c>
      <c r="K1280" s="10">
        <v>28907.67</v>
      </c>
      <c r="L1280" s="10">
        <v>12617.46</v>
      </c>
      <c r="M1280" s="10">
        <v>62935.32</v>
      </c>
      <c r="N1280" s="10">
        <v>8119.77</v>
      </c>
      <c r="O1280" s="10">
        <v>5508.63</v>
      </c>
      <c r="P1280" s="10">
        <v>9565.3700000000008</v>
      </c>
      <c r="Q1280" s="10">
        <v>18260.34</v>
      </c>
      <c r="R1280" s="10">
        <v>182876.31</v>
      </c>
    </row>
    <row r="1281" spans="1:18" ht="12.75" x14ac:dyDescent="0.2">
      <c r="A1281" s="9" t="s">
        <v>332</v>
      </c>
      <c r="B1281" s="9" t="s">
        <v>239</v>
      </c>
      <c r="C1281" s="9" t="s">
        <v>311</v>
      </c>
      <c r="D1281" s="9" t="s">
        <v>52</v>
      </c>
      <c r="E1281" s="9" t="s">
        <v>263</v>
      </c>
      <c r="F1281" s="9" t="s">
        <v>334</v>
      </c>
      <c r="G1281" s="9" t="s">
        <v>311</v>
      </c>
      <c r="H1281" s="10">
        <v>19659.3</v>
      </c>
      <c r="I1281" s="10">
        <v>2136.5100000000002</v>
      </c>
      <c r="J1281" s="10">
        <v>15165.94</v>
      </c>
      <c r="K1281" s="10">
        <v>28907.67</v>
      </c>
      <c r="L1281" s="10">
        <v>12617.46</v>
      </c>
      <c r="M1281" s="10">
        <v>62935.32</v>
      </c>
      <c r="N1281" s="10">
        <v>8119.77</v>
      </c>
      <c r="O1281" s="10">
        <v>5508.63</v>
      </c>
      <c r="P1281" s="10">
        <v>9565.3700000000008</v>
      </c>
      <c r="Q1281" s="10">
        <v>18260.34</v>
      </c>
      <c r="R1281" s="10">
        <v>182876.31</v>
      </c>
    </row>
    <row r="1282" spans="1:18" ht="12.75" x14ac:dyDescent="0.2">
      <c r="A1282" s="9" t="s">
        <v>332</v>
      </c>
      <c r="B1282" s="9" t="s">
        <v>239</v>
      </c>
      <c r="C1282" s="9" t="s">
        <v>311</v>
      </c>
      <c r="D1282" s="9" t="s">
        <v>52</v>
      </c>
      <c r="E1282" s="9" t="s">
        <v>264</v>
      </c>
      <c r="F1282" s="9" t="s">
        <v>334</v>
      </c>
      <c r="G1282" s="9" t="s">
        <v>311</v>
      </c>
      <c r="H1282" s="10">
        <v>19659.3</v>
      </c>
      <c r="I1282" s="10">
        <v>2136.5100000000002</v>
      </c>
      <c r="J1282" s="10">
        <v>15165.94</v>
      </c>
      <c r="K1282" s="10">
        <v>28907.67</v>
      </c>
      <c r="L1282" s="10">
        <v>12617.46</v>
      </c>
      <c r="M1282" s="10">
        <v>62935.32</v>
      </c>
      <c r="N1282" s="10">
        <v>8119.77</v>
      </c>
      <c r="O1282" s="10">
        <v>5508.63</v>
      </c>
      <c r="P1282" s="10">
        <v>9565.3700000000008</v>
      </c>
      <c r="Q1282" s="10">
        <v>18260.34</v>
      </c>
      <c r="R1282" s="10">
        <v>182876.31</v>
      </c>
    </row>
    <row r="1283" spans="1:18" ht="12.75" x14ac:dyDescent="0.2">
      <c r="A1283" s="9" t="s">
        <v>332</v>
      </c>
      <c r="B1283" s="9" t="s">
        <v>239</v>
      </c>
      <c r="C1283" s="9" t="s">
        <v>311</v>
      </c>
      <c r="D1283" s="9" t="s">
        <v>52</v>
      </c>
      <c r="E1283" s="9" t="s">
        <v>265</v>
      </c>
      <c r="F1283" s="9" t="s">
        <v>334</v>
      </c>
      <c r="G1283" s="9" t="s">
        <v>311</v>
      </c>
      <c r="H1283" s="10">
        <v>19659.3</v>
      </c>
      <c r="I1283" s="10">
        <v>2136.5100000000002</v>
      </c>
      <c r="J1283" s="10">
        <v>15165.94</v>
      </c>
      <c r="K1283" s="10">
        <v>28907.67</v>
      </c>
      <c r="L1283" s="10">
        <v>12617.46</v>
      </c>
      <c r="M1283" s="10">
        <v>62935.32</v>
      </c>
      <c r="N1283" s="10">
        <v>8119.77</v>
      </c>
      <c r="O1283" s="10">
        <v>5508.63</v>
      </c>
      <c r="P1283" s="10">
        <v>9565.3700000000008</v>
      </c>
      <c r="Q1283" s="10">
        <v>18260.34</v>
      </c>
      <c r="R1283" s="10">
        <v>182876.31</v>
      </c>
    </row>
    <row r="1284" spans="1:18" ht="12.75" x14ac:dyDescent="0.2">
      <c r="A1284" s="9" t="s">
        <v>332</v>
      </c>
      <c r="B1284" s="9" t="s">
        <v>239</v>
      </c>
      <c r="C1284" s="9" t="s">
        <v>311</v>
      </c>
      <c r="D1284" s="9" t="s">
        <v>52</v>
      </c>
      <c r="E1284" s="9" t="s">
        <v>266</v>
      </c>
      <c r="F1284" s="9" t="s">
        <v>334</v>
      </c>
      <c r="G1284" s="9" t="s">
        <v>311</v>
      </c>
      <c r="H1284" s="10">
        <v>19659.3</v>
      </c>
      <c r="I1284" s="10">
        <v>2136.5100000000002</v>
      </c>
      <c r="J1284" s="10">
        <v>15165.94</v>
      </c>
      <c r="K1284" s="10">
        <v>28907.67</v>
      </c>
      <c r="L1284" s="10">
        <v>12617.46</v>
      </c>
      <c r="M1284" s="10">
        <v>62935.32</v>
      </c>
      <c r="N1284" s="10">
        <v>8119.77</v>
      </c>
      <c r="O1284" s="10">
        <v>5508.63</v>
      </c>
      <c r="P1284" s="10">
        <v>9565.3700000000008</v>
      </c>
      <c r="Q1284" s="10">
        <v>18260.34</v>
      </c>
      <c r="R1284" s="10">
        <v>182876.31</v>
      </c>
    </row>
    <row r="1285" spans="1:18" ht="12.75" x14ac:dyDescent="0.2">
      <c r="A1285" s="9" t="s">
        <v>332</v>
      </c>
      <c r="B1285" s="9" t="s">
        <v>239</v>
      </c>
      <c r="C1285" s="9" t="s">
        <v>311</v>
      </c>
      <c r="D1285" s="9" t="s">
        <v>52</v>
      </c>
      <c r="E1285" s="9" t="s">
        <v>267</v>
      </c>
      <c r="F1285" s="9" t="s">
        <v>334</v>
      </c>
      <c r="G1285" s="9" t="s">
        <v>311</v>
      </c>
      <c r="H1285" s="10">
        <v>19659.3</v>
      </c>
      <c r="I1285" s="10">
        <v>2136.5100000000002</v>
      </c>
      <c r="J1285" s="10">
        <v>15165.94</v>
      </c>
      <c r="K1285" s="10">
        <v>28907.67</v>
      </c>
      <c r="L1285" s="10">
        <v>12617.46</v>
      </c>
      <c r="M1285" s="10">
        <v>62935.32</v>
      </c>
      <c r="N1285" s="10">
        <v>8119.77</v>
      </c>
      <c r="O1285" s="10">
        <v>5508.63</v>
      </c>
      <c r="P1285" s="10">
        <v>9565.3700000000008</v>
      </c>
      <c r="Q1285" s="10">
        <v>18260.34</v>
      </c>
      <c r="R1285" s="10">
        <v>182876.31</v>
      </c>
    </row>
    <row r="1286" spans="1:18" ht="12.75" x14ac:dyDescent="0.2">
      <c r="A1286" s="9" t="s">
        <v>332</v>
      </c>
      <c r="B1286" s="9" t="s">
        <v>239</v>
      </c>
      <c r="C1286" s="9" t="s">
        <v>311</v>
      </c>
      <c r="D1286" s="9" t="s">
        <v>52</v>
      </c>
      <c r="E1286" s="9" t="s">
        <v>268</v>
      </c>
      <c r="F1286" s="9" t="s">
        <v>334</v>
      </c>
      <c r="G1286" s="9" t="s">
        <v>311</v>
      </c>
      <c r="H1286" s="10">
        <v>19659.3</v>
      </c>
      <c r="I1286" s="10">
        <v>2136.5100000000002</v>
      </c>
      <c r="J1286" s="10">
        <v>15165.94</v>
      </c>
      <c r="K1286" s="10">
        <v>28907.67</v>
      </c>
      <c r="L1286" s="10">
        <v>12617.46</v>
      </c>
      <c r="M1286" s="10">
        <v>62935.32</v>
      </c>
      <c r="N1286" s="10">
        <v>8119.77</v>
      </c>
      <c r="O1286" s="10">
        <v>5508.63</v>
      </c>
      <c r="P1286" s="10">
        <v>9565.3700000000008</v>
      </c>
      <c r="Q1286" s="10">
        <v>18260.34</v>
      </c>
      <c r="R1286" s="10">
        <v>182876.31</v>
      </c>
    </row>
    <row r="1287" spans="1:18" ht="12.75" x14ac:dyDescent="0.2">
      <c r="A1287" s="9" t="s">
        <v>332</v>
      </c>
      <c r="B1287" s="9" t="s">
        <v>239</v>
      </c>
      <c r="C1287" s="9" t="s">
        <v>311</v>
      </c>
      <c r="D1287" s="9" t="s">
        <v>87</v>
      </c>
      <c r="E1287" s="9" t="s">
        <v>270</v>
      </c>
      <c r="F1287" s="9" t="s">
        <v>334</v>
      </c>
      <c r="G1287" s="9" t="s">
        <v>311</v>
      </c>
      <c r="H1287" s="10">
        <v>674168.93</v>
      </c>
      <c r="I1287" s="10">
        <v>436707.04</v>
      </c>
      <c r="J1287" s="10">
        <v>196290.94</v>
      </c>
      <c r="K1287" s="10">
        <v>571726.46</v>
      </c>
      <c r="L1287" s="10">
        <v>177270.68</v>
      </c>
      <c r="M1287" s="10">
        <v>378594.35</v>
      </c>
      <c r="N1287" s="10">
        <v>448233.65</v>
      </c>
      <c r="O1287" s="10">
        <v>297870.81</v>
      </c>
      <c r="P1287" s="10">
        <v>310762.25</v>
      </c>
      <c r="Q1287" s="10">
        <v>566852.29</v>
      </c>
      <c r="R1287" s="10">
        <v>4058477.4</v>
      </c>
    </row>
    <row r="1288" spans="1:18" ht="12.75" x14ac:dyDescent="0.2">
      <c r="A1288" s="9" t="s">
        <v>332</v>
      </c>
      <c r="B1288" s="9" t="s">
        <v>239</v>
      </c>
      <c r="C1288" s="9" t="s">
        <v>311</v>
      </c>
      <c r="D1288" s="9" t="s">
        <v>87</v>
      </c>
      <c r="E1288" s="9" t="s">
        <v>271</v>
      </c>
      <c r="F1288" s="9" t="s">
        <v>334</v>
      </c>
      <c r="G1288" s="9" t="s">
        <v>311</v>
      </c>
      <c r="H1288" s="10">
        <v>674168.93</v>
      </c>
      <c r="I1288" s="10">
        <v>436707.04</v>
      </c>
      <c r="J1288" s="10">
        <v>196290.94</v>
      </c>
      <c r="K1288" s="10">
        <v>571726.46</v>
      </c>
      <c r="L1288" s="10">
        <v>177270.68</v>
      </c>
      <c r="M1288" s="10">
        <v>378594.35</v>
      </c>
      <c r="N1288" s="10">
        <v>448233.65</v>
      </c>
      <c r="O1288" s="10">
        <v>297870.81</v>
      </c>
      <c r="P1288" s="10">
        <v>310762.25</v>
      </c>
      <c r="Q1288" s="10">
        <v>566852.29</v>
      </c>
      <c r="R1288" s="10">
        <v>4058477.4</v>
      </c>
    </row>
    <row r="1289" spans="1:18" ht="12.75" x14ac:dyDescent="0.2">
      <c r="A1289" s="9" t="s">
        <v>332</v>
      </c>
      <c r="B1289" s="9" t="s">
        <v>239</v>
      </c>
      <c r="C1289" s="9" t="s">
        <v>311</v>
      </c>
      <c r="D1289" s="9" t="s">
        <v>87</v>
      </c>
      <c r="E1289" s="9" t="s">
        <v>272</v>
      </c>
      <c r="F1289" s="9" t="s">
        <v>334</v>
      </c>
      <c r="G1289" s="9" t="s">
        <v>311</v>
      </c>
      <c r="H1289" s="10">
        <v>674168.93</v>
      </c>
      <c r="I1289" s="10">
        <v>436707.04</v>
      </c>
      <c r="J1289" s="10">
        <v>196290.94</v>
      </c>
      <c r="K1289" s="10">
        <v>571726.46</v>
      </c>
      <c r="L1289" s="10">
        <v>177270.68</v>
      </c>
      <c r="M1289" s="10">
        <v>378594.35</v>
      </c>
      <c r="N1289" s="10">
        <v>448233.65</v>
      </c>
      <c r="O1289" s="10">
        <v>297870.81</v>
      </c>
      <c r="P1289" s="10">
        <v>310762.25</v>
      </c>
      <c r="Q1289" s="10">
        <v>566852.29</v>
      </c>
      <c r="R1289" s="10">
        <v>4058477.4</v>
      </c>
    </row>
    <row r="1290" spans="1:18" ht="12.75" x14ac:dyDescent="0.2">
      <c r="A1290" s="9" t="s">
        <v>332</v>
      </c>
      <c r="B1290" s="9" t="s">
        <v>239</v>
      </c>
      <c r="C1290" s="9" t="s">
        <v>311</v>
      </c>
      <c r="D1290" s="9" t="s">
        <v>87</v>
      </c>
      <c r="E1290" s="9" t="s">
        <v>273</v>
      </c>
      <c r="F1290" s="9" t="s">
        <v>334</v>
      </c>
      <c r="G1290" s="9" t="s">
        <v>311</v>
      </c>
      <c r="H1290" s="10">
        <v>674168.93</v>
      </c>
      <c r="I1290" s="10">
        <v>436707.04</v>
      </c>
      <c r="J1290" s="10">
        <v>196290.94</v>
      </c>
      <c r="K1290" s="10">
        <v>571726.46</v>
      </c>
      <c r="L1290" s="10">
        <v>177270.68</v>
      </c>
      <c r="M1290" s="10">
        <v>378594.35</v>
      </c>
      <c r="N1290" s="10">
        <v>448233.65</v>
      </c>
      <c r="O1290" s="10">
        <v>297870.81</v>
      </c>
      <c r="P1290" s="10">
        <v>310762.25</v>
      </c>
      <c r="Q1290" s="10">
        <v>566852.29</v>
      </c>
      <c r="R1290" s="10">
        <v>4058477.4</v>
      </c>
    </row>
    <row r="1291" spans="1:18" ht="12.75" x14ac:dyDescent="0.2">
      <c r="A1291" s="9" t="s">
        <v>332</v>
      </c>
      <c r="B1291" s="9" t="s">
        <v>239</v>
      </c>
      <c r="C1291" s="9" t="s">
        <v>311</v>
      </c>
      <c r="D1291" s="9" t="s">
        <v>87</v>
      </c>
      <c r="E1291" s="9" t="s">
        <v>274</v>
      </c>
      <c r="F1291" s="9" t="s">
        <v>334</v>
      </c>
      <c r="G1291" s="9" t="s">
        <v>311</v>
      </c>
      <c r="H1291" s="10">
        <v>674168.93</v>
      </c>
      <c r="I1291" s="10">
        <v>436707.04</v>
      </c>
      <c r="J1291" s="10">
        <v>196290.94</v>
      </c>
      <c r="K1291" s="10">
        <v>571726.46</v>
      </c>
      <c r="L1291" s="10">
        <v>177270.68</v>
      </c>
      <c r="M1291" s="10">
        <v>378594.35</v>
      </c>
      <c r="N1291" s="10">
        <v>448233.65</v>
      </c>
      <c r="O1291" s="10">
        <v>297870.81</v>
      </c>
      <c r="P1291" s="10">
        <v>310762.25</v>
      </c>
      <c r="Q1291" s="10">
        <v>566852.29</v>
      </c>
      <c r="R1291" s="10">
        <v>4058477.4</v>
      </c>
    </row>
    <row r="1292" spans="1:18" ht="12.75" x14ac:dyDescent="0.2">
      <c r="A1292" s="9" t="s">
        <v>332</v>
      </c>
      <c r="B1292" s="9" t="s">
        <v>239</v>
      </c>
      <c r="C1292" s="9" t="s">
        <v>311</v>
      </c>
      <c r="D1292" s="9" t="s">
        <v>87</v>
      </c>
      <c r="E1292" s="9" t="s">
        <v>275</v>
      </c>
      <c r="F1292" s="9" t="s">
        <v>334</v>
      </c>
      <c r="G1292" s="9" t="s">
        <v>311</v>
      </c>
      <c r="H1292" s="10">
        <v>674168.93</v>
      </c>
      <c r="I1292" s="10">
        <v>436707.04</v>
      </c>
      <c r="J1292" s="10">
        <v>196290.94</v>
      </c>
      <c r="K1292" s="10">
        <v>571726.46</v>
      </c>
      <c r="L1292" s="10">
        <v>177270.68</v>
      </c>
      <c r="M1292" s="10">
        <v>378594.35</v>
      </c>
      <c r="N1292" s="10">
        <v>448233.65</v>
      </c>
      <c r="O1292" s="10">
        <v>297870.81</v>
      </c>
      <c r="P1292" s="10">
        <v>310762.25</v>
      </c>
      <c r="Q1292" s="10">
        <v>566852.29</v>
      </c>
      <c r="R1292" s="10">
        <v>4058477.4</v>
      </c>
    </row>
    <row r="1293" spans="1:18" ht="12.75" x14ac:dyDescent="0.2">
      <c r="A1293" s="9" t="s">
        <v>332</v>
      </c>
      <c r="B1293" s="9" t="s">
        <v>239</v>
      </c>
      <c r="C1293" s="9" t="s">
        <v>311</v>
      </c>
      <c r="D1293" s="9" t="s">
        <v>87</v>
      </c>
      <c r="E1293" s="9" t="s">
        <v>276</v>
      </c>
      <c r="F1293" s="9" t="s">
        <v>334</v>
      </c>
      <c r="G1293" s="9" t="s">
        <v>311</v>
      </c>
      <c r="H1293" s="10">
        <v>674168.93</v>
      </c>
      <c r="I1293" s="10">
        <v>436707.04</v>
      </c>
      <c r="J1293" s="10">
        <v>196290.94</v>
      </c>
      <c r="K1293" s="10">
        <v>571726.46</v>
      </c>
      <c r="L1293" s="10">
        <v>177270.68</v>
      </c>
      <c r="M1293" s="10">
        <v>378594.35</v>
      </c>
      <c r="N1293" s="10">
        <v>448233.65</v>
      </c>
      <c r="O1293" s="10">
        <v>297870.81</v>
      </c>
      <c r="P1293" s="10">
        <v>310762.25</v>
      </c>
      <c r="Q1293" s="10">
        <v>566852.29</v>
      </c>
      <c r="R1293" s="10">
        <v>4058477.4</v>
      </c>
    </row>
    <row r="1294" spans="1:18" ht="12.75" x14ac:dyDescent="0.2">
      <c r="A1294" s="9" t="s">
        <v>332</v>
      </c>
      <c r="B1294" s="9" t="s">
        <v>239</v>
      </c>
      <c r="C1294" s="9" t="s">
        <v>311</v>
      </c>
      <c r="D1294" s="9" t="s">
        <v>96</v>
      </c>
      <c r="E1294" s="9" t="s">
        <v>277</v>
      </c>
      <c r="F1294" s="9" t="s">
        <v>334</v>
      </c>
      <c r="G1294" s="9" t="s">
        <v>311</v>
      </c>
      <c r="H1294" s="10">
        <v>204863.65</v>
      </c>
      <c r="I1294" s="10">
        <v>147478.75</v>
      </c>
      <c r="J1294" s="10">
        <v>3323.04</v>
      </c>
      <c r="K1294" s="10">
        <v>3335.5</v>
      </c>
      <c r="L1294" s="10">
        <v>0</v>
      </c>
      <c r="M1294" s="10">
        <v>0</v>
      </c>
      <c r="N1294" s="10">
        <v>9183.11</v>
      </c>
      <c r="O1294" s="10">
        <v>9703.4500000000007</v>
      </c>
      <c r="P1294" s="10">
        <v>-3923.76</v>
      </c>
      <c r="Q1294" s="10">
        <v>0</v>
      </c>
      <c r="R1294" s="10">
        <v>373963.74</v>
      </c>
    </row>
    <row r="1295" spans="1:18" ht="12.75" x14ac:dyDescent="0.2">
      <c r="A1295" s="9" t="s">
        <v>332</v>
      </c>
      <c r="B1295" s="9" t="s">
        <v>239</v>
      </c>
      <c r="C1295" s="9" t="s">
        <v>311</v>
      </c>
      <c r="D1295" s="9" t="s">
        <v>96</v>
      </c>
      <c r="E1295" s="9" t="s">
        <v>278</v>
      </c>
      <c r="F1295" s="9" t="s">
        <v>334</v>
      </c>
      <c r="G1295" s="9" t="s">
        <v>311</v>
      </c>
      <c r="H1295" s="10">
        <v>204863.65</v>
      </c>
      <c r="I1295" s="10">
        <v>147478.75</v>
      </c>
      <c r="J1295" s="10">
        <v>3323.04</v>
      </c>
      <c r="K1295" s="10">
        <v>3335.5</v>
      </c>
      <c r="L1295" s="10">
        <v>0</v>
      </c>
      <c r="M1295" s="10">
        <v>0</v>
      </c>
      <c r="N1295" s="10">
        <v>9183.11</v>
      </c>
      <c r="O1295" s="10">
        <v>9703.4500000000007</v>
      </c>
      <c r="P1295" s="10">
        <v>-3923.76</v>
      </c>
      <c r="Q1295" s="10">
        <v>0</v>
      </c>
      <c r="R1295" s="10">
        <v>373963.74</v>
      </c>
    </row>
    <row r="1296" spans="1:18" ht="12.75" x14ac:dyDescent="0.2">
      <c r="A1296" s="9" t="s">
        <v>332</v>
      </c>
      <c r="B1296" s="9" t="s">
        <v>239</v>
      </c>
      <c r="C1296" s="9" t="s">
        <v>311</v>
      </c>
      <c r="D1296" s="9" t="s">
        <v>96</v>
      </c>
      <c r="E1296" s="9" t="s">
        <v>279</v>
      </c>
      <c r="F1296" s="9" t="s">
        <v>334</v>
      </c>
      <c r="G1296" s="9" t="s">
        <v>311</v>
      </c>
      <c r="H1296" s="10">
        <v>204863.65</v>
      </c>
      <c r="I1296" s="10">
        <v>147478.75</v>
      </c>
      <c r="J1296" s="10">
        <v>3323.04</v>
      </c>
      <c r="K1296" s="10">
        <v>3335.5</v>
      </c>
      <c r="L1296" s="10">
        <v>0</v>
      </c>
      <c r="M1296" s="10">
        <v>0</v>
      </c>
      <c r="N1296" s="10">
        <v>9183.11</v>
      </c>
      <c r="O1296" s="10">
        <v>9703.4500000000007</v>
      </c>
      <c r="P1296" s="10">
        <v>-3923.76</v>
      </c>
      <c r="Q1296" s="10">
        <v>0</v>
      </c>
      <c r="R1296" s="10">
        <v>373963.74</v>
      </c>
    </row>
    <row r="1297" spans="1:18" ht="12.75" x14ac:dyDescent="0.2">
      <c r="A1297" s="9" t="s">
        <v>332</v>
      </c>
      <c r="B1297" s="9" t="s">
        <v>239</v>
      </c>
      <c r="C1297" s="9" t="s">
        <v>311</v>
      </c>
      <c r="D1297" s="9" t="s">
        <v>96</v>
      </c>
      <c r="E1297" s="9" t="s">
        <v>280</v>
      </c>
      <c r="F1297" s="9" t="s">
        <v>334</v>
      </c>
      <c r="G1297" s="9" t="s">
        <v>311</v>
      </c>
      <c r="H1297" s="10">
        <v>204863.65</v>
      </c>
      <c r="I1297" s="10">
        <v>147478.75</v>
      </c>
      <c r="J1297" s="10">
        <v>3323.04</v>
      </c>
      <c r="K1297" s="10">
        <v>3335.5</v>
      </c>
      <c r="L1297" s="10">
        <v>0</v>
      </c>
      <c r="M1297" s="10">
        <v>0</v>
      </c>
      <c r="N1297" s="10">
        <v>9183.11</v>
      </c>
      <c r="O1297" s="10">
        <v>9703.4500000000007</v>
      </c>
      <c r="P1297" s="10">
        <v>-3923.76</v>
      </c>
      <c r="Q1297" s="10">
        <v>0</v>
      </c>
      <c r="R1297" s="10">
        <v>373963.74</v>
      </c>
    </row>
    <row r="1298" spans="1:18" ht="12.75" x14ac:dyDescent="0.2">
      <c r="A1298" s="9" t="s">
        <v>332</v>
      </c>
      <c r="B1298" s="9" t="s">
        <v>239</v>
      </c>
      <c r="C1298" s="9" t="s">
        <v>311</v>
      </c>
      <c r="D1298" s="9" t="s">
        <v>96</v>
      </c>
      <c r="E1298" s="9" t="s">
        <v>281</v>
      </c>
      <c r="F1298" s="9" t="s">
        <v>334</v>
      </c>
      <c r="G1298" s="9" t="s">
        <v>311</v>
      </c>
      <c r="H1298" s="10">
        <v>204863.65</v>
      </c>
      <c r="I1298" s="10">
        <v>147478.75</v>
      </c>
      <c r="J1298" s="10">
        <v>3323.04</v>
      </c>
      <c r="K1298" s="10">
        <v>3335.5</v>
      </c>
      <c r="L1298" s="10">
        <v>0</v>
      </c>
      <c r="M1298" s="10">
        <v>0</v>
      </c>
      <c r="N1298" s="10">
        <v>9183.11</v>
      </c>
      <c r="O1298" s="10">
        <v>9703.4500000000007</v>
      </c>
      <c r="P1298" s="10">
        <v>-3923.76</v>
      </c>
      <c r="Q1298" s="10">
        <v>0</v>
      </c>
      <c r="R1298" s="10">
        <v>373963.74</v>
      </c>
    </row>
    <row r="1299" spans="1:18" ht="12.75" x14ac:dyDescent="0.2">
      <c r="A1299" s="9" t="s">
        <v>332</v>
      </c>
      <c r="B1299" s="9" t="s">
        <v>239</v>
      </c>
      <c r="C1299" s="9" t="s">
        <v>311</v>
      </c>
      <c r="D1299" s="9" t="s">
        <v>96</v>
      </c>
      <c r="E1299" s="9" t="s">
        <v>282</v>
      </c>
      <c r="F1299" s="9" t="s">
        <v>334</v>
      </c>
      <c r="G1299" s="9" t="s">
        <v>311</v>
      </c>
      <c r="H1299" s="10">
        <v>204863.65</v>
      </c>
      <c r="I1299" s="10">
        <v>147478.75</v>
      </c>
      <c r="J1299" s="10">
        <v>3323.04</v>
      </c>
      <c r="K1299" s="10">
        <v>3335.5</v>
      </c>
      <c r="L1299" s="10">
        <v>0</v>
      </c>
      <c r="M1299" s="10">
        <v>0</v>
      </c>
      <c r="N1299" s="10">
        <v>9183.11</v>
      </c>
      <c r="O1299" s="10">
        <v>9703.4500000000007</v>
      </c>
      <c r="P1299" s="10">
        <v>-3923.76</v>
      </c>
      <c r="Q1299" s="10">
        <v>0</v>
      </c>
      <c r="R1299" s="10">
        <v>373963.74</v>
      </c>
    </row>
    <row r="1300" spans="1:18" ht="12.75" x14ac:dyDescent="0.2">
      <c r="A1300" s="9" t="s">
        <v>332</v>
      </c>
      <c r="B1300" s="9" t="s">
        <v>239</v>
      </c>
      <c r="C1300" s="9" t="s">
        <v>311</v>
      </c>
      <c r="D1300" s="9" t="s">
        <v>96</v>
      </c>
      <c r="E1300" s="9" t="s">
        <v>283</v>
      </c>
      <c r="F1300" s="9" t="s">
        <v>334</v>
      </c>
      <c r="G1300" s="9" t="s">
        <v>311</v>
      </c>
      <c r="H1300" s="10">
        <v>204863.65</v>
      </c>
      <c r="I1300" s="10">
        <v>147478.75</v>
      </c>
      <c r="J1300" s="10">
        <v>3323.04</v>
      </c>
      <c r="K1300" s="10">
        <v>3335.5</v>
      </c>
      <c r="L1300" s="10">
        <v>0</v>
      </c>
      <c r="M1300" s="10">
        <v>0</v>
      </c>
      <c r="N1300" s="10">
        <v>9183.11</v>
      </c>
      <c r="O1300" s="10">
        <v>9703.4500000000007</v>
      </c>
      <c r="P1300" s="10">
        <v>-3923.76</v>
      </c>
      <c r="Q1300" s="10">
        <v>0</v>
      </c>
      <c r="R1300" s="10">
        <v>373963.74</v>
      </c>
    </row>
    <row r="1301" spans="1:18" ht="12.75" x14ac:dyDescent="0.2">
      <c r="A1301" s="9" t="s">
        <v>332</v>
      </c>
      <c r="B1301" s="9" t="s">
        <v>239</v>
      </c>
      <c r="C1301" s="9" t="s">
        <v>311</v>
      </c>
      <c r="D1301" s="9" t="s">
        <v>96</v>
      </c>
      <c r="E1301" s="9" t="s">
        <v>284</v>
      </c>
      <c r="F1301" s="9" t="s">
        <v>334</v>
      </c>
      <c r="G1301" s="9" t="s">
        <v>311</v>
      </c>
      <c r="H1301" s="10">
        <v>204863.65</v>
      </c>
      <c r="I1301" s="10">
        <v>147478.75</v>
      </c>
      <c r="J1301" s="10">
        <v>3323.04</v>
      </c>
      <c r="K1301" s="10">
        <v>3335.5</v>
      </c>
      <c r="L1301" s="10">
        <v>0</v>
      </c>
      <c r="M1301" s="10">
        <v>0</v>
      </c>
      <c r="N1301" s="10">
        <v>9183.11</v>
      </c>
      <c r="O1301" s="10">
        <v>9703.4500000000007</v>
      </c>
      <c r="P1301" s="10">
        <v>-3923.76</v>
      </c>
      <c r="Q1301" s="10">
        <v>0</v>
      </c>
      <c r="R1301" s="10">
        <v>373963.74</v>
      </c>
    </row>
    <row r="1302" spans="1:18" ht="12.75" x14ac:dyDescent="0.2">
      <c r="A1302" s="9" t="s">
        <v>332</v>
      </c>
      <c r="B1302" s="9" t="s">
        <v>239</v>
      </c>
      <c r="C1302" s="9" t="s">
        <v>311</v>
      </c>
      <c r="D1302" s="9" t="s">
        <v>96</v>
      </c>
      <c r="E1302" s="9" t="s">
        <v>285</v>
      </c>
      <c r="F1302" s="9" t="s">
        <v>334</v>
      </c>
      <c r="G1302" s="9" t="s">
        <v>311</v>
      </c>
      <c r="H1302" s="10">
        <v>204863.65</v>
      </c>
      <c r="I1302" s="10">
        <v>147478.75</v>
      </c>
      <c r="J1302" s="10">
        <v>3323.04</v>
      </c>
      <c r="K1302" s="10">
        <v>3335.5</v>
      </c>
      <c r="L1302" s="10">
        <v>0</v>
      </c>
      <c r="M1302" s="10">
        <v>0</v>
      </c>
      <c r="N1302" s="10">
        <v>9183.11</v>
      </c>
      <c r="O1302" s="10">
        <v>9703.4500000000007</v>
      </c>
      <c r="P1302" s="10">
        <v>-3923.76</v>
      </c>
      <c r="Q1302" s="10">
        <v>0</v>
      </c>
      <c r="R1302" s="10">
        <v>373963.74</v>
      </c>
    </row>
    <row r="1303" spans="1:18" ht="12.75" x14ac:dyDescent="0.2">
      <c r="A1303" s="9" t="s">
        <v>332</v>
      </c>
      <c r="B1303" s="9" t="s">
        <v>239</v>
      </c>
      <c r="C1303" s="9" t="s">
        <v>311</v>
      </c>
      <c r="D1303" s="9" t="s">
        <v>96</v>
      </c>
      <c r="E1303" s="9" t="s">
        <v>286</v>
      </c>
      <c r="F1303" s="9" t="s">
        <v>334</v>
      </c>
      <c r="G1303" s="9" t="s">
        <v>311</v>
      </c>
      <c r="H1303" s="10">
        <v>204863.65</v>
      </c>
      <c r="I1303" s="10">
        <v>147478.75</v>
      </c>
      <c r="J1303" s="10">
        <v>3323.04</v>
      </c>
      <c r="K1303" s="10">
        <v>3335.5</v>
      </c>
      <c r="L1303" s="10">
        <v>0</v>
      </c>
      <c r="M1303" s="10">
        <v>0</v>
      </c>
      <c r="N1303" s="10">
        <v>9183.11</v>
      </c>
      <c r="O1303" s="10">
        <v>9703.4500000000007</v>
      </c>
      <c r="P1303" s="10">
        <v>-3923.76</v>
      </c>
      <c r="Q1303" s="10">
        <v>0</v>
      </c>
      <c r="R1303" s="10">
        <v>373963.74</v>
      </c>
    </row>
    <row r="1304" spans="1:18" ht="12.75" x14ac:dyDescent="0.2">
      <c r="A1304" s="9" t="s">
        <v>332</v>
      </c>
      <c r="B1304" s="9" t="s">
        <v>239</v>
      </c>
      <c r="C1304" s="9" t="s">
        <v>311</v>
      </c>
      <c r="D1304" s="9" t="s">
        <v>112</v>
      </c>
      <c r="E1304" s="9" t="s">
        <v>288</v>
      </c>
      <c r="F1304" s="9" t="s">
        <v>334</v>
      </c>
      <c r="G1304" s="9" t="s">
        <v>311</v>
      </c>
      <c r="H1304" s="10">
        <v>2746.49</v>
      </c>
      <c r="I1304" s="10">
        <v>2095.4299999999998</v>
      </c>
      <c r="J1304" s="10">
        <v>1970.05</v>
      </c>
      <c r="K1304" s="10">
        <v>554.21</v>
      </c>
      <c r="L1304" s="10">
        <v>667743.66</v>
      </c>
      <c r="M1304" s="10">
        <v>5499.76</v>
      </c>
      <c r="N1304" s="10">
        <v>31420.99</v>
      </c>
      <c r="O1304" s="10">
        <v>33467.910000000003</v>
      </c>
      <c r="P1304" s="10">
        <v>1146.19</v>
      </c>
      <c r="Q1304" s="10">
        <v>505.75</v>
      </c>
      <c r="R1304" s="10">
        <v>747150.44</v>
      </c>
    </row>
    <row r="1305" spans="1:18" ht="12.75" x14ac:dyDescent="0.2">
      <c r="A1305" s="9" t="s">
        <v>332</v>
      </c>
      <c r="B1305" s="9" t="s">
        <v>239</v>
      </c>
      <c r="C1305" s="9" t="s">
        <v>311</v>
      </c>
      <c r="D1305" s="9" t="s">
        <v>112</v>
      </c>
      <c r="E1305" s="9" t="s">
        <v>289</v>
      </c>
      <c r="F1305" s="9" t="s">
        <v>334</v>
      </c>
      <c r="G1305" s="9" t="s">
        <v>311</v>
      </c>
      <c r="H1305" s="10">
        <v>2746.49</v>
      </c>
      <c r="I1305" s="10">
        <v>2095.4299999999998</v>
      </c>
      <c r="J1305" s="10">
        <v>1970.05</v>
      </c>
      <c r="K1305" s="10">
        <v>554.21</v>
      </c>
      <c r="L1305" s="10">
        <v>667743.66</v>
      </c>
      <c r="M1305" s="10">
        <v>5499.76</v>
      </c>
      <c r="N1305" s="10">
        <v>31420.99</v>
      </c>
      <c r="O1305" s="10">
        <v>33467.910000000003</v>
      </c>
      <c r="P1305" s="10">
        <v>1146.19</v>
      </c>
      <c r="Q1305" s="10">
        <v>505.75</v>
      </c>
      <c r="R1305" s="10">
        <v>747150.44</v>
      </c>
    </row>
    <row r="1306" spans="1:18" ht="12.75" x14ac:dyDescent="0.2">
      <c r="A1306" s="9" t="s">
        <v>332</v>
      </c>
      <c r="B1306" s="9" t="s">
        <v>239</v>
      </c>
      <c r="C1306" s="9" t="s">
        <v>311</v>
      </c>
      <c r="D1306" s="9" t="s">
        <v>112</v>
      </c>
      <c r="E1306" s="9" t="s">
        <v>290</v>
      </c>
      <c r="F1306" s="9" t="s">
        <v>334</v>
      </c>
      <c r="G1306" s="9" t="s">
        <v>311</v>
      </c>
      <c r="H1306" s="10">
        <v>2746.49</v>
      </c>
      <c r="I1306" s="10">
        <v>2095.4299999999998</v>
      </c>
      <c r="J1306" s="10">
        <v>1970.05</v>
      </c>
      <c r="K1306" s="10">
        <v>554.21</v>
      </c>
      <c r="L1306" s="10">
        <v>667743.66</v>
      </c>
      <c r="M1306" s="10">
        <v>5499.76</v>
      </c>
      <c r="N1306" s="10">
        <v>31420.99</v>
      </c>
      <c r="O1306" s="10">
        <v>33467.910000000003</v>
      </c>
      <c r="P1306" s="10">
        <v>1146.19</v>
      </c>
      <c r="Q1306" s="10">
        <v>505.75</v>
      </c>
      <c r="R1306" s="10">
        <v>747150.44</v>
      </c>
    </row>
    <row r="1307" spans="1:18" ht="12.75" x14ac:dyDescent="0.2">
      <c r="A1307" s="9" t="s">
        <v>332</v>
      </c>
      <c r="B1307" s="9" t="s">
        <v>239</v>
      </c>
      <c r="C1307" s="9" t="s">
        <v>311</v>
      </c>
      <c r="D1307" s="9" t="s">
        <v>112</v>
      </c>
      <c r="E1307" s="9" t="s">
        <v>291</v>
      </c>
      <c r="F1307" s="9" t="s">
        <v>334</v>
      </c>
      <c r="G1307" s="9" t="s">
        <v>311</v>
      </c>
      <c r="H1307" s="10">
        <v>2746.49</v>
      </c>
      <c r="I1307" s="10">
        <v>2095.4299999999998</v>
      </c>
      <c r="J1307" s="10">
        <v>1970.05</v>
      </c>
      <c r="K1307" s="10">
        <v>554.21</v>
      </c>
      <c r="L1307" s="10">
        <v>667743.66</v>
      </c>
      <c r="M1307" s="10">
        <v>5499.76</v>
      </c>
      <c r="N1307" s="10">
        <v>31420.99</v>
      </c>
      <c r="O1307" s="10">
        <v>33467.910000000003</v>
      </c>
      <c r="P1307" s="10">
        <v>1146.19</v>
      </c>
      <c r="Q1307" s="10">
        <v>505.75</v>
      </c>
      <c r="R1307" s="10">
        <v>747150.44</v>
      </c>
    </row>
    <row r="1308" spans="1:18" ht="12.75" x14ac:dyDescent="0.2">
      <c r="A1308" s="9" t="s">
        <v>332</v>
      </c>
      <c r="B1308" s="9" t="s">
        <v>239</v>
      </c>
      <c r="C1308" s="9" t="s">
        <v>311</v>
      </c>
      <c r="D1308" s="9" t="s">
        <v>112</v>
      </c>
      <c r="E1308" s="9" t="s">
        <v>292</v>
      </c>
      <c r="F1308" s="9" t="s">
        <v>334</v>
      </c>
      <c r="G1308" s="9" t="s">
        <v>311</v>
      </c>
      <c r="H1308" s="10">
        <v>2746.49</v>
      </c>
      <c r="I1308" s="10">
        <v>2095.4299999999998</v>
      </c>
      <c r="J1308" s="10">
        <v>1970.05</v>
      </c>
      <c r="K1308" s="10">
        <v>554.21</v>
      </c>
      <c r="L1308" s="10">
        <v>667743.66</v>
      </c>
      <c r="M1308" s="10">
        <v>5499.76</v>
      </c>
      <c r="N1308" s="10">
        <v>31420.99</v>
      </c>
      <c r="O1308" s="10">
        <v>33467.910000000003</v>
      </c>
      <c r="P1308" s="10">
        <v>1146.19</v>
      </c>
      <c r="Q1308" s="10">
        <v>505.75</v>
      </c>
      <c r="R1308" s="10">
        <v>747150.44</v>
      </c>
    </row>
    <row r="1309" spans="1:18" ht="12.75" x14ac:dyDescent="0.2">
      <c r="A1309" s="9" t="s">
        <v>332</v>
      </c>
      <c r="B1309" s="9" t="s">
        <v>239</v>
      </c>
      <c r="C1309" s="9" t="s">
        <v>311</v>
      </c>
      <c r="D1309" s="9" t="s">
        <v>112</v>
      </c>
      <c r="E1309" s="9" t="s">
        <v>293</v>
      </c>
      <c r="F1309" s="9" t="s">
        <v>334</v>
      </c>
      <c r="G1309" s="9" t="s">
        <v>311</v>
      </c>
      <c r="H1309" s="10">
        <v>2746.49</v>
      </c>
      <c r="I1309" s="10">
        <v>2095.4299999999998</v>
      </c>
      <c r="J1309" s="10">
        <v>1970.05</v>
      </c>
      <c r="K1309" s="10">
        <v>554.21</v>
      </c>
      <c r="L1309" s="10">
        <v>667743.66</v>
      </c>
      <c r="M1309" s="10">
        <v>5499.76</v>
      </c>
      <c r="N1309" s="10">
        <v>31420.99</v>
      </c>
      <c r="O1309" s="10">
        <v>33467.910000000003</v>
      </c>
      <c r="P1309" s="10">
        <v>1146.19</v>
      </c>
      <c r="Q1309" s="10">
        <v>505.75</v>
      </c>
      <c r="R1309" s="10">
        <v>747150.44</v>
      </c>
    </row>
    <row r="1310" spans="1:18" ht="12.75" x14ac:dyDescent="0.2">
      <c r="A1310" s="9" t="s">
        <v>332</v>
      </c>
      <c r="B1310" s="9" t="s">
        <v>239</v>
      </c>
      <c r="C1310" s="9" t="s">
        <v>311</v>
      </c>
      <c r="D1310" s="9" t="s">
        <v>112</v>
      </c>
      <c r="E1310" s="9" t="s">
        <v>294</v>
      </c>
      <c r="F1310" s="9" t="s">
        <v>334</v>
      </c>
      <c r="G1310" s="9" t="s">
        <v>311</v>
      </c>
      <c r="H1310" s="10">
        <v>2746.49</v>
      </c>
      <c r="I1310" s="10">
        <v>2095.4299999999998</v>
      </c>
      <c r="J1310" s="10">
        <v>1970.05</v>
      </c>
      <c r="K1310" s="10">
        <v>554.21</v>
      </c>
      <c r="L1310" s="10">
        <v>667743.66</v>
      </c>
      <c r="M1310" s="10">
        <v>5499.76</v>
      </c>
      <c r="N1310" s="10">
        <v>31420.99</v>
      </c>
      <c r="O1310" s="10">
        <v>33467.910000000003</v>
      </c>
      <c r="P1310" s="10">
        <v>1146.19</v>
      </c>
      <c r="Q1310" s="10">
        <v>505.75</v>
      </c>
      <c r="R1310" s="10">
        <v>747150.44</v>
      </c>
    </row>
    <row r="1311" spans="1:18" ht="12.75" x14ac:dyDescent="0.2">
      <c r="A1311" s="9" t="s">
        <v>332</v>
      </c>
      <c r="B1311" s="9" t="s">
        <v>239</v>
      </c>
      <c r="C1311" s="9" t="s">
        <v>311</v>
      </c>
      <c r="D1311" s="9" t="s">
        <v>112</v>
      </c>
      <c r="E1311" s="9" t="s">
        <v>295</v>
      </c>
      <c r="F1311" s="9" t="s">
        <v>334</v>
      </c>
      <c r="G1311" s="9" t="s">
        <v>311</v>
      </c>
      <c r="H1311" s="10">
        <v>2746.49</v>
      </c>
      <c r="I1311" s="10">
        <v>2095.4299999999998</v>
      </c>
      <c r="J1311" s="10">
        <v>1970.05</v>
      </c>
      <c r="K1311" s="10">
        <v>554.21</v>
      </c>
      <c r="L1311" s="10">
        <v>667743.66</v>
      </c>
      <c r="M1311" s="10">
        <v>5499.76</v>
      </c>
      <c r="N1311" s="10">
        <v>31420.99</v>
      </c>
      <c r="O1311" s="10">
        <v>33467.910000000003</v>
      </c>
      <c r="P1311" s="10">
        <v>1146.19</v>
      </c>
      <c r="Q1311" s="10">
        <v>505.75</v>
      </c>
      <c r="R1311" s="10">
        <v>747150.44</v>
      </c>
    </row>
    <row r="1312" spans="1:18" ht="12.75" x14ac:dyDescent="0.2">
      <c r="A1312" s="9" t="s">
        <v>332</v>
      </c>
      <c r="B1312" s="9" t="s">
        <v>239</v>
      </c>
      <c r="C1312" s="9" t="s">
        <v>311</v>
      </c>
      <c r="D1312" s="9" t="s">
        <v>112</v>
      </c>
      <c r="E1312" s="9" t="s">
        <v>296</v>
      </c>
      <c r="F1312" s="9" t="s">
        <v>334</v>
      </c>
      <c r="G1312" s="9" t="s">
        <v>311</v>
      </c>
      <c r="H1312" s="10">
        <v>2746.49</v>
      </c>
      <c r="I1312" s="10">
        <v>2095.4299999999998</v>
      </c>
      <c r="J1312" s="10">
        <v>1970.05</v>
      </c>
      <c r="K1312" s="10">
        <v>554.21</v>
      </c>
      <c r="L1312" s="10">
        <v>667743.66</v>
      </c>
      <c r="M1312" s="10">
        <v>5499.76</v>
      </c>
      <c r="N1312" s="10">
        <v>31420.99</v>
      </c>
      <c r="O1312" s="10">
        <v>33467.910000000003</v>
      </c>
      <c r="P1312" s="10">
        <v>1146.19</v>
      </c>
      <c r="Q1312" s="10">
        <v>505.75</v>
      </c>
      <c r="R1312" s="10">
        <v>747150.44</v>
      </c>
    </row>
    <row r="1313" spans="1:18" ht="12.75" x14ac:dyDescent="0.2">
      <c r="A1313" s="9" t="s">
        <v>332</v>
      </c>
      <c r="B1313" s="9" t="s">
        <v>239</v>
      </c>
      <c r="C1313" s="9" t="s">
        <v>311</v>
      </c>
      <c r="D1313" s="9" t="s">
        <v>112</v>
      </c>
      <c r="E1313" s="9" t="s">
        <v>297</v>
      </c>
      <c r="F1313" s="9" t="s">
        <v>334</v>
      </c>
      <c r="G1313" s="9" t="s">
        <v>311</v>
      </c>
      <c r="H1313" s="10">
        <v>2746.49</v>
      </c>
      <c r="I1313" s="10">
        <v>2095.4299999999998</v>
      </c>
      <c r="J1313" s="10">
        <v>1970.05</v>
      </c>
      <c r="K1313" s="10">
        <v>554.21</v>
      </c>
      <c r="L1313" s="10">
        <v>667743.66</v>
      </c>
      <c r="M1313" s="10">
        <v>5499.76</v>
      </c>
      <c r="N1313" s="10">
        <v>31420.99</v>
      </c>
      <c r="O1313" s="10">
        <v>33467.910000000003</v>
      </c>
      <c r="P1313" s="10">
        <v>1146.19</v>
      </c>
      <c r="Q1313" s="10">
        <v>505.75</v>
      </c>
      <c r="R1313" s="10">
        <v>747150.44</v>
      </c>
    </row>
    <row r="1314" spans="1:18" ht="12.75" x14ac:dyDescent="0.2">
      <c r="A1314" s="9" t="s">
        <v>332</v>
      </c>
      <c r="B1314" s="9" t="s">
        <v>239</v>
      </c>
      <c r="C1314" s="9" t="s">
        <v>311</v>
      </c>
      <c r="D1314" s="9" t="s">
        <v>112</v>
      </c>
      <c r="E1314" s="9" t="s">
        <v>298</v>
      </c>
      <c r="F1314" s="9" t="s">
        <v>334</v>
      </c>
      <c r="G1314" s="9" t="s">
        <v>311</v>
      </c>
      <c r="H1314" s="10">
        <v>2746.49</v>
      </c>
      <c r="I1314" s="10">
        <v>2095.4299999999998</v>
      </c>
      <c r="J1314" s="10">
        <v>1970.05</v>
      </c>
      <c r="K1314" s="10">
        <v>554.21</v>
      </c>
      <c r="L1314" s="10">
        <v>667743.66</v>
      </c>
      <c r="M1314" s="10">
        <v>5499.76</v>
      </c>
      <c r="N1314" s="10">
        <v>31420.99</v>
      </c>
      <c r="O1314" s="10">
        <v>33467.910000000003</v>
      </c>
      <c r="P1314" s="10">
        <v>1146.19</v>
      </c>
      <c r="Q1314" s="10">
        <v>505.75</v>
      </c>
      <c r="R1314" s="10">
        <v>747150.44</v>
      </c>
    </row>
    <row r="1315" spans="1:18" ht="12.75" x14ac:dyDescent="0.2">
      <c r="A1315" s="9" t="s">
        <v>335</v>
      </c>
      <c r="B1315" s="9" t="s">
        <v>239</v>
      </c>
      <c r="C1315" s="9" t="s">
        <v>311</v>
      </c>
      <c r="D1315" s="9" t="s">
        <v>112</v>
      </c>
      <c r="E1315" s="9" t="s">
        <v>299</v>
      </c>
      <c r="F1315" s="9" t="s">
        <v>334</v>
      </c>
      <c r="G1315" s="9" t="s">
        <v>311</v>
      </c>
      <c r="H1315" s="10">
        <v>0</v>
      </c>
      <c r="I1315" s="10">
        <v>0</v>
      </c>
      <c r="J1315" s="10">
        <v>19919.400000000001</v>
      </c>
      <c r="K1315" s="10">
        <v>0</v>
      </c>
      <c r="L1315" s="10">
        <v>34838.410000000003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54757.81</v>
      </c>
    </row>
    <row r="1316" spans="1:18" ht="12.75" x14ac:dyDescent="0.2">
      <c r="A1316" s="9" t="s">
        <v>332</v>
      </c>
      <c r="B1316" s="9" t="s">
        <v>239</v>
      </c>
      <c r="C1316" s="9" t="s">
        <v>311</v>
      </c>
      <c r="D1316" s="9" t="s">
        <v>112</v>
      </c>
      <c r="E1316" s="9" t="s">
        <v>300</v>
      </c>
      <c r="F1316" s="9" t="s">
        <v>334</v>
      </c>
      <c r="G1316" s="9" t="s">
        <v>311</v>
      </c>
      <c r="H1316" s="10">
        <v>2746.49</v>
      </c>
      <c r="I1316" s="10">
        <v>2095.4299999999998</v>
      </c>
      <c r="J1316" s="10">
        <v>1970.05</v>
      </c>
      <c r="K1316" s="10">
        <v>554.21</v>
      </c>
      <c r="L1316" s="10">
        <v>667743.66</v>
      </c>
      <c r="M1316" s="10">
        <v>5499.76</v>
      </c>
      <c r="N1316" s="10">
        <v>31420.99</v>
      </c>
      <c r="O1316" s="10">
        <v>33467.910000000003</v>
      </c>
      <c r="P1316" s="10">
        <v>1146.19</v>
      </c>
      <c r="Q1316" s="10">
        <v>505.75</v>
      </c>
      <c r="R1316" s="10">
        <v>747150.44</v>
      </c>
    </row>
    <row r="1317" spans="1:18" ht="12.75" x14ac:dyDescent="0.2">
      <c r="A1317" s="9" t="s">
        <v>332</v>
      </c>
      <c r="B1317" s="9" t="s">
        <v>239</v>
      </c>
      <c r="C1317" s="9" t="s">
        <v>311</v>
      </c>
      <c r="D1317" s="9" t="s">
        <v>112</v>
      </c>
      <c r="E1317" s="9" t="s">
        <v>301</v>
      </c>
      <c r="F1317" s="9" t="s">
        <v>334</v>
      </c>
      <c r="G1317" s="9" t="s">
        <v>311</v>
      </c>
      <c r="H1317" s="10">
        <v>2746.49</v>
      </c>
      <c r="I1317" s="10">
        <v>2095.4299999999998</v>
      </c>
      <c r="J1317" s="10">
        <v>1970.05</v>
      </c>
      <c r="K1317" s="10">
        <v>554.21</v>
      </c>
      <c r="L1317" s="10">
        <v>667743.66</v>
      </c>
      <c r="M1317" s="10">
        <v>5499.76</v>
      </c>
      <c r="N1317" s="10">
        <v>31420.99</v>
      </c>
      <c r="O1317" s="10">
        <v>33467.910000000003</v>
      </c>
      <c r="P1317" s="10">
        <v>1146.19</v>
      </c>
      <c r="Q1317" s="10">
        <v>505.75</v>
      </c>
      <c r="R1317" s="10">
        <v>747150.44</v>
      </c>
    </row>
    <row r="1318" spans="1:18" ht="12.75" x14ac:dyDescent="0.2">
      <c r="A1318" s="9" t="s">
        <v>335</v>
      </c>
      <c r="B1318" s="9" t="s">
        <v>239</v>
      </c>
      <c r="C1318" s="9" t="s">
        <v>311</v>
      </c>
      <c r="D1318" s="9" t="s">
        <v>112</v>
      </c>
      <c r="E1318" s="9" t="s">
        <v>302</v>
      </c>
      <c r="F1318" s="9" t="s">
        <v>334</v>
      </c>
      <c r="G1318" s="9" t="s">
        <v>311</v>
      </c>
      <c r="H1318" s="10">
        <v>0</v>
      </c>
      <c r="I1318" s="10">
        <v>0</v>
      </c>
      <c r="J1318" s="10">
        <v>19919.400000000001</v>
      </c>
      <c r="K1318" s="10">
        <v>0</v>
      </c>
      <c r="L1318" s="10">
        <v>34838.410000000003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54757.81</v>
      </c>
    </row>
    <row r="1319" spans="1:18" ht="12.75" x14ac:dyDescent="0.2">
      <c r="A1319" s="9" t="s">
        <v>332</v>
      </c>
      <c r="B1319" s="9" t="s">
        <v>239</v>
      </c>
      <c r="C1319" s="9" t="s">
        <v>311</v>
      </c>
      <c r="D1319" s="9" t="s">
        <v>74</v>
      </c>
      <c r="E1319" s="9" t="s">
        <v>303</v>
      </c>
      <c r="F1319" s="9" t="s">
        <v>334</v>
      </c>
      <c r="G1319" s="9" t="s">
        <v>311</v>
      </c>
      <c r="H1319" s="10">
        <v>27252.59</v>
      </c>
      <c r="I1319" s="10">
        <v>7477.8</v>
      </c>
      <c r="J1319" s="10">
        <v>62983.25</v>
      </c>
      <c r="K1319" s="10">
        <v>68444.460000000006</v>
      </c>
      <c r="L1319" s="10">
        <v>4147.43</v>
      </c>
      <c r="M1319" s="10">
        <v>9017.6200000000008</v>
      </c>
      <c r="N1319" s="10">
        <v>222.48</v>
      </c>
      <c r="O1319" s="10">
        <v>5502.58</v>
      </c>
      <c r="P1319" s="10">
        <v>4966.83</v>
      </c>
      <c r="Q1319" s="10">
        <v>73052.84</v>
      </c>
      <c r="R1319" s="10">
        <v>263067.88</v>
      </c>
    </row>
    <row r="1320" spans="1:18" ht="12.75" x14ac:dyDescent="0.2">
      <c r="A1320" s="9" t="s">
        <v>335</v>
      </c>
      <c r="B1320" s="9" t="s">
        <v>239</v>
      </c>
      <c r="C1320" s="9" t="s">
        <v>311</v>
      </c>
      <c r="D1320" s="9" t="s">
        <v>74</v>
      </c>
      <c r="E1320" s="9" t="s">
        <v>303</v>
      </c>
      <c r="F1320" s="9" t="s">
        <v>334</v>
      </c>
      <c r="G1320" s="9" t="s">
        <v>311</v>
      </c>
      <c r="H1320" s="10">
        <v>0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1962.42</v>
      </c>
      <c r="R1320" s="10">
        <v>1962.42</v>
      </c>
    </row>
    <row r="1321" spans="1:18" ht="12.75" x14ac:dyDescent="0.2">
      <c r="A1321" s="9" t="s">
        <v>335</v>
      </c>
      <c r="B1321" s="9" t="s">
        <v>239</v>
      </c>
      <c r="C1321" s="9" t="s">
        <v>311</v>
      </c>
      <c r="D1321" s="9" t="s">
        <v>74</v>
      </c>
      <c r="E1321" s="9" t="s">
        <v>248</v>
      </c>
      <c r="F1321" s="9" t="s">
        <v>334</v>
      </c>
      <c r="G1321" s="9" t="s">
        <v>311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1962.42</v>
      </c>
      <c r="R1321" s="10">
        <v>1962.42</v>
      </c>
    </row>
    <row r="1322" spans="1:18" ht="12.75" x14ac:dyDescent="0.2">
      <c r="A1322" s="9" t="s">
        <v>335</v>
      </c>
      <c r="B1322" s="9" t="s">
        <v>239</v>
      </c>
      <c r="C1322" s="9" t="s">
        <v>311</v>
      </c>
      <c r="D1322" s="9" t="s">
        <v>74</v>
      </c>
      <c r="E1322" s="9" t="s">
        <v>249</v>
      </c>
      <c r="F1322" s="9" t="s">
        <v>334</v>
      </c>
      <c r="G1322" s="9" t="s">
        <v>311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1962.42</v>
      </c>
      <c r="R1322" s="10">
        <v>1962.42</v>
      </c>
    </row>
    <row r="1323" spans="1:18" ht="12.75" x14ac:dyDescent="0.2">
      <c r="A1323" s="9" t="s">
        <v>335</v>
      </c>
      <c r="B1323" s="9" t="s">
        <v>239</v>
      </c>
      <c r="C1323" s="9" t="s">
        <v>311</v>
      </c>
      <c r="D1323" s="9" t="s">
        <v>52</v>
      </c>
      <c r="E1323" s="9" t="s">
        <v>253</v>
      </c>
      <c r="F1323" s="9" t="s">
        <v>334</v>
      </c>
      <c r="G1323" s="9" t="s">
        <v>311</v>
      </c>
      <c r="H1323" s="10">
        <v>11890.44</v>
      </c>
      <c r="I1323" s="10">
        <v>0</v>
      </c>
      <c r="J1323" s="10">
        <v>147392.26999999999</v>
      </c>
      <c r="K1323" s="10">
        <v>336218.42</v>
      </c>
      <c r="L1323" s="10">
        <v>0</v>
      </c>
      <c r="M1323" s="10">
        <v>126246.67</v>
      </c>
      <c r="N1323" s="10">
        <v>110532.74</v>
      </c>
      <c r="O1323" s="10">
        <v>131677.35</v>
      </c>
      <c r="P1323" s="10">
        <v>0</v>
      </c>
      <c r="Q1323" s="10">
        <v>0</v>
      </c>
      <c r="R1323" s="10">
        <v>863957.89</v>
      </c>
    </row>
    <row r="1324" spans="1:18" ht="12.75" x14ac:dyDescent="0.2">
      <c r="A1324" s="9" t="s">
        <v>335</v>
      </c>
      <c r="B1324" s="9" t="s">
        <v>239</v>
      </c>
      <c r="C1324" s="9" t="s">
        <v>311</v>
      </c>
      <c r="D1324" s="9" t="s">
        <v>52</v>
      </c>
      <c r="E1324" s="9" t="s">
        <v>267</v>
      </c>
      <c r="F1324" s="9" t="s">
        <v>334</v>
      </c>
      <c r="G1324" s="9" t="s">
        <v>311</v>
      </c>
      <c r="H1324" s="10">
        <v>11890.44</v>
      </c>
      <c r="I1324" s="10">
        <v>0</v>
      </c>
      <c r="J1324" s="10">
        <v>147392.26999999999</v>
      </c>
      <c r="K1324" s="10">
        <v>336218.42</v>
      </c>
      <c r="L1324" s="10">
        <v>0</v>
      </c>
      <c r="M1324" s="10">
        <v>126246.67</v>
      </c>
      <c r="N1324" s="10">
        <v>110532.74</v>
      </c>
      <c r="O1324" s="10">
        <v>131677.35</v>
      </c>
      <c r="P1324" s="10">
        <v>0</v>
      </c>
      <c r="Q1324" s="10">
        <v>0</v>
      </c>
      <c r="R1324" s="10">
        <v>863957.89</v>
      </c>
    </row>
    <row r="1325" spans="1:18" ht="12.75" x14ac:dyDescent="0.2">
      <c r="A1325" s="9" t="s">
        <v>335</v>
      </c>
      <c r="B1325" s="9" t="s">
        <v>239</v>
      </c>
      <c r="C1325" s="9" t="s">
        <v>311</v>
      </c>
      <c r="D1325" s="9" t="s">
        <v>52</v>
      </c>
      <c r="E1325" s="9" t="s">
        <v>268</v>
      </c>
      <c r="F1325" s="9" t="s">
        <v>334</v>
      </c>
      <c r="G1325" s="9" t="s">
        <v>311</v>
      </c>
      <c r="H1325" s="10">
        <v>11890.44</v>
      </c>
      <c r="I1325" s="10">
        <v>0</v>
      </c>
      <c r="J1325" s="10">
        <v>147392.26999999999</v>
      </c>
      <c r="K1325" s="10">
        <v>336218.42</v>
      </c>
      <c r="L1325" s="10">
        <v>0</v>
      </c>
      <c r="M1325" s="10">
        <v>126246.67</v>
      </c>
      <c r="N1325" s="10">
        <v>110532.74</v>
      </c>
      <c r="O1325" s="10">
        <v>131677.35</v>
      </c>
      <c r="P1325" s="10">
        <v>0</v>
      </c>
      <c r="Q1325" s="10">
        <v>0</v>
      </c>
      <c r="R1325" s="10">
        <v>863957.89</v>
      </c>
    </row>
    <row r="1326" spans="1:18" ht="12.75" x14ac:dyDescent="0.2">
      <c r="A1326" s="9" t="s">
        <v>332</v>
      </c>
      <c r="B1326" s="9" t="s">
        <v>239</v>
      </c>
      <c r="C1326" s="9" t="s">
        <v>311</v>
      </c>
      <c r="D1326" s="9" t="s">
        <v>52</v>
      </c>
      <c r="E1326" s="9" t="s">
        <v>304</v>
      </c>
      <c r="F1326" s="9" t="s">
        <v>334</v>
      </c>
      <c r="G1326" s="9" t="s">
        <v>311</v>
      </c>
      <c r="H1326" s="10">
        <v>19659.3</v>
      </c>
      <c r="I1326" s="10">
        <v>2136.5100000000002</v>
      </c>
      <c r="J1326" s="10">
        <v>15165.94</v>
      </c>
      <c r="K1326" s="10">
        <v>28907.67</v>
      </c>
      <c r="L1326" s="10">
        <v>12617.46</v>
      </c>
      <c r="M1326" s="10">
        <v>62935.32</v>
      </c>
      <c r="N1326" s="10">
        <v>8119.77</v>
      </c>
      <c r="O1326" s="10">
        <v>5508.63</v>
      </c>
      <c r="P1326" s="10">
        <v>9565.3700000000008</v>
      </c>
      <c r="Q1326" s="10">
        <v>18260.34</v>
      </c>
      <c r="R1326" s="10">
        <v>182876.31</v>
      </c>
    </row>
    <row r="1327" spans="1:18" ht="12.75" x14ac:dyDescent="0.2">
      <c r="A1327" s="9" t="s">
        <v>332</v>
      </c>
      <c r="B1327" s="9" t="s">
        <v>239</v>
      </c>
      <c r="C1327" s="9" t="s">
        <v>311</v>
      </c>
      <c r="D1327" s="9" t="s">
        <v>52</v>
      </c>
      <c r="E1327" s="9" t="s">
        <v>305</v>
      </c>
      <c r="F1327" s="9" t="s">
        <v>334</v>
      </c>
      <c r="G1327" s="9" t="s">
        <v>311</v>
      </c>
      <c r="H1327" s="10">
        <v>19659.3</v>
      </c>
      <c r="I1327" s="10">
        <v>2136.5100000000002</v>
      </c>
      <c r="J1327" s="10">
        <v>15165.94</v>
      </c>
      <c r="K1327" s="10">
        <v>28907.67</v>
      </c>
      <c r="L1327" s="10">
        <v>12617.46</v>
      </c>
      <c r="M1327" s="10">
        <v>62935.32</v>
      </c>
      <c r="N1327" s="10">
        <v>8119.77</v>
      </c>
      <c r="O1327" s="10">
        <v>5508.63</v>
      </c>
      <c r="P1327" s="10">
        <v>9565.3700000000008</v>
      </c>
      <c r="Q1327" s="10">
        <v>18260.34</v>
      </c>
      <c r="R1327" s="10">
        <v>182876.31</v>
      </c>
    </row>
    <row r="1328" spans="1:18" ht="12.75" x14ac:dyDescent="0.2">
      <c r="A1328" s="9" t="s">
        <v>335</v>
      </c>
      <c r="B1328" s="9" t="s">
        <v>239</v>
      </c>
      <c r="C1328" s="9" t="s">
        <v>311</v>
      </c>
      <c r="D1328" s="9" t="s">
        <v>87</v>
      </c>
      <c r="E1328" s="9" t="s">
        <v>270</v>
      </c>
      <c r="F1328" s="9" t="s">
        <v>334</v>
      </c>
      <c r="G1328" s="9" t="s">
        <v>311</v>
      </c>
      <c r="H1328" s="10">
        <v>0</v>
      </c>
      <c r="I1328" s="10">
        <v>0</v>
      </c>
      <c r="J1328" s="10">
        <v>0</v>
      </c>
      <c r="K1328" s="10">
        <v>214339.24</v>
      </c>
      <c r="L1328" s="10">
        <v>13064.4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227403.64</v>
      </c>
    </row>
    <row r="1329" spans="1:18" ht="12.75" x14ac:dyDescent="0.2">
      <c r="A1329" s="9" t="s">
        <v>335</v>
      </c>
      <c r="B1329" s="9" t="s">
        <v>239</v>
      </c>
      <c r="C1329" s="9" t="s">
        <v>311</v>
      </c>
      <c r="D1329" s="9" t="s">
        <v>87</v>
      </c>
      <c r="E1329" s="9" t="s">
        <v>273</v>
      </c>
      <c r="F1329" s="9" t="s">
        <v>334</v>
      </c>
      <c r="G1329" s="9" t="s">
        <v>311</v>
      </c>
      <c r="H1329" s="10">
        <v>0</v>
      </c>
      <c r="I1329" s="10">
        <v>0</v>
      </c>
      <c r="J1329" s="10">
        <v>0</v>
      </c>
      <c r="K1329" s="10">
        <v>214339.24</v>
      </c>
      <c r="L1329" s="10">
        <v>13064.4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227403.64</v>
      </c>
    </row>
    <row r="1330" spans="1:18" ht="12.75" x14ac:dyDescent="0.2">
      <c r="A1330" s="9" t="s">
        <v>335</v>
      </c>
      <c r="B1330" s="9" t="s">
        <v>239</v>
      </c>
      <c r="C1330" s="9" t="s">
        <v>311</v>
      </c>
      <c r="D1330" s="9" t="s">
        <v>87</v>
      </c>
      <c r="E1330" s="9" t="s">
        <v>276</v>
      </c>
      <c r="F1330" s="9" t="s">
        <v>334</v>
      </c>
      <c r="G1330" s="9" t="s">
        <v>311</v>
      </c>
      <c r="H1330" s="10">
        <v>0</v>
      </c>
      <c r="I1330" s="10">
        <v>0</v>
      </c>
      <c r="J1330" s="10">
        <v>0</v>
      </c>
      <c r="K1330" s="10">
        <v>214339.24</v>
      </c>
      <c r="L1330" s="10">
        <v>13064.4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227403.64</v>
      </c>
    </row>
    <row r="1331" spans="1:18" ht="12.75" x14ac:dyDescent="0.2">
      <c r="A1331" s="9" t="s">
        <v>335</v>
      </c>
      <c r="B1331" s="9" t="s">
        <v>239</v>
      </c>
      <c r="C1331" s="9" t="s">
        <v>311</v>
      </c>
      <c r="D1331" s="9" t="s">
        <v>87</v>
      </c>
      <c r="E1331" s="9" t="s">
        <v>274</v>
      </c>
      <c r="F1331" s="9" t="s">
        <v>334</v>
      </c>
      <c r="G1331" s="9" t="s">
        <v>311</v>
      </c>
      <c r="H1331" s="10">
        <v>0</v>
      </c>
      <c r="I1331" s="10">
        <v>0</v>
      </c>
      <c r="J1331" s="10">
        <v>0</v>
      </c>
      <c r="K1331" s="10">
        <v>214339.24</v>
      </c>
      <c r="L1331" s="10">
        <v>13064.4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227403.64</v>
      </c>
    </row>
    <row r="1332" spans="1:18" ht="12.75" x14ac:dyDescent="0.2">
      <c r="A1332" s="9" t="s">
        <v>335</v>
      </c>
      <c r="B1332" s="9" t="s">
        <v>239</v>
      </c>
      <c r="C1332" s="9" t="s">
        <v>311</v>
      </c>
      <c r="D1332" s="9" t="s">
        <v>96</v>
      </c>
      <c r="E1332" s="9" t="s">
        <v>286</v>
      </c>
      <c r="F1332" s="9" t="s">
        <v>334</v>
      </c>
      <c r="G1332" s="9" t="s">
        <v>311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9">
        <v>0</v>
      </c>
    </row>
    <row r="1333" spans="1:18" ht="12.75" x14ac:dyDescent="0.2">
      <c r="A1333" s="9" t="s">
        <v>335</v>
      </c>
      <c r="B1333" s="9" t="s">
        <v>239</v>
      </c>
      <c r="C1333" s="9" t="s">
        <v>311</v>
      </c>
      <c r="D1333" s="9" t="s">
        <v>96</v>
      </c>
      <c r="E1333" s="9" t="s">
        <v>281</v>
      </c>
      <c r="F1333" s="9" t="s">
        <v>334</v>
      </c>
      <c r="G1333" s="9" t="s">
        <v>311</v>
      </c>
      <c r="H1333" s="10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9">
        <v>0</v>
      </c>
    </row>
    <row r="1334" spans="1:18" ht="12.75" x14ac:dyDescent="0.2">
      <c r="A1334" s="9" t="s">
        <v>335</v>
      </c>
      <c r="B1334" s="9" t="s">
        <v>239</v>
      </c>
      <c r="C1334" s="9" t="s">
        <v>311</v>
      </c>
      <c r="D1334" s="9" t="s">
        <v>96</v>
      </c>
      <c r="E1334" s="9" t="s">
        <v>282</v>
      </c>
      <c r="F1334" s="9" t="s">
        <v>334</v>
      </c>
      <c r="G1334" s="9" t="s">
        <v>311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9">
        <v>0</v>
      </c>
    </row>
    <row r="1335" spans="1:18" ht="12.75" x14ac:dyDescent="0.2">
      <c r="A1335" s="9" t="s">
        <v>335</v>
      </c>
      <c r="B1335" s="9" t="s">
        <v>239</v>
      </c>
      <c r="C1335" s="9" t="s">
        <v>311</v>
      </c>
      <c r="D1335" s="9" t="s">
        <v>112</v>
      </c>
      <c r="E1335" s="9" t="s">
        <v>294</v>
      </c>
      <c r="F1335" s="9" t="s">
        <v>334</v>
      </c>
      <c r="G1335" s="9" t="s">
        <v>311</v>
      </c>
      <c r="H1335" s="10">
        <v>0</v>
      </c>
      <c r="I1335" s="10">
        <v>0</v>
      </c>
      <c r="J1335" s="10">
        <v>19919.400000000001</v>
      </c>
      <c r="K1335" s="10">
        <v>0</v>
      </c>
      <c r="L1335" s="10">
        <v>34838.410000000003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54757.81</v>
      </c>
    </row>
    <row r="1336" spans="1:18" ht="12.75" x14ac:dyDescent="0.2">
      <c r="A1336" s="9" t="s">
        <v>335</v>
      </c>
      <c r="B1336" s="9" t="s">
        <v>239</v>
      </c>
      <c r="C1336" s="9" t="s">
        <v>311</v>
      </c>
      <c r="D1336" s="9" t="s">
        <v>112</v>
      </c>
      <c r="E1336" s="9" t="s">
        <v>292</v>
      </c>
      <c r="F1336" s="9" t="s">
        <v>334</v>
      </c>
      <c r="G1336" s="9" t="s">
        <v>311</v>
      </c>
      <c r="H1336" s="10">
        <v>0</v>
      </c>
      <c r="I1336" s="10">
        <v>0</v>
      </c>
      <c r="J1336" s="10">
        <v>19919.400000000001</v>
      </c>
      <c r="K1336" s="10">
        <v>0</v>
      </c>
      <c r="L1336" s="10">
        <v>34838.410000000003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54757.81</v>
      </c>
    </row>
    <row r="1337" spans="1:18" ht="12.75" x14ac:dyDescent="0.2">
      <c r="A1337" s="9" t="s">
        <v>335</v>
      </c>
      <c r="B1337" s="9" t="s">
        <v>239</v>
      </c>
      <c r="C1337" s="9" t="s">
        <v>311</v>
      </c>
      <c r="D1337" s="9" t="s">
        <v>112</v>
      </c>
      <c r="E1337" s="9" t="s">
        <v>301</v>
      </c>
      <c r="F1337" s="9" t="s">
        <v>334</v>
      </c>
      <c r="G1337" s="9" t="s">
        <v>311</v>
      </c>
      <c r="H1337" s="10">
        <v>0</v>
      </c>
      <c r="I1337" s="10">
        <v>0</v>
      </c>
      <c r="J1337" s="10">
        <v>19919.400000000001</v>
      </c>
      <c r="K1337" s="10">
        <v>0</v>
      </c>
      <c r="L1337" s="10">
        <v>34838.410000000003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54757.81</v>
      </c>
    </row>
    <row r="1338" spans="1:18" ht="12.75" x14ac:dyDescent="0.2">
      <c r="A1338" s="9" t="s">
        <v>335</v>
      </c>
      <c r="B1338" s="9" t="s">
        <v>239</v>
      </c>
      <c r="C1338" s="9" t="s">
        <v>311</v>
      </c>
      <c r="D1338" s="9" t="s">
        <v>112</v>
      </c>
      <c r="E1338" s="9" t="s">
        <v>300</v>
      </c>
      <c r="F1338" s="9" t="s">
        <v>334</v>
      </c>
      <c r="G1338" s="9" t="s">
        <v>311</v>
      </c>
      <c r="H1338" s="10">
        <v>0</v>
      </c>
      <c r="I1338" s="10">
        <v>0</v>
      </c>
      <c r="J1338" s="10">
        <v>19919.400000000001</v>
      </c>
      <c r="K1338" s="10">
        <v>0</v>
      </c>
      <c r="L1338" s="10">
        <v>34838.410000000003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54757.81</v>
      </c>
    </row>
    <row r="1339" spans="1:18" ht="12.75" x14ac:dyDescent="0.2">
      <c r="A1339" s="9" t="s">
        <v>332</v>
      </c>
      <c r="B1339" s="9" t="s">
        <v>239</v>
      </c>
      <c r="C1339" s="9" t="s">
        <v>312</v>
      </c>
      <c r="D1339" s="9" t="s">
        <v>141</v>
      </c>
      <c r="E1339" s="9" t="s">
        <v>144</v>
      </c>
      <c r="F1339" s="9" t="s">
        <v>333</v>
      </c>
      <c r="G1339" s="9" t="s">
        <v>312</v>
      </c>
      <c r="H1339" s="10">
        <v>76627580.549999997</v>
      </c>
      <c r="I1339" s="10">
        <v>77512951.489999995</v>
      </c>
      <c r="J1339" s="10">
        <v>79528288.230000004</v>
      </c>
      <c r="K1339" s="10">
        <v>81357438.859999999</v>
      </c>
      <c r="L1339" s="10">
        <v>83065945.069999993</v>
      </c>
      <c r="M1339" s="10">
        <v>84727263.980000004</v>
      </c>
      <c r="N1339" s="10">
        <v>86252354.730000004</v>
      </c>
      <c r="O1339" s="10">
        <v>87891149.469999999</v>
      </c>
      <c r="P1339" s="10">
        <v>89473190.159999996</v>
      </c>
      <c r="Q1339" s="10">
        <v>91083707.579999998</v>
      </c>
      <c r="R1339" s="10">
        <f>SUM(H1339:Q1339)</f>
        <v>837519870.12</v>
      </c>
    </row>
    <row r="1340" spans="1:18" ht="12.75" x14ac:dyDescent="0.2">
      <c r="A1340" s="9" t="s">
        <v>335</v>
      </c>
      <c r="B1340" s="9" t="s">
        <v>239</v>
      </c>
      <c r="C1340" s="9" t="s">
        <v>310</v>
      </c>
      <c r="D1340" s="9" t="s">
        <v>336</v>
      </c>
      <c r="E1340" s="9" t="s">
        <v>152</v>
      </c>
      <c r="F1340" s="9" t="s">
        <v>333</v>
      </c>
      <c r="G1340" s="9" t="s">
        <v>310</v>
      </c>
      <c r="H1340" s="10">
        <v>265711.64</v>
      </c>
      <c r="I1340" s="10">
        <v>270282.09000000003</v>
      </c>
      <c r="J1340" s="10">
        <v>522461.43</v>
      </c>
      <c r="K1340" s="10">
        <v>548302.86</v>
      </c>
      <c r="L1340" s="10">
        <v>121601.46</v>
      </c>
      <c r="M1340" s="10">
        <v>397601.74</v>
      </c>
      <c r="N1340" s="10">
        <v>482496.74</v>
      </c>
      <c r="O1340" s="10">
        <v>229526.84</v>
      </c>
      <c r="P1340" s="10">
        <v>230246.3</v>
      </c>
      <c r="Q1340" s="10">
        <v>38731.99</v>
      </c>
      <c r="R1340" s="10">
        <v>3106963.09</v>
      </c>
    </row>
    <row r="1341" spans="1:18" ht="12.75" x14ac:dyDescent="0.2">
      <c r="A1341" s="9" t="s">
        <v>335</v>
      </c>
      <c r="B1341" s="9" t="s">
        <v>239</v>
      </c>
      <c r="C1341" s="9" t="s">
        <v>311</v>
      </c>
      <c r="D1341" s="9" t="s">
        <v>336</v>
      </c>
      <c r="E1341" s="9" t="s">
        <v>152</v>
      </c>
      <c r="F1341" s="9" t="s">
        <v>333</v>
      </c>
      <c r="G1341" s="9" t="s">
        <v>311</v>
      </c>
      <c r="H1341" s="10">
        <v>11047752.83</v>
      </c>
      <c r="I1341" s="10">
        <v>5632376.4699999997</v>
      </c>
      <c r="J1341" s="10">
        <v>4730066.82</v>
      </c>
      <c r="K1341" s="10">
        <v>7455205.8099999996</v>
      </c>
      <c r="L1341" s="10">
        <v>2968815.04</v>
      </c>
      <c r="M1341" s="10">
        <v>4785361.1500000004</v>
      </c>
      <c r="N1341" s="10">
        <v>6308319.6699999999</v>
      </c>
      <c r="O1341" s="10">
        <v>4140502.72</v>
      </c>
      <c r="P1341" s="10">
        <v>3640256.24</v>
      </c>
      <c r="Q1341" s="10">
        <v>3203692.69</v>
      </c>
      <c r="R1341" s="10">
        <v>53912349.439999998</v>
      </c>
    </row>
    <row r="1342" spans="1:18" ht="12.75" x14ac:dyDescent="0.2">
      <c r="A1342" s="9" t="s">
        <v>332</v>
      </c>
      <c r="B1342" s="9" t="s">
        <v>239</v>
      </c>
      <c r="C1342" s="9" t="s">
        <v>311</v>
      </c>
      <c r="D1342" s="9" t="s">
        <v>31</v>
      </c>
      <c r="E1342" s="9" t="s">
        <v>32</v>
      </c>
      <c r="F1342" s="9" t="s">
        <v>333</v>
      </c>
      <c r="G1342" s="9" t="s">
        <v>311</v>
      </c>
      <c r="H1342" s="10">
        <v>3584306.29</v>
      </c>
      <c r="I1342" s="10">
        <v>1829000.25</v>
      </c>
      <c r="J1342" s="10">
        <v>914812.6</v>
      </c>
      <c r="K1342" s="10">
        <v>1630752.72</v>
      </c>
      <c r="L1342" s="10">
        <v>100161.55</v>
      </c>
      <c r="M1342" s="10">
        <v>1657868.28</v>
      </c>
      <c r="N1342" s="10">
        <v>2368306.27</v>
      </c>
      <c r="O1342" s="10">
        <v>3119743.42</v>
      </c>
      <c r="P1342" s="10">
        <v>1496260.88</v>
      </c>
      <c r="Q1342" s="10">
        <v>0</v>
      </c>
      <c r="R1342" s="10">
        <v>16701212.26</v>
      </c>
    </row>
    <row r="1343" spans="1:18" ht="12.75" x14ac:dyDescent="0.2">
      <c r="A1343" s="9" t="s">
        <v>332</v>
      </c>
      <c r="B1343" s="9" t="s">
        <v>239</v>
      </c>
      <c r="C1343" s="9" t="s">
        <v>311</v>
      </c>
      <c r="D1343" s="9" t="s">
        <v>31</v>
      </c>
      <c r="E1343" s="9" t="s">
        <v>132</v>
      </c>
      <c r="F1343" s="9" t="s">
        <v>333</v>
      </c>
      <c r="G1343" s="9" t="s">
        <v>311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415264.71</v>
      </c>
      <c r="Q1343" s="10">
        <v>1077007.58</v>
      </c>
      <c r="R1343" s="10">
        <v>1492272.29</v>
      </c>
    </row>
    <row r="1344" spans="1:18" ht="12.75" x14ac:dyDescent="0.2">
      <c r="A1344" s="9" t="s">
        <v>332</v>
      </c>
      <c r="B1344" s="9" t="s">
        <v>239</v>
      </c>
      <c r="C1344" s="9" t="s">
        <v>310</v>
      </c>
      <c r="D1344" s="9" t="s">
        <v>31</v>
      </c>
      <c r="E1344" s="9" t="s">
        <v>313</v>
      </c>
      <c r="F1344" s="9" t="s">
        <v>333</v>
      </c>
      <c r="G1344" s="9" t="s">
        <v>310</v>
      </c>
      <c r="H1344" s="10">
        <v>0</v>
      </c>
      <c r="I1344" s="10">
        <v>72535.94</v>
      </c>
      <c r="J1344" s="10">
        <v>0</v>
      </c>
      <c r="K1344" s="10">
        <v>0</v>
      </c>
      <c r="L1344" s="10">
        <v>2938072.12</v>
      </c>
      <c r="M1344" s="10">
        <v>0</v>
      </c>
      <c r="N1344" s="10">
        <v>0</v>
      </c>
      <c r="O1344" s="10">
        <v>8707855.5500000007</v>
      </c>
      <c r="P1344" s="10">
        <v>0</v>
      </c>
      <c r="Q1344" s="10">
        <v>0</v>
      </c>
      <c r="R1344" s="10">
        <v>11718463.609999999</v>
      </c>
    </row>
    <row r="1345" spans="1:18" ht="12.75" x14ac:dyDescent="0.2">
      <c r="A1345" s="9" t="s">
        <v>332</v>
      </c>
      <c r="B1345" s="9" t="s">
        <v>239</v>
      </c>
      <c r="C1345" s="9" t="s">
        <v>310</v>
      </c>
      <c r="D1345" s="9" t="s">
        <v>31</v>
      </c>
      <c r="E1345" s="9" t="s">
        <v>314</v>
      </c>
      <c r="F1345" s="9" t="s">
        <v>333</v>
      </c>
      <c r="G1345" s="9" t="s">
        <v>310</v>
      </c>
      <c r="H1345" s="10">
        <v>198173.96</v>
      </c>
      <c r="I1345" s="10">
        <v>3738897.84</v>
      </c>
      <c r="J1345" s="10">
        <v>455256.3</v>
      </c>
      <c r="K1345" s="10">
        <v>2532311.7400000002</v>
      </c>
      <c r="L1345" s="10">
        <v>4287248.2</v>
      </c>
      <c r="M1345" s="10">
        <v>3381607.17</v>
      </c>
      <c r="N1345" s="10">
        <v>4221570.3099999996</v>
      </c>
      <c r="O1345" s="10">
        <v>64425.62</v>
      </c>
      <c r="P1345" s="10">
        <v>1174512.48</v>
      </c>
      <c r="Q1345" s="10">
        <v>-890577.6</v>
      </c>
      <c r="R1345" s="10">
        <v>19163426.02</v>
      </c>
    </row>
    <row r="1346" spans="1:18" ht="12.75" x14ac:dyDescent="0.2">
      <c r="A1346" s="9" t="s">
        <v>332</v>
      </c>
      <c r="B1346" s="9" t="s">
        <v>239</v>
      </c>
      <c r="C1346" s="9" t="s">
        <v>310</v>
      </c>
      <c r="D1346" s="9" t="s">
        <v>141</v>
      </c>
      <c r="E1346" s="9" t="s">
        <v>144</v>
      </c>
      <c r="F1346" s="9" t="s">
        <v>333</v>
      </c>
      <c r="G1346" s="9" t="s">
        <v>310</v>
      </c>
      <c r="H1346" s="10">
        <v>124189.01</v>
      </c>
      <c r="I1346" s="10">
        <v>130274.54</v>
      </c>
      <c r="J1346" s="10">
        <v>341475.45</v>
      </c>
      <c r="K1346" s="10">
        <v>0</v>
      </c>
      <c r="L1346" s="10">
        <v>74653.740000000005</v>
      </c>
      <c r="M1346" s="10">
        <v>618351.03</v>
      </c>
      <c r="N1346" s="10">
        <v>400463.59</v>
      </c>
      <c r="O1346" s="10">
        <v>320887.13</v>
      </c>
      <c r="P1346" s="10">
        <v>425728.07</v>
      </c>
      <c r="Q1346" s="10">
        <v>0</v>
      </c>
      <c r="R1346" s="10">
        <v>2436022.56</v>
      </c>
    </row>
    <row r="1347" spans="1:18" ht="12.75" x14ac:dyDescent="0.2">
      <c r="A1347" s="9" t="s">
        <v>332</v>
      </c>
      <c r="B1347" s="9" t="s">
        <v>239</v>
      </c>
      <c r="C1347" s="9" t="s">
        <v>311</v>
      </c>
      <c r="D1347" s="9" t="s">
        <v>141</v>
      </c>
      <c r="E1347" s="9" t="s">
        <v>144</v>
      </c>
      <c r="F1347" s="9" t="s">
        <v>333</v>
      </c>
      <c r="G1347" s="9" t="s">
        <v>311</v>
      </c>
      <c r="H1347" s="10">
        <v>57688383.659999996</v>
      </c>
      <c r="I1347" s="10">
        <v>61243040.460000001</v>
      </c>
      <c r="J1347" s="10">
        <v>26143102.710000001</v>
      </c>
      <c r="K1347" s="10">
        <v>34894552.619999997</v>
      </c>
      <c r="L1347" s="10">
        <v>19255905.670000002</v>
      </c>
      <c r="M1347" s="10">
        <v>25714420.18</v>
      </c>
      <c r="N1347" s="10">
        <v>34790430.060000002</v>
      </c>
      <c r="O1347" s="10">
        <v>28266002.420000002</v>
      </c>
      <c r="P1347" s="10">
        <v>30678998.34</v>
      </c>
      <c r="Q1347" s="10">
        <v>55225210.030000001</v>
      </c>
      <c r="R1347" s="10">
        <v>373900046.14999998</v>
      </c>
    </row>
    <row r="1348" spans="1:18" ht="12.75" x14ac:dyDescent="0.2">
      <c r="A1348" s="9"/>
      <c r="B1348" s="9"/>
      <c r="C1348" s="9"/>
      <c r="D1348" s="9"/>
      <c r="E1348" s="9"/>
      <c r="F1348" s="9"/>
      <c r="G1348" s="9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</row>
    <row r="1349" spans="1:18" ht="12.75" x14ac:dyDescent="0.2">
      <c r="A1349" s="9"/>
      <c r="B1349" s="9"/>
      <c r="C1349" s="9"/>
      <c r="D1349" s="9"/>
      <c r="E1349" s="9"/>
      <c r="F1349" s="9"/>
      <c r="G1349" s="9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spans="1:18" ht="12.75" x14ac:dyDescent="0.2">
      <c r="A1350" s="9"/>
      <c r="B1350" s="9"/>
      <c r="C1350" s="9"/>
      <c r="D1350" s="9"/>
      <c r="E1350" s="9"/>
      <c r="F1350" s="9"/>
      <c r="G1350" s="9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</row>
    <row r="1351" spans="1:18" ht="12.75" x14ac:dyDescent="0.2">
      <c r="A1351" s="9"/>
      <c r="B1351" s="9"/>
      <c r="C1351" s="9"/>
      <c r="D1351" s="9"/>
      <c r="E1351" s="9"/>
      <c r="F1351" s="9"/>
      <c r="G1351" s="9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</row>
    <row r="1352" spans="1:18" ht="12.75" x14ac:dyDescent="0.2">
      <c r="A1352" s="9"/>
      <c r="B1352" s="9"/>
      <c r="C1352" s="9"/>
      <c r="D1352" s="9"/>
      <c r="E1352" s="9"/>
      <c r="F1352" s="9"/>
      <c r="G1352" s="9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</row>
    <row r="1353" spans="1:18" ht="12.75" x14ac:dyDescent="0.2">
      <c r="A1353" s="9"/>
      <c r="B1353" s="9"/>
      <c r="C1353" s="9"/>
      <c r="D1353" s="9"/>
      <c r="E1353" s="9"/>
      <c r="F1353" s="9"/>
      <c r="G1353" s="9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</row>
    <row r="1354" spans="1:18" ht="12.75" x14ac:dyDescent="0.2">
      <c r="A1354" s="9"/>
      <c r="B1354" s="9"/>
      <c r="C1354" s="9"/>
      <c r="D1354" s="9"/>
      <c r="E1354" s="9"/>
      <c r="F1354" s="9"/>
      <c r="G1354" s="9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</row>
    <row r="1355" spans="1:18" ht="12.75" x14ac:dyDescent="0.2">
      <c r="A1355" s="9"/>
      <c r="B1355" s="9"/>
      <c r="C1355" s="9"/>
      <c r="D1355" s="9"/>
      <c r="E1355" s="9"/>
      <c r="F1355" s="9"/>
      <c r="G1355" s="9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</row>
    <row r="1356" spans="1:18" ht="12.75" x14ac:dyDescent="0.2">
      <c r="A1356" s="9"/>
      <c r="B1356" s="9"/>
      <c r="C1356" s="9"/>
      <c r="D1356" s="9"/>
      <c r="E1356" s="9"/>
      <c r="F1356" s="9"/>
      <c r="G1356" s="9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</row>
    <row r="1357" spans="1:18" ht="12.75" x14ac:dyDescent="0.2">
      <c r="A1357" s="9"/>
      <c r="B1357" s="9"/>
      <c r="C1357" s="9"/>
      <c r="D1357" s="9"/>
      <c r="E1357" s="9"/>
      <c r="F1357" s="9"/>
      <c r="G1357" s="9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</row>
    <row r="1358" spans="1:18" ht="12.75" x14ac:dyDescent="0.2">
      <c r="A1358" s="9"/>
      <c r="B1358" s="9"/>
      <c r="C1358" s="9"/>
      <c r="D1358" s="9"/>
      <c r="E1358" s="9"/>
      <c r="F1358" s="9"/>
      <c r="G1358" s="9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</row>
    <row r="1359" spans="1:18" ht="12.75" x14ac:dyDescent="0.2">
      <c r="A1359" s="9"/>
      <c r="B1359" s="9"/>
      <c r="C1359" s="9"/>
      <c r="D1359" s="9"/>
      <c r="E1359" s="9"/>
      <c r="F1359" s="9"/>
      <c r="G1359" s="9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</row>
    <row r="1360" spans="1:18" ht="12.75" x14ac:dyDescent="0.2">
      <c r="A1360" s="9"/>
      <c r="B1360" s="9"/>
      <c r="C1360" s="9"/>
      <c r="D1360" s="9"/>
      <c r="E1360" s="9"/>
      <c r="F1360" s="9"/>
      <c r="G1360" s="9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</row>
    <row r="1361" spans="1:17" ht="12.75" x14ac:dyDescent="0.2">
      <c r="A1361" s="9"/>
      <c r="B1361" s="9"/>
      <c r="C1361" s="9"/>
      <c r="D1361" s="9"/>
      <c r="E1361" s="9"/>
      <c r="F1361" s="9"/>
      <c r="G1361" s="9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</row>
    <row r="1362" spans="1:17" ht="12.75" x14ac:dyDescent="0.2">
      <c r="A1362" s="9"/>
      <c r="B1362" s="9"/>
      <c r="C1362" s="9"/>
      <c r="D1362" s="9"/>
      <c r="E1362" s="9"/>
      <c r="F1362" s="9"/>
      <c r="G1362" s="9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</row>
    <row r="1363" spans="1:17" ht="12.75" x14ac:dyDescent="0.2">
      <c r="A1363" s="9"/>
      <c r="B1363" s="9"/>
      <c r="C1363" s="9"/>
      <c r="D1363" s="9"/>
      <c r="E1363" s="9"/>
      <c r="F1363" s="9"/>
      <c r="G1363" s="9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</row>
    <row r="1364" spans="1:17" ht="12.75" x14ac:dyDescent="0.2">
      <c r="A1364" s="9"/>
      <c r="B1364" s="9"/>
      <c r="C1364" s="9"/>
      <c r="D1364" s="9"/>
      <c r="E1364" s="9"/>
      <c r="F1364" s="9"/>
      <c r="G1364" s="9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</row>
    <row r="1365" spans="1:17" ht="12.75" x14ac:dyDescent="0.2">
      <c r="A1365" s="9"/>
      <c r="B1365" s="9"/>
      <c r="C1365" s="9"/>
      <c r="D1365" s="9"/>
      <c r="E1365" s="9"/>
      <c r="F1365" s="9"/>
      <c r="G1365" s="9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</row>
    <row r="1366" spans="1:17" ht="12.75" x14ac:dyDescent="0.2">
      <c r="A1366" s="9"/>
      <c r="B1366" s="9"/>
      <c r="C1366" s="9"/>
      <c r="D1366" s="9"/>
      <c r="E1366" s="9"/>
      <c r="F1366" s="9"/>
      <c r="G1366" s="9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</row>
    <row r="1367" spans="1:17" ht="12.75" x14ac:dyDescent="0.2">
      <c r="A1367" s="9"/>
      <c r="B1367" s="9"/>
      <c r="C1367" s="9"/>
      <c r="D1367" s="9"/>
      <c r="E1367" s="9"/>
      <c r="F1367" s="9"/>
      <c r="G1367" s="9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</row>
    <row r="1368" spans="1:17" ht="12.75" x14ac:dyDescent="0.2">
      <c r="A1368" s="9"/>
      <c r="B1368" s="9"/>
      <c r="C1368" s="9"/>
      <c r="D1368" s="9"/>
      <c r="E1368" s="9"/>
      <c r="F1368" s="9"/>
      <c r="G1368" s="9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</row>
    <row r="1369" spans="1:17" ht="12.75" x14ac:dyDescent="0.2">
      <c r="A1369" s="9"/>
      <c r="B1369" s="9"/>
      <c r="C1369" s="9"/>
      <c r="D1369" s="9"/>
      <c r="E1369" s="9"/>
      <c r="F1369" s="9"/>
      <c r="G1369" s="9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</row>
    <row r="1370" spans="1:17" ht="12.75" x14ac:dyDescent="0.2">
      <c r="A1370" s="9"/>
      <c r="B1370" s="9"/>
      <c r="C1370" s="9"/>
      <c r="D1370" s="9"/>
      <c r="E1370" s="9"/>
      <c r="F1370" s="9"/>
      <c r="G1370" s="9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</row>
    <row r="1371" spans="1:17" ht="12.75" x14ac:dyDescent="0.2">
      <c r="A1371" s="9"/>
      <c r="B1371" s="9"/>
      <c r="C1371" s="9"/>
      <c r="D1371" s="9"/>
      <c r="E1371" s="9"/>
      <c r="F1371" s="9"/>
      <c r="G1371" s="9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</row>
    <row r="1372" spans="1:17" ht="12.75" x14ac:dyDescent="0.2">
      <c r="A1372" s="9"/>
      <c r="B1372" s="9"/>
      <c r="C1372" s="9"/>
      <c r="D1372" s="9"/>
      <c r="E1372" s="9"/>
      <c r="F1372" s="9"/>
      <c r="G1372" s="9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</row>
    <row r="1373" spans="1:17" ht="12.75" x14ac:dyDescent="0.2">
      <c r="A1373" s="9"/>
      <c r="B1373" s="9"/>
      <c r="C1373" s="9"/>
      <c r="D1373" s="9"/>
      <c r="E1373" s="9"/>
      <c r="F1373" s="9"/>
      <c r="G1373" s="9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</row>
    <row r="1374" spans="1:17" ht="12.75" x14ac:dyDescent="0.2">
      <c r="A1374" s="9"/>
      <c r="B1374" s="9"/>
      <c r="C1374" s="9"/>
      <c r="D1374" s="9"/>
      <c r="E1374" s="9"/>
      <c r="F1374" s="9"/>
      <c r="G1374" s="9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</row>
    <row r="1375" spans="1:17" ht="12.75" x14ac:dyDescent="0.2">
      <c r="A1375" s="9"/>
      <c r="B1375" s="9"/>
      <c r="C1375" s="9"/>
      <c r="D1375" s="9"/>
      <c r="E1375" s="9"/>
      <c r="F1375" s="9"/>
      <c r="G1375" s="9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</row>
    <row r="1376" spans="1:17" ht="12.75" x14ac:dyDescent="0.2">
      <c r="A1376" s="9"/>
      <c r="B1376" s="9"/>
      <c r="C1376" s="9"/>
      <c r="D1376" s="9"/>
      <c r="E1376" s="9"/>
      <c r="F1376" s="9"/>
      <c r="G1376" s="9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</row>
    <row r="1377" spans="1:17" ht="12.75" x14ac:dyDescent="0.2">
      <c r="A1377" s="9"/>
      <c r="B1377" s="9"/>
      <c r="C1377" s="9"/>
      <c r="D1377" s="9"/>
      <c r="E1377" s="9"/>
      <c r="F1377" s="9"/>
      <c r="G1377" s="9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</row>
    <row r="1378" spans="1:17" ht="12.75" x14ac:dyDescent="0.2">
      <c r="A1378" s="9"/>
      <c r="B1378" s="9"/>
      <c r="C1378" s="9"/>
      <c r="D1378" s="9"/>
      <c r="E1378" s="9"/>
      <c r="F1378" s="9"/>
      <c r="G1378" s="9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</row>
    <row r="1379" spans="1:17" ht="12.75" x14ac:dyDescent="0.2">
      <c r="A1379" s="9"/>
      <c r="B1379" s="9"/>
      <c r="C1379" s="9"/>
      <c r="D1379" s="9"/>
      <c r="E1379" s="9"/>
      <c r="F1379" s="9"/>
      <c r="G1379" s="9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</row>
    <row r="1380" spans="1:17" ht="12.75" x14ac:dyDescent="0.2">
      <c r="A1380" s="9"/>
      <c r="B1380" s="9"/>
      <c r="C1380" s="9"/>
      <c r="D1380" s="9"/>
      <c r="E1380" s="9"/>
      <c r="F1380" s="9"/>
      <c r="G1380" s="9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</row>
    <row r="1381" spans="1:17" ht="12.75" x14ac:dyDescent="0.2">
      <c r="A1381" s="9"/>
      <c r="B1381" s="9"/>
      <c r="C1381" s="9"/>
      <c r="D1381" s="9"/>
      <c r="E1381" s="9"/>
      <c r="F1381" s="9"/>
      <c r="G1381" s="9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</row>
    <row r="1382" spans="1:17" ht="12.75" x14ac:dyDescent="0.2">
      <c r="A1382" s="9"/>
      <c r="B1382" s="9"/>
      <c r="C1382" s="9"/>
      <c r="D1382" s="9"/>
      <c r="E1382" s="9"/>
      <c r="F1382" s="9"/>
      <c r="G1382" s="9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</row>
    <row r="1383" spans="1:17" ht="12.75" x14ac:dyDescent="0.2">
      <c r="A1383" s="9"/>
      <c r="B1383" s="9"/>
      <c r="C1383" s="9"/>
      <c r="D1383" s="9"/>
      <c r="E1383" s="9"/>
      <c r="F1383" s="9"/>
      <c r="G1383" s="9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</row>
    <row r="1384" spans="1:17" ht="12.75" x14ac:dyDescent="0.2">
      <c r="A1384" s="9"/>
      <c r="B1384" s="9"/>
      <c r="C1384" s="9"/>
      <c r="D1384" s="9"/>
      <c r="E1384" s="9"/>
      <c r="F1384" s="9"/>
      <c r="G1384" s="9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</row>
    <row r="1385" spans="1:17" ht="12.75" x14ac:dyDescent="0.2">
      <c r="A1385" s="9"/>
      <c r="B1385" s="9"/>
      <c r="C1385" s="9"/>
      <c r="D1385" s="9"/>
      <c r="E1385" s="9"/>
      <c r="F1385" s="9"/>
      <c r="G1385" s="9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</row>
    <row r="1386" spans="1:17" ht="12.75" x14ac:dyDescent="0.2">
      <c r="A1386" s="9"/>
      <c r="B1386" s="9"/>
      <c r="C1386" s="9"/>
      <c r="D1386" s="9"/>
      <c r="E1386" s="9"/>
      <c r="F1386" s="9"/>
      <c r="G1386" s="9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</row>
    <row r="1387" spans="1:17" ht="12.75" x14ac:dyDescent="0.2">
      <c r="A1387" s="9"/>
      <c r="B1387" s="9"/>
      <c r="C1387" s="9"/>
      <c r="D1387" s="9"/>
      <c r="E1387" s="9"/>
      <c r="F1387" s="9"/>
      <c r="G1387" s="9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</row>
    <row r="1388" spans="1:17" ht="12.75" x14ac:dyDescent="0.2">
      <c r="A1388" s="9"/>
      <c r="B1388" s="9"/>
      <c r="C1388" s="9"/>
      <c r="D1388" s="9"/>
      <c r="E1388" s="9"/>
      <c r="F1388" s="9"/>
      <c r="G1388" s="9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</row>
    <row r="1389" spans="1:17" ht="12.75" x14ac:dyDescent="0.2">
      <c r="A1389" s="9"/>
      <c r="B1389" s="9"/>
      <c r="C1389" s="9"/>
      <c r="D1389" s="9"/>
      <c r="E1389" s="9"/>
      <c r="F1389" s="9"/>
      <c r="G1389" s="9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</row>
    <row r="1390" spans="1:17" ht="12.75" x14ac:dyDescent="0.2">
      <c r="A1390" s="9"/>
      <c r="B1390" s="9"/>
      <c r="C1390" s="9"/>
      <c r="D1390" s="9"/>
      <c r="E1390" s="9"/>
      <c r="F1390" s="9"/>
      <c r="G1390" s="9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</row>
    <row r="1391" spans="1:17" ht="12.75" x14ac:dyDescent="0.2">
      <c r="A1391" s="9"/>
      <c r="B1391" s="9"/>
      <c r="C1391" s="9"/>
      <c r="D1391" s="9"/>
      <c r="E1391" s="9"/>
      <c r="F1391" s="9"/>
      <c r="G1391" s="9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</row>
    <row r="1392" spans="1:17" ht="12.75" x14ac:dyDescent="0.2">
      <c r="A1392" s="9"/>
      <c r="B1392" s="9"/>
      <c r="C1392" s="9"/>
      <c r="D1392" s="9"/>
      <c r="E1392" s="9"/>
      <c r="F1392" s="9"/>
      <c r="G1392" s="9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</row>
    <row r="1393" spans="1:17" ht="12.75" x14ac:dyDescent="0.2">
      <c r="A1393" s="9"/>
      <c r="B1393" s="9"/>
      <c r="C1393" s="9"/>
      <c r="D1393" s="9"/>
      <c r="E1393" s="9"/>
      <c r="F1393" s="9"/>
      <c r="G1393" s="9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</row>
    <row r="1394" spans="1:17" ht="12.75" x14ac:dyDescent="0.2">
      <c r="A1394" s="9"/>
      <c r="B1394" s="9"/>
      <c r="C1394" s="9"/>
      <c r="D1394" s="9"/>
      <c r="E1394" s="9"/>
      <c r="F1394" s="9"/>
      <c r="G1394" s="9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</row>
    <row r="1395" spans="1:17" ht="12.75" x14ac:dyDescent="0.2">
      <c r="A1395" s="9"/>
      <c r="B1395" s="9"/>
      <c r="C1395" s="9"/>
      <c r="D1395" s="9"/>
      <c r="E1395" s="9"/>
      <c r="F1395" s="9"/>
      <c r="G1395" s="9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</row>
    <row r="1396" spans="1:17" ht="12.75" x14ac:dyDescent="0.2">
      <c r="A1396" s="9"/>
      <c r="B1396" s="9"/>
      <c r="C1396" s="9"/>
      <c r="D1396" s="9"/>
      <c r="E1396" s="9"/>
      <c r="F1396" s="9"/>
      <c r="G1396" s="9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</row>
    <row r="1397" spans="1:17" ht="12.75" x14ac:dyDescent="0.2">
      <c r="A1397" s="9"/>
      <c r="B1397" s="9"/>
      <c r="C1397" s="9"/>
      <c r="D1397" s="9"/>
      <c r="E1397" s="9"/>
      <c r="F1397" s="9"/>
      <c r="G1397" s="9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</row>
    <row r="1398" spans="1:17" ht="12.75" x14ac:dyDescent="0.2">
      <c r="A1398" s="9"/>
      <c r="B1398" s="9"/>
      <c r="C1398" s="9"/>
      <c r="D1398" s="9"/>
      <c r="E1398" s="9"/>
      <c r="F1398" s="9"/>
      <c r="G1398" s="9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</row>
    <row r="1399" spans="1:17" ht="12.75" x14ac:dyDescent="0.2">
      <c r="A1399" s="9"/>
      <c r="B1399" s="9"/>
      <c r="C1399" s="9"/>
      <c r="D1399" s="9"/>
      <c r="E1399" s="9"/>
      <c r="F1399" s="9"/>
      <c r="G1399" s="9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</row>
    <row r="1400" spans="1:17" ht="12.75" x14ac:dyDescent="0.2">
      <c r="A1400" s="9"/>
      <c r="B1400" s="9"/>
      <c r="C1400" s="9"/>
      <c r="D1400" s="9"/>
      <c r="E1400" s="9"/>
      <c r="F1400" s="9"/>
      <c r="G1400" s="9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</row>
    <row r="1401" spans="1:17" ht="12.75" x14ac:dyDescent="0.2">
      <c r="A1401" s="9"/>
      <c r="B1401" s="9"/>
      <c r="C1401" s="9"/>
      <c r="D1401" s="9"/>
      <c r="E1401" s="9"/>
      <c r="F1401" s="9"/>
      <c r="G1401" s="9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</row>
    <row r="1402" spans="1:17" ht="12.75" x14ac:dyDescent="0.2">
      <c r="A1402" s="9"/>
      <c r="B1402" s="9"/>
      <c r="C1402" s="9"/>
      <c r="D1402" s="9"/>
      <c r="E1402" s="9"/>
      <c r="F1402" s="9"/>
      <c r="G1402" s="9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</row>
    <row r="1403" spans="1:17" ht="12.75" x14ac:dyDescent="0.2">
      <c r="A1403" s="9"/>
      <c r="B1403" s="9"/>
      <c r="C1403" s="9"/>
      <c r="D1403" s="9"/>
      <c r="E1403" s="9"/>
      <c r="F1403" s="9"/>
      <c r="G1403" s="9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spans="1:17" ht="12.75" x14ac:dyDescent="0.2">
      <c r="A1404" s="9"/>
      <c r="B1404" s="9"/>
      <c r="C1404" s="9"/>
      <c r="D1404" s="9"/>
      <c r="E1404" s="9"/>
      <c r="F1404" s="9"/>
      <c r="G1404" s="9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</row>
    <row r="1405" spans="1:17" ht="12.75" x14ac:dyDescent="0.2">
      <c r="A1405" s="9"/>
      <c r="B1405" s="9"/>
      <c r="C1405" s="9"/>
      <c r="D1405" s="9"/>
      <c r="E1405" s="9"/>
      <c r="F1405" s="9"/>
      <c r="G1405" s="9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</row>
    <row r="1406" spans="1:17" ht="12.75" x14ac:dyDescent="0.2">
      <c r="A1406" s="9"/>
      <c r="B1406" s="9"/>
      <c r="C1406" s="9"/>
      <c r="D1406" s="9"/>
      <c r="E1406" s="9"/>
      <c r="F1406" s="9"/>
      <c r="G1406" s="9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</row>
    <row r="1407" spans="1:17" ht="12.75" x14ac:dyDescent="0.2">
      <c r="A1407" s="9"/>
      <c r="B1407" s="9"/>
      <c r="C1407" s="9"/>
      <c r="D1407" s="9"/>
      <c r="E1407" s="9"/>
      <c r="F1407" s="9"/>
      <c r="G1407" s="9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</row>
    <row r="1408" spans="1:17" ht="12.75" x14ac:dyDescent="0.2">
      <c r="A1408" s="9"/>
      <c r="B1408" s="9"/>
      <c r="C1408" s="9"/>
      <c r="D1408" s="9"/>
      <c r="E1408" s="9"/>
      <c r="F1408" s="9"/>
      <c r="G1408" s="9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</row>
    <row r="1409" spans="1:17" ht="12.75" x14ac:dyDescent="0.2">
      <c r="A1409" s="9"/>
      <c r="B1409" s="9"/>
      <c r="C1409" s="9"/>
      <c r="D1409" s="9"/>
      <c r="E1409" s="9"/>
      <c r="F1409" s="9"/>
      <c r="G1409" s="9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</row>
    <row r="1410" spans="1:17" ht="12.75" x14ac:dyDescent="0.2">
      <c r="A1410" s="9"/>
      <c r="B1410" s="9"/>
      <c r="C1410" s="9"/>
      <c r="D1410" s="9"/>
      <c r="E1410" s="9"/>
      <c r="F1410" s="9"/>
      <c r="G1410" s="9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</row>
    <row r="1411" spans="1:17" ht="12.75" x14ac:dyDescent="0.2">
      <c r="A1411" s="9"/>
      <c r="B1411" s="9"/>
      <c r="C1411" s="9"/>
      <c r="D1411" s="9"/>
      <c r="E1411" s="9"/>
      <c r="F1411" s="9"/>
      <c r="G1411" s="9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</row>
    <row r="1412" spans="1:17" ht="12.75" x14ac:dyDescent="0.2">
      <c r="A1412" s="9"/>
      <c r="B1412" s="9"/>
      <c r="C1412" s="9"/>
      <c r="D1412" s="9"/>
      <c r="E1412" s="9"/>
      <c r="F1412" s="9"/>
      <c r="G1412" s="9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</row>
    <row r="1413" spans="1:17" ht="12.75" x14ac:dyDescent="0.2">
      <c r="A1413" s="9"/>
      <c r="B1413" s="9"/>
      <c r="C1413" s="9"/>
      <c r="D1413" s="9"/>
      <c r="E1413" s="9"/>
      <c r="F1413" s="9"/>
      <c r="G1413" s="9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</row>
    <row r="1414" spans="1:17" ht="12.75" x14ac:dyDescent="0.2">
      <c r="A1414" s="9"/>
      <c r="B1414" s="9"/>
      <c r="C1414" s="9"/>
      <c r="D1414" s="9"/>
      <c r="E1414" s="9"/>
      <c r="F1414" s="9"/>
      <c r="G1414" s="9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</row>
    <row r="1415" spans="1:17" ht="12.75" x14ac:dyDescent="0.2">
      <c r="A1415" s="9"/>
      <c r="B1415" s="9"/>
      <c r="C1415" s="9"/>
      <c r="D1415" s="9"/>
      <c r="E1415" s="9"/>
      <c r="F1415" s="9"/>
      <c r="G1415" s="9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</row>
    <row r="1416" spans="1:17" ht="12.75" x14ac:dyDescent="0.2">
      <c r="A1416" s="9"/>
      <c r="B1416" s="9"/>
      <c r="C1416" s="9"/>
      <c r="D1416" s="9"/>
      <c r="E1416" s="9"/>
      <c r="F1416" s="9"/>
      <c r="G1416" s="9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</row>
    <row r="1417" spans="1:17" ht="12.75" x14ac:dyDescent="0.2">
      <c r="A1417" s="9"/>
      <c r="B1417" s="9"/>
      <c r="C1417" s="9"/>
      <c r="D1417" s="9"/>
      <c r="E1417" s="9"/>
      <c r="F1417" s="9"/>
      <c r="G1417" s="9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</row>
    <row r="1418" spans="1:17" ht="12.75" x14ac:dyDescent="0.2">
      <c r="A1418" s="9"/>
      <c r="B1418" s="9"/>
      <c r="C1418" s="9"/>
      <c r="D1418" s="9"/>
      <c r="E1418" s="9"/>
      <c r="F1418" s="9"/>
      <c r="G1418" s="9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</row>
    <row r="1419" spans="1:17" ht="12.75" x14ac:dyDescent="0.2">
      <c r="A1419" s="9"/>
      <c r="B1419" s="9"/>
      <c r="C1419" s="9"/>
      <c r="D1419" s="9"/>
      <c r="E1419" s="9"/>
      <c r="F1419" s="9"/>
      <c r="G1419" s="9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</row>
    <row r="1420" spans="1:17" ht="12.75" x14ac:dyDescent="0.2">
      <c r="A1420" s="9"/>
      <c r="B1420" s="9"/>
      <c r="C1420" s="9"/>
      <c r="D1420" s="9"/>
      <c r="E1420" s="9"/>
      <c r="F1420" s="9"/>
      <c r="G1420" s="9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spans="1:17" ht="12.75" x14ac:dyDescent="0.2">
      <c r="A1421" s="9"/>
      <c r="B1421" s="9"/>
      <c r="C1421" s="9"/>
      <c r="D1421" s="9"/>
      <c r="E1421" s="9"/>
      <c r="F1421" s="9"/>
      <c r="G1421" s="9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</row>
    <row r="1422" spans="1:17" ht="12.75" x14ac:dyDescent="0.2">
      <c r="A1422" s="9"/>
      <c r="B1422" s="9"/>
      <c r="C1422" s="9"/>
      <c r="D1422" s="9"/>
      <c r="E1422" s="9"/>
      <c r="F1422" s="9"/>
      <c r="G1422" s="9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</row>
    <row r="1423" spans="1:17" ht="12.75" x14ac:dyDescent="0.2">
      <c r="A1423" s="9"/>
      <c r="B1423" s="9"/>
      <c r="C1423" s="9"/>
      <c r="D1423" s="9"/>
      <c r="E1423" s="9"/>
      <c r="F1423" s="9"/>
      <c r="G1423" s="9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spans="1:17" ht="12.75" x14ac:dyDescent="0.2">
      <c r="A1424" s="9"/>
      <c r="B1424" s="9"/>
      <c r="C1424" s="9"/>
      <c r="D1424" s="9"/>
      <c r="E1424" s="9"/>
      <c r="F1424" s="9"/>
      <c r="G1424" s="9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</row>
    <row r="1425" spans="1:17" ht="12.75" x14ac:dyDescent="0.2">
      <c r="A1425" s="9"/>
      <c r="B1425" s="9"/>
      <c r="C1425" s="9"/>
      <c r="D1425" s="9"/>
      <c r="E1425" s="9"/>
      <c r="F1425" s="9"/>
      <c r="G1425" s="9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</row>
    <row r="1426" spans="1:17" ht="12.75" x14ac:dyDescent="0.2">
      <c r="A1426" s="9"/>
      <c r="B1426" s="9"/>
      <c r="C1426" s="9"/>
      <c r="D1426" s="9"/>
      <c r="E1426" s="9"/>
      <c r="F1426" s="9"/>
      <c r="G1426" s="9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</row>
    <row r="1427" spans="1:17" ht="12.75" x14ac:dyDescent="0.2">
      <c r="A1427" s="9"/>
      <c r="B1427" s="9"/>
      <c r="C1427" s="9"/>
      <c r="D1427" s="9"/>
      <c r="E1427" s="9"/>
      <c r="F1427" s="9"/>
      <c r="G1427" s="9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</row>
    <row r="1428" spans="1:17" ht="12.75" x14ac:dyDescent="0.2">
      <c r="A1428" s="9"/>
      <c r="B1428" s="9"/>
      <c r="C1428" s="9"/>
      <c r="D1428" s="9"/>
      <c r="E1428" s="9"/>
      <c r="F1428" s="9"/>
      <c r="G1428" s="9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</row>
    <row r="1429" spans="1:17" ht="12.75" x14ac:dyDescent="0.2">
      <c r="A1429" s="9"/>
      <c r="B1429" s="9"/>
      <c r="C1429" s="9"/>
      <c r="D1429" s="9"/>
      <c r="E1429" s="9"/>
      <c r="F1429" s="9"/>
      <c r="G1429" s="9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</row>
    <row r="1430" spans="1:17" ht="12.75" x14ac:dyDescent="0.2">
      <c r="A1430" s="9"/>
      <c r="B1430" s="9"/>
      <c r="C1430" s="9"/>
      <c r="D1430" s="9"/>
      <c r="E1430" s="9"/>
      <c r="F1430" s="9"/>
      <c r="G1430" s="9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</row>
    <row r="1431" spans="1:17" ht="12.75" x14ac:dyDescent="0.2">
      <c r="A1431" s="9"/>
      <c r="B1431" s="9"/>
      <c r="C1431" s="9"/>
      <c r="D1431" s="9"/>
      <c r="E1431" s="9"/>
      <c r="F1431" s="9"/>
      <c r="G1431" s="9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</row>
    <row r="1432" spans="1:17" ht="12.75" x14ac:dyDescent="0.2">
      <c r="A1432" s="9"/>
      <c r="B1432" s="9"/>
      <c r="C1432" s="9"/>
      <c r="D1432" s="9"/>
      <c r="E1432" s="9"/>
      <c r="F1432" s="9"/>
      <c r="G1432" s="9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</row>
    <row r="1433" spans="1:17" ht="12.75" x14ac:dyDescent="0.2">
      <c r="A1433" s="9"/>
      <c r="B1433" s="9"/>
      <c r="C1433" s="9"/>
      <c r="D1433" s="9"/>
      <c r="E1433" s="9"/>
      <c r="F1433" s="9"/>
      <c r="G1433" s="9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</row>
    <row r="1434" spans="1:17" ht="12.75" x14ac:dyDescent="0.2">
      <c r="A1434" s="9"/>
      <c r="B1434" s="9"/>
      <c r="C1434" s="9"/>
      <c r="D1434" s="9"/>
      <c r="E1434" s="9"/>
      <c r="F1434" s="9"/>
      <c r="G1434" s="9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</row>
    <row r="1435" spans="1:17" ht="12.75" x14ac:dyDescent="0.2">
      <c r="A1435" s="9"/>
      <c r="B1435" s="9"/>
      <c r="C1435" s="9"/>
      <c r="D1435" s="9"/>
      <c r="E1435" s="9"/>
      <c r="F1435" s="9"/>
      <c r="G1435" s="9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</row>
    <row r="1436" spans="1:17" ht="12.75" x14ac:dyDescent="0.2">
      <c r="A1436" s="9"/>
      <c r="B1436" s="9"/>
      <c r="C1436" s="9"/>
      <c r="D1436" s="9"/>
      <c r="E1436" s="9"/>
      <c r="F1436" s="9"/>
      <c r="G1436" s="9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</row>
    <row r="1437" spans="1:17" ht="12.75" x14ac:dyDescent="0.2">
      <c r="A1437" s="9"/>
      <c r="B1437" s="9"/>
      <c r="C1437" s="9"/>
      <c r="D1437" s="9"/>
      <c r="E1437" s="9"/>
      <c r="F1437" s="9"/>
      <c r="G1437" s="9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</row>
    <row r="1438" spans="1:17" ht="12.75" x14ac:dyDescent="0.2">
      <c r="A1438" s="9"/>
      <c r="B1438" s="9"/>
      <c r="C1438" s="9"/>
      <c r="D1438" s="9"/>
      <c r="E1438" s="9"/>
      <c r="F1438" s="9"/>
      <c r="G1438" s="9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</row>
    <row r="1439" spans="1:17" ht="12.75" x14ac:dyDescent="0.2">
      <c r="A1439" s="9"/>
      <c r="B1439" s="9"/>
      <c r="C1439" s="9"/>
      <c r="D1439" s="9"/>
      <c r="E1439" s="9"/>
      <c r="F1439" s="9"/>
      <c r="G1439" s="9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</row>
    <row r="1440" spans="1:17" ht="12.75" x14ac:dyDescent="0.2">
      <c r="A1440" s="9"/>
      <c r="B1440" s="9"/>
      <c r="C1440" s="9"/>
      <c r="D1440" s="9"/>
      <c r="E1440" s="9"/>
      <c r="F1440" s="9"/>
      <c r="G1440" s="9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</row>
    <row r="1441" spans="1:17" ht="12.75" x14ac:dyDescent="0.2">
      <c r="A1441" s="9"/>
      <c r="B1441" s="9"/>
      <c r="C1441" s="9"/>
      <c r="D1441" s="9"/>
      <c r="E1441" s="9"/>
      <c r="F1441" s="9"/>
      <c r="G1441" s="9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</row>
    <row r="1442" spans="1:17" ht="12.75" x14ac:dyDescent="0.2">
      <c r="A1442" s="9"/>
      <c r="B1442" s="9"/>
      <c r="C1442" s="9"/>
      <c r="D1442" s="9"/>
      <c r="E1442" s="9"/>
      <c r="F1442" s="9"/>
      <c r="G1442" s="9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</row>
    <row r="1443" spans="1:17" ht="12.75" x14ac:dyDescent="0.2">
      <c r="A1443" s="9"/>
      <c r="B1443" s="9"/>
      <c r="C1443" s="9"/>
      <c r="D1443" s="9"/>
      <c r="E1443" s="9"/>
      <c r="F1443" s="9"/>
      <c r="G1443" s="9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</row>
    <row r="1444" spans="1:17" ht="12.75" x14ac:dyDescent="0.2">
      <c r="A1444" s="9"/>
      <c r="B1444" s="9"/>
      <c r="C1444" s="9"/>
      <c r="D1444" s="9"/>
      <c r="E1444" s="9"/>
      <c r="F1444" s="9"/>
      <c r="G1444" s="9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</row>
    <row r="1445" spans="1:17" ht="12.75" x14ac:dyDescent="0.2">
      <c r="A1445" s="9"/>
      <c r="B1445" s="9"/>
      <c r="C1445" s="9"/>
      <c r="D1445" s="9"/>
      <c r="E1445" s="9"/>
      <c r="F1445" s="9"/>
      <c r="G1445" s="9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</row>
    <row r="1446" spans="1:17" ht="12.75" x14ac:dyDescent="0.2">
      <c r="A1446" s="9"/>
      <c r="B1446" s="9"/>
      <c r="C1446" s="9"/>
      <c r="D1446" s="9"/>
      <c r="E1446" s="9"/>
      <c r="F1446" s="9"/>
      <c r="G1446" s="9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</row>
    <row r="1447" spans="1:17" ht="12.75" x14ac:dyDescent="0.2">
      <c r="A1447" s="9"/>
      <c r="B1447" s="9"/>
      <c r="C1447" s="9"/>
      <c r="D1447" s="9"/>
      <c r="E1447" s="9"/>
      <c r="F1447" s="9"/>
      <c r="G1447" s="9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</row>
    <row r="1448" spans="1:17" ht="12.75" x14ac:dyDescent="0.2">
      <c r="A1448" s="9"/>
      <c r="B1448" s="9"/>
      <c r="C1448" s="9"/>
      <c r="D1448" s="9"/>
      <c r="E1448" s="9"/>
      <c r="F1448" s="9"/>
      <c r="G1448" s="9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spans="1:17" ht="12.75" x14ac:dyDescent="0.2">
      <c r="A1449" s="9"/>
      <c r="B1449" s="9"/>
      <c r="C1449" s="9"/>
      <c r="D1449" s="9"/>
      <c r="E1449" s="9"/>
      <c r="F1449" s="9"/>
      <c r="G1449" s="9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</row>
    <row r="1450" spans="1:17" ht="12.75" x14ac:dyDescent="0.2">
      <c r="A1450" s="9"/>
      <c r="B1450" s="9"/>
      <c r="C1450" s="9"/>
      <c r="D1450" s="9"/>
      <c r="E1450" s="9"/>
      <c r="F1450" s="9"/>
      <c r="G1450" s="9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</row>
    <row r="1451" spans="1:17" ht="12.75" x14ac:dyDescent="0.2">
      <c r="A1451" s="9"/>
      <c r="B1451" s="9"/>
      <c r="C1451" s="9"/>
      <c r="D1451" s="9"/>
      <c r="E1451" s="9"/>
      <c r="F1451" s="9"/>
      <c r="G1451" s="9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</row>
    <row r="1452" spans="1:17" ht="12.75" x14ac:dyDescent="0.2">
      <c r="A1452" s="9"/>
      <c r="B1452" s="9"/>
      <c r="C1452" s="9"/>
      <c r="D1452" s="9"/>
      <c r="E1452" s="9"/>
      <c r="F1452" s="9"/>
      <c r="G1452" s="9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</row>
    <row r="1453" spans="1:17" ht="12.75" x14ac:dyDescent="0.2">
      <c r="A1453" s="9"/>
      <c r="B1453" s="9"/>
      <c r="C1453" s="9"/>
      <c r="D1453" s="9"/>
      <c r="E1453" s="9"/>
      <c r="F1453" s="9"/>
      <c r="G1453" s="9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</row>
    <row r="1454" spans="1:17" ht="12.75" x14ac:dyDescent="0.2">
      <c r="A1454" s="9"/>
      <c r="B1454" s="9"/>
      <c r="C1454" s="9"/>
      <c r="D1454" s="9"/>
      <c r="E1454" s="9"/>
      <c r="F1454" s="9"/>
      <c r="G1454" s="9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</row>
    <row r="1455" spans="1:17" ht="12.75" x14ac:dyDescent="0.2">
      <c r="A1455" s="9"/>
      <c r="B1455" s="9"/>
      <c r="C1455" s="9"/>
      <c r="D1455" s="9"/>
      <c r="E1455" s="9"/>
      <c r="F1455" s="9"/>
      <c r="G1455" s="9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</row>
    <row r="1456" spans="1:17" ht="12.75" x14ac:dyDescent="0.2">
      <c r="A1456" s="9"/>
      <c r="B1456" s="9"/>
      <c r="C1456" s="9"/>
      <c r="D1456" s="9"/>
      <c r="E1456" s="9"/>
      <c r="F1456" s="9"/>
      <c r="G1456" s="9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</row>
    <row r="1457" spans="1:17" ht="12.75" x14ac:dyDescent="0.2">
      <c r="A1457" s="9"/>
      <c r="B1457" s="9"/>
      <c r="C1457" s="9"/>
      <c r="D1457" s="9"/>
      <c r="E1457" s="9"/>
      <c r="F1457" s="9"/>
      <c r="G1457" s="9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</row>
    <row r="1458" spans="1:17" ht="12.75" x14ac:dyDescent="0.2">
      <c r="A1458" s="9"/>
      <c r="B1458" s="9"/>
      <c r="C1458" s="9"/>
      <c r="D1458" s="9"/>
      <c r="E1458" s="9"/>
      <c r="F1458" s="9"/>
      <c r="G1458" s="9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</row>
    <row r="1459" spans="1:17" ht="12.75" x14ac:dyDescent="0.2">
      <c r="A1459" s="9"/>
      <c r="B1459" s="9"/>
      <c r="C1459" s="9"/>
      <c r="D1459" s="9"/>
      <c r="E1459" s="9"/>
      <c r="F1459" s="9"/>
      <c r="G1459" s="9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</row>
    <row r="1460" spans="1:17" ht="12.75" x14ac:dyDescent="0.2">
      <c r="A1460" s="9"/>
      <c r="B1460" s="9"/>
      <c r="C1460" s="9"/>
      <c r="D1460" s="9"/>
      <c r="E1460" s="9"/>
      <c r="F1460" s="9"/>
      <c r="G1460" s="9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spans="1:17" ht="12.75" x14ac:dyDescent="0.2">
      <c r="A1461" s="9"/>
      <c r="B1461" s="9"/>
      <c r="C1461" s="9"/>
      <c r="D1461" s="9"/>
      <c r="E1461" s="9"/>
      <c r="F1461" s="9"/>
      <c r="G1461" s="9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</row>
    <row r="1462" spans="1:17" ht="12.75" x14ac:dyDescent="0.2">
      <c r="A1462" s="9"/>
      <c r="B1462" s="9"/>
      <c r="C1462" s="9"/>
      <c r="D1462" s="9"/>
      <c r="E1462" s="9"/>
      <c r="F1462" s="9"/>
      <c r="G1462" s="9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</row>
    <row r="1463" spans="1:17" ht="12.75" x14ac:dyDescent="0.2">
      <c r="A1463" s="9"/>
      <c r="B1463" s="9"/>
      <c r="C1463" s="9"/>
      <c r="D1463" s="9"/>
      <c r="E1463" s="9"/>
      <c r="F1463" s="9"/>
      <c r="G1463" s="9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</row>
    <row r="1464" spans="1:17" ht="12.75" x14ac:dyDescent="0.2">
      <c r="A1464" s="9"/>
      <c r="B1464" s="9"/>
      <c r="C1464" s="9"/>
      <c r="D1464" s="9"/>
      <c r="E1464" s="9"/>
      <c r="F1464" s="9"/>
      <c r="G1464" s="9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</row>
    <row r="1465" spans="1:17" ht="12.75" x14ac:dyDescent="0.2">
      <c r="A1465" s="9"/>
      <c r="B1465" s="9"/>
      <c r="C1465" s="9"/>
      <c r="D1465" s="9"/>
      <c r="E1465" s="9"/>
      <c r="F1465" s="9"/>
      <c r="G1465" s="9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</row>
    <row r="1466" spans="1:17" ht="12.75" x14ac:dyDescent="0.2">
      <c r="A1466" s="9"/>
      <c r="B1466" s="9"/>
      <c r="C1466" s="9"/>
      <c r="D1466" s="9"/>
      <c r="E1466" s="9"/>
      <c r="F1466" s="9"/>
      <c r="G1466" s="9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</row>
    <row r="1467" spans="1:17" ht="12.75" x14ac:dyDescent="0.2">
      <c r="A1467" s="9"/>
      <c r="B1467" s="9"/>
      <c r="C1467" s="9"/>
      <c r="D1467" s="9"/>
      <c r="E1467" s="9"/>
      <c r="F1467" s="9"/>
      <c r="G1467" s="9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</row>
    <row r="1468" spans="1:17" ht="12.75" x14ac:dyDescent="0.2">
      <c r="A1468" s="9"/>
      <c r="B1468" s="9"/>
      <c r="C1468" s="9"/>
      <c r="D1468" s="9"/>
      <c r="E1468" s="9"/>
      <c r="F1468" s="9"/>
      <c r="G1468" s="9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</row>
    <row r="1469" spans="1:17" ht="12.75" x14ac:dyDescent="0.2">
      <c r="A1469" s="9"/>
      <c r="B1469" s="9"/>
      <c r="C1469" s="9"/>
      <c r="D1469" s="9"/>
      <c r="E1469" s="9"/>
      <c r="F1469" s="9"/>
      <c r="G1469" s="9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</row>
    <row r="1470" spans="1:17" ht="12.75" x14ac:dyDescent="0.2">
      <c r="A1470" s="9"/>
      <c r="B1470" s="9"/>
      <c r="C1470" s="9"/>
      <c r="D1470" s="9"/>
      <c r="E1470" s="9"/>
      <c r="F1470" s="9"/>
      <c r="G1470" s="9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</row>
    <row r="1471" spans="1:17" ht="12.75" x14ac:dyDescent="0.2">
      <c r="A1471" s="9"/>
      <c r="B1471" s="9"/>
      <c r="C1471" s="9"/>
      <c r="D1471" s="9"/>
      <c r="E1471" s="9"/>
      <c r="F1471" s="9"/>
      <c r="G1471" s="9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spans="1:17" ht="12.75" x14ac:dyDescent="0.2">
      <c r="A1472" s="9"/>
      <c r="B1472" s="9"/>
      <c r="C1472" s="9"/>
      <c r="D1472" s="9"/>
      <c r="E1472" s="9"/>
      <c r="F1472" s="9"/>
      <c r="G1472" s="9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</row>
    <row r="1473" spans="1:17" ht="12.75" x14ac:dyDescent="0.2">
      <c r="A1473" s="9"/>
      <c r="B1473" s="9"/>
      <c r="C1473" s="9"/>
      <c r="D1473" s="9"/>
      <c r="E1473" s="9"/>
      <c r="F1473" s="9"/>
      <c r="G1473" s="9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</row>
    <row r="1474" spans="1:17" ht="12.75" x14ac:dyDescent="0.2">
      <c r="A1474" s="9"/>
      <c r="B1474" s="9"/>
      <c r="C1474" s="9"/>
      <c r="D1474" s="9"/>
      <c r="E1474" s="9"/>
      <c r="F1474" s="9"/>
      <c r="G1474" s="9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</row>
    <row r="1475" spans="1:17" ht="12.75" x14ac:dyDescent="0.2">
      <c r="A1475" s="9"/>
      <c r="B1475" s="9"/>
      <c r="C1475" s="9"/>
      <c r="D1475" s="9"/>
      <c r="E1475" s="9"/>
      <c r="F1475" s="9"/>
      <c r="G1475" s="9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</row>
    <row r="1476" spans="1:17" ht="12.75" x14ac:dyDescent="0.2">
      <c r="A1476" s="9"/>
      <c r="B1476" s="9"/>
      <c r="C1476" s="9"/>
      <c r="D1476" s="9"/>
      <c r="E1476" s="9"/>
      <c r="F1476" s="9"/>
      <c r="G1476" s="9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</row>
    <row r="1477" spans="1:17" ht="12.75" x14ac:dyDescent="0.2">
      <c r="A1477" s="9"/>
      <c r="B1477" s="9"/>
      <c r="C1477" s="9"/>
      <c r="D1477" s="9"/>
      <c r="E1477" s="9"/>
      <c r="F1477" s="9"/>
      <c r="G1477" s="9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</row>
    <row r="1478" spans="1:17" ht="12.75" x14ac:dyDescent="0.2">
      <c r="A1478" s="9"/>
      <c r="B1478" s="9"/>
      <c r="C1478" s="9"/>
      <c r="D1478" s="9"/>
      <c r="E1478" s="9"/>
      <c r="F1478" s="9"/>
      <c r="G1478" s="9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</row>
    <row r="1479" spans="1:17" ht="12.75" x14ac:dyDescent="0.2">
      <c r="A1479" s="9"/>
      <c r="B1479" s="9"/>
      <c r="C1479" s="9"/>
      <c r="D1479" s="9"/>
      <c r="E1479" s="9"/>
      <c r="F1479" s="9"/>
      <c r="G1479" s="9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</row>
    <row r="1480" spans="1:17" ht="12.75" x14ac:dyDescent="0.2">
      <c r="A1480" s="9"/>
      <c r="B1480" s="9"/>
      <c r="C1480" s="9"/>
      <c r="D1480" s="9"/>
      <c r="E1480" s="9"/>
      <c r="F1480" s="9"/>
      <c r="G1480" s="9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</row>
    <row r="1481" spans="1:17" ht="12.75" x14ac:dyDescent="0.2">
      <c r="A1481" s="9"/>
      <c r="B1481" s="9"/>
      <c r="C1481" s="9"/>
      <c r="D1481" s="9"/>
      <c r="E1481" s="9"/>
      <c r="F1481" s="9"/>
      <c r="G1481" s="9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</row>
    <row r="1482" spans="1:17" ht="12.75" x14ac:dyDescent="0.2">
      <c r="A1482" s="9"/>
      <c r="B1482" s="9"/>
      <c r="C1482" s="9"/>
      <c r="D1482" s="9"/>
      <c r="E1482" s="9"/>
      <c r="F1482" s="9"/>
      <c r="G1482" s="9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</row>
    <row r="1483" spans="1:17" ht="12.75" x14ac:dyDescent="0.2">
      <c r="A1483" s="9"/>
      <c r="B1483" s="9"/>
      <c r="C1483" s="9"/>
      <c r="D1483" s="9"/>
      <c r="E1483" s="9"/>
      <c r="F1483" s="9"/>
      <c r="G1483" s="9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</row>
    <row r="1484" spans="1:17" ht="12.75" x14ac:dyDescent="0.2">
      <c r="A1484" s="9"/>
      <c r="B1484" s="9"/>
      <c r="C1484" s="9"/>
      <c r="D1484" s="9"/>
      <c r="E1484" s="9"/>
      <c r="F1484" s="9"/>
      <c r="G1484" s="9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</row>
    <row r="1485" spans="1:17" ht="12.75" x14ac:dyDescent="0.2">
      <c r="A1485" s="9"/>
      <c r="B1485" s="9"/>
      <c r="C1485" s="9"/>
      <c r="D1485" s="9"/>
      <c r="E1485" s="9"/>
      <c r="F1485" s="9"/>
      <c r="G1485" s="9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</row>
    <row r="1486" spans="1:17" ht="12.75" x14ac:dyDescent="0.2">
      <c r="A1486" s="9"/>
      <c r="B1486" s="9"/>
      <c r="C1486" s="9"/>
      <c r="D1486" s="9"/>
      <c r="E1486" s="9"/>
      <c r="F1486" s="9"/>
      <c r="G1486" s="9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</row>
    <row r="1487" spans="1:17" ht="12.75" x14ac:dyDescent="0.2">
      <c r="A1487" s="9"/>
      <c r="B1487" s="9"/>
      <c r="C1487" s="9"/>
      <c r="D1487" s="9"/>
      <c r="E1487" s="9"/>
      <c r="F1487" s="9"/>
      <c r="G1487" s="9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</row>
    <row r="1488" spans="1:17" ht="12.75" x14ac:dyDescent="0.2">
      <c r="A1488" s="9"/>
      <c r="B1488" s="9"/>
      <c r="C1488" s="9"/>
      <c r="D1488" s="9"/>
      <c r="E1488" s="9"/>
      <c r="F1488" s="9"/>
      <c r="G1488" s="9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</row>
    <row r="1489" spans="1:17" ht="12.75" x14ac:dyDescent="0.2">
      <c r="A1489" s="9"/>
      <c r="B1489" s="9"/>
      <c r="C1489" s="9"/>
      <c r="D1489" s="9"/>
      <c r="E1489" s="9"/>
      <c r="F1489" s="9"/>
      <c r="G1489" s="9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</row>
    <row r="1490" spans="1:17" ht="12.75" x14ac:dyDescent="0.2">
      <c r="A1490" s="9"/>
      <c r="B1490" s="9"/>
      <c r="C1490" s="9"/>
      <c r="D1490" s="9"/>
      <c r="E1490" s="9"/>
      <c r="F1490" s="9"/>
      <c r="G1490" s="9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</row>
    <row r="1491" spans="1:17" ht="12.75" x14ac:dyDescent="0.2">
      <c r="A1491" s="9"/>
      <c r="B1491" s="9"/>
      <c r="C1491" s="9"/>
      <c r="D1491" s="9"/>
      <c r="E1491" s="9"/>
      <c r="F1491" s="9"/>
      <c r="G1491" s="9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</row>
    <row r="1492" spans="1:17" ht="12.75" x14ac:dyDescent="0.2">
      <c r="A1492" s="9"/>
      <c r="B1492" s="9"/>
      <c r="C1492" s="9"/>
      <c r="D1492" s="9"/>
      <c r="E1492" s="9"/>
      <c r="F1492" s="9"/>
      <c r="G1492" s="9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</row>
    <row r="1493" spans="1:17" ht="12.75" x14ac:dyDescent="0.2">
      <c r="A1493" s="9"/>
      <c r="B1493" s="9"/>
      <c r="C1493" s="9"/>
      <c r="D1493" s="9"/>
      <c r="E1493" s="9"/>
      <c r="F1493" s="9"/>
      <c r="G1493" s="9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</row>
    <row r="1494" spans="1:17" ht="12.75" x14ac:dyDescent="0.2">
      <c r="A1494" s="9"/>
      <c r="B1494" s="9"/>
      <c r="C1494" s="9"/>
      <c r="D1494" s="9"/>
      <c r="E1494" s="9"/>
      <c r="F1494" s="9"/>
      <c r="G1494" s="9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spans="1:17" ht="12.75" x14ac:dyDescent="0.2">
      <c r="A1495" s="9"/>
      <c r="B1495" s="9"/>
      <c r="C1495" s="9"/>
      <c r="D1495" s="9"/>
      <c r="E1495" s="9"/>
      <c r="F1495" s="9"/>
      <c r="G1495" s="9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</row>
    <row r="1496" spans="1:17" ht="12.75" x14ac:dyDescent="0.2">
      <c r="A1496" s="9"/>
      <c r="B1496" s="9"/>
      <c r="C1496" s="9"/>
      <c r="D1496" s="9"/>
      <c r="E1496" s="9"/>
      <c r="F1496" s="9"/>
      <c r="G1496" s="9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</row>
    <row r="1497" spans="1:17" ht="12.75" x14ac:dyDescent="0.2">
      <c r="A1497" s="9"/>
      <c r="B1497" s="9"/>
      <c r="C1497" s="9"/>
      <c r="D1497" s="9"/>
      <c r="E1497" s="9"/>
      <c r="F1497" s="9"/>
      <c r="G1497" s="9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spans="1:17" ht="12.75" x14ac:dyDescent="0.2">
      <c r="A1498" s="9"/>
      <c r="B1498" s="9"/>
      <c r="C1498" s="9"/>
      <c r="D1498" s="9"/>
      <c r="E1498" s="9"/>
      <c r="F1498" s="9"/>
      <c r="G1498" s="9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</row>
    <row r="1499" spans="1:17" ht="12.75" x14ac:dyDescent="0.2">
      <c r="A1499" s="9"/>
      <c r="B1499" s="9"/>
      <c r="C1499" s="9"/>
      <c r="D1499" s="9"/>
      <c r="E1499" s="9"/>
      <c r="F1499" s="9"/>
      <c r="G1499" s="9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</row>
    <row r="1500" spans="1:17" ht="12.75" x14ac:dyDescent="0.2">
      <c r="A1500" s="9"/>
      <c r="B1500" s="9"/>
      <c r="C1500" s="9"/>
      <c r="D1500" s="9"/>
      <c r="E1500" s="9"/>
      <c r="F1500" s="9"/>
      <c r="G1500" s="9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</row>
    <row r="1501" spans="1:17" ht="12.75" x14ac:dyDescent="0.2">
      <c r="A1501" s="9"/>
      <c r="B1501" s="9"/>
      <c r="C1501" s="9"/>
      <c r="D1501" s="9"/>
      <c r="E1501" s="9"/>
      <c r="F1501" s="9"/>
      <c r="G1501" s="9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</row>
    <row r="1502" spans="1:17" ht="12.75" x14ac:dyDescent="0.2">
      <c r="A1502" s="9"/>
      <c r="B1502" s="9"/>
      <c r="C1502" s="9"/>
      <c r="D1502" s="9"/>
      <c r="E1502" s="9"/>
      <c r="F1502" s="9"/>
      <c r="G1502" s="9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</row>
    <row r="1503" spans="1:17" ht="12.75" x14ac:dyDescent="0.2">
      <c r="A1503" s="9"/>
      <c r="B1503" s="9"/>
      <c r="C1503" s="9"/>
      <c r="D1503" s="9"/>
      <c r="E1503" s="9"/>
      <c r="F1503" s="9"/>
      <c r="G1503" s="9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</row>
    <row r="1504" spans="1:17" ht="12.75" x14ac:dyDescent="0.2">
      <c r="A1504" s="9"/>
      <c r="B1504" s="9"/>
      <c r="C1504" s="9"/>
      <c r="D1504" s="9"/>
      <c r="E1504" s="9"/>
      <c r="F1504" s="9"/>
      <c r="G1504" s="9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</row>
    <row r="1505" spans="1:17" ht="12.75" x14ac:dyDescent="0.2">
      <c r="A1505" s="9"/>
      <c r="B1505" s="9"/>
      <c r="C1505" s="9"/>
      <c r="D1505" s="9"/>
      <c r="E1505" s="9"/>
      <c r="F1505" s="9"/>
      <c r="G1505" s="9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</row>
    <row r="1506" spans="1:17" ht="12.75" x14ac:dyDescent="0.2">
      <c r="A1506" s="9"/>
      <c r="B1506" s="9"/>
      <c r="C1506" s="9"/>
      <c r="D1506" s="9"/>
      <c r="E1506" s="9"/>
      <c r="F1506" s="9"/>
      <c r="G1506" s="9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</row>
    <row r="1507" spans="1:17" ht="12.75" x14ac:dyDescent="0.2">
      <c r="A1507" s="9"/>
      <c r="B1507" s="9"/>
      <c r="C1507" s="9"/>
      <c r="D1507" s="9"/>
      <c r="E1507" s="9"/>
      <c r="F1507" s="9"/>
      <c r="G1507" s="9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</row>
    <row r="1508" spans="1:17" ht="12.75" x14ac:dyDescent="0.2">
      <c r="A1508" s="9"/>
      <c r="B1508" s="9"/>
      <c r="C1508" s="9"/>
      <c r="D1508" s="9"/>
      <c r="E1508" s="9"/>
      <c r="F1508" s="9"/>
      <c r="G1508" s="9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</row>
    <row r="1509" spans="1:17" ht="12.75" x14ac:dyDescent="0.2">
      <c r="A1509" s="9"/>
      <c r="B1509" s="9"/>
      <c r="C1509" s="9"/>
      <c r="D1509" s="9"/>
      <c r="E1509" s="9"/>
      <c r="F1509" s="9"/>
      <c r="G1509" s="9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</row>
    <row r="1510" spans="1:17" ht="12.75" x14ac:dyDescent="0.2">
      <c r="A1510" s="9"/>
      <c r="B1510" s="9"/>
      <c r="C1510" s="9"/>
      <c r="D1510" s="9"/>
      <c r="E1510" s="9"/>
      <c r="F1510" s="9"/>
      <c r="G1510" s="9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</row>
    <row r="1511" spans="1:17" ht="12.75" x14ac:dyDescent="0.2">
      <c r="A1511" s="9"/>
      <c r="B1511" s="9"/>
      <c r="C1511" s="9"/>
      <c r="D1511" s="9"/>
      <c r="E1511" s="9"/>
      <c r="F1511" s="9"/>
      <c r="G1511" s="9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</row>
    <row r="1512" spans="1:17" ht="12.75" x14ac:dyDescent="0.2">
      <c r="A1512" s="9"/>
      <c r="B1512" s="9"/>
      <c r="C1512" s="9"/>
      <c r="D1512" s="9"/>
      <c r="E1512" s="9"/>
      <c r="F1512" s="9"/>
      <c r="G1512" s="9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</row>
    <row r="1513" spans="1:17" ht="12.75" x14ac:dyDescent="0.2">
      <c r="A1513" s="9"/>
      <c r="B1513" s="9"/>
      <c r="C1513" s="9"/>
      <c r="D1513" s="9"/>
      <c r="E1513" s="9"/>
      <c r="F1513" s="9"/>
      <c r="G1513" s="9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</row>
    <row r="1514" spans="1:17" ht="12.75" x14ac:dyDescent="0.2">
      <c r="A1514" s="9"/>
      <c r="B1514" s="9"/>
      <c r="C1514" s="9"/>
      <c r="D1514" s="9"/>
      <c r="E1514" s="9"/>
      <c r="F1514" s="9"/>
      <c r="G1514" s="9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</row>
    <row r="1515" spans="1:17" ht="12.75" x14ac:dyDescent="0.2">
      <c r="A1515" s="9"/>
      <c r="B1515" s="9"/>
      <c r="C1515" s="9"/>
      <c r="D1515" s="9"/>
      <c r="E1515" s="9"/>
      <c r="F1515" s="9"/>
      <c r="G1515" s="9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</row>
    <row r="1516" spans="1:17" ht="12.75" x14ac:dyDescent="0.2">
      <c r="A1516" s="9"/>
      <c r="B1516" s="9"/>
      <c r="C1516" s="9"/>
      <c r="D1516" s="9"/>
      <c r="E1516" s="9"/>
      <c r="F1516" s="9"/>
      <c r="G1516" s="9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</row>
    <row r="1517" spans="1:17" ht="12.75" x14ac:dyDescent="0.2">
      <c r="A1517" s="9"/>
      <c r="B1517" s="9"/>
      <c r="C1517" s="9"/>
      <c r="D1517" s="9"/>
      <c r="E1517" s="9"/>
      <c r="F1517" s="9"/>
      <c r="G1517" s="9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</row>
    <row r="1518" spans="1:17" ht="12.75" x14ac:dyDescent="0.2">
      <c r="A1518" s="9"/>
      <c r="B1518" s="9"/>
      <c r="C1518" s="9"/>
      <c r="D1518" s="9"/>
      <c r="E1518" s="9"/>
      <c r="F1518" s="9"/>
      <c r="G1518" s="9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</row>
    <row r="1519" spans="1:17" ht="12.75" x14ac:dyDescent="0.2">
      <c r="A1519" s="9"/>
      <c r="B1519" s="9"/>
      <c r="C1519" s="9"/>
      <c r="D1519" s="9"/>
      <c r="E1519" s="9"/>
      <c r="F1519" s="9"/>
      <c r="G1519" s="9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</row>
    <row r="1520" spans="1:17" ht="12.75" x14ac:dyDescent="0.2">
      <c r="A1520" s="9"/>
      <c r="B1520" s="9"/>
      <c r="C1520" s="9"/>
      <c r="D1520" s="9"/>
      <c r="E1520" s="9"/>
      <c r="F1520" s="9"/>
      <c r="G1520" s="9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</row>
    <row r="1521" spans="1:17" ht="12.75" x14ac:dyDescent="0.2">
      <c r="A1521" s="9"/>
      <c r="B1521" s="9"/>
      <c r="C1521" s="9"/>
      <c r="D1521" s="9"/>
      <c r="E1521" s="9"/>
      <c r="F1521" s="9"/>
      <c r="G1521" s="9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</row>
    <row r="1522" spans="1:17" ht="12.75" x14ac:dyDescent="0.2">
      <c r="A1522" s="9"/>
      <c r="B1522" s="9"/>
      <c r="C1522" s="9"/>
      <c r="D1522" s="9"/>
      <c r="E1522" s="9"/>
      <c r="F1522" s="9"/>
      <c r="G1522" s="9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</row>
    <row r="1523" spans="1:17" ht="12.75" x14ac:dyDescent="0.2">
      <c r="A1523" s="9"/>
      <c r="B1523" s="9"/>
      <c r="C1523" s="9"/>
      <c r="D1523" s="9"/>
      <c r="E1523" s="9"/>
      <c r="F1523" s="9"/>
      <c r="G1523" s="9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</row>
    <row r="1524" spans="1:17" ht="12.75" x14ac:dyDescent="0.2">
      <c r="A1524" s="9"/>
      <c r="B1524" s="9"/>
      <c r="C1524" s="9"/>
      <c r="D1524" s="9"/>
      <c r="E1524" s="9"/>
      <c r="F1524" s="9"/>
      <c r="G1524" s="9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</row>
    <row r="1525" spans="1:17" ht="12.75" x14ac:dyDescent="0.2">
      <c r="A1525" s="9"/>
      <c r="B1525" s="9"/>
      <c r="C1525" s="9"/>
      <c r="D1525" s="9"/>
      <c r="E1525" s="9"/>
      <c r="F1525" s="9"/>
      <c r="G1525" s="9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</row>
    <row r="1526" spans="1:17" ht="12.75" x14ac:dyDescent="0.2">
      <c r="A1526" s="9"/>
      <c r="B1526" s="9"/>
      <c r="C1526" s="9"/>
      <c r="D1526" s="9"/>
      <c r="E1526" s="9"/>
      <c r="F1526" s="9"/>
      <c r="G1526" s="9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</row>
    <row r="1527" spans="1:17" ht="12.75" x14ac:dyDescent="0.2">
      <c r="A1527" s="9"/>
      <c r="B1527" s="9"/>
      <c r="C1527" s="9"/>
      <c r="D1527" s="9"/>
      <c r="E1527" s="9"/>
      <c r="F1527" s="9"/>
      <c r="G1527" s="9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</row>
    <row r="1528" spans="1:17" ht="12.75" x14ac:dyDescent="0.2">
      <c r="A1528" s="9"/>
      <c r="B1528" s="9"/>
      <c r="C1528" s="9"/>
      <c r="D1528" s="9"/>
      <c r="E1528" s="9"/>
      <c r="F1528" s="9"/>
      <c r="G1528" s="9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</row>
    <row r="1529" spans="1:17" ht="12.75" x14ac:dyDescent="0.2">
      <c r="A1529" s="9"/>
      <c r="B1529" s="9"/>
      <c r="C1529" s="9"/>
      <c r="D1529" s="9"/>
      <c r="E1529" s="9"/>
      <c r="F1529" s="9"/>
      <c r="G1529" s="9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</row>
    <row r="1530" spans="1:17" ht="12.75" x14ac:dyDescent="0.2">
      <c r="A1530" s="9"/>
      <c r="B1530" s="9"/>
      <c r="C1530" s="9"/>
      <c r="D1530" s="9"/>
      <c r="E1530" s="9"/>
      <c r="F1530" s="9"/>
      <c r="G1530" s="9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</row>
    <row r="1531" spans="1:17" ht="12.75" x14ac:dyDescent="0.2">
      <c r="A1531" s="9"/>
      <c r="B1531" s="9"/>
      <c r="C1531" s="9"/>
      <c r="D1531" s="9"/>
      <c r="E1531" s="9"/>
      <c r="F1531" s="9"/>
      <c r="G1531" s="9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</row>
    <row r="1532" spans="1:17" ht="12.75" x14ac:dyDescent="0.2">
      <c r="A1532" s="9"/>
      <c r="B1532" s="9"/>
      <c r="C1532" s="9"/>
      <c r="D1532" s="9"/>
      <c r="E1532" s="9"/>
      <c r="F1532" s="9"/>
      <c r="G1532" s="9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</row>
    <row r="1533" spans="1:17" ht="12.75" x14ac:dyDescent="0.2">
      <c r="A1533" s="9"/>
      <c r="B1533" s="9"/>
      <c r="C1533" s="9"/>
      <c r="D1533" s="9"/>
      <c r="E1533" s="9"/>
      <c r="F1533" s="9"/>
      <c r="G1533" s="9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</row>
    <row r="1534" spans="1:17" ht="12.75" x14ac:dyDescent="0.2">
      <c r="A1534" s="9"/>
      <c r="B1534" s="9"/>
      <c r="C1534" s="9"/>
      <c r="D1534" s="9"/>
      <c r="E1534" s="9"/>
      <c r="F1534" s="9"/>
      <c r="G1534" s="9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</row>
    <row r="1535" spans="1:17" ht="12.75" x14ac:dyDescent="0.2">
      <c r="A1535" s="9"/>
      <c r="B1535" s="9"/>
      <c r="C1535" s="9"/>
      <c r="D1535" s="9"/>
      <c r="E1535" s="9"/>
      <c r="F1535" s="9"/>
      <c r="G1535" s="9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</row>
    <row r="1536" spans="1:17" ht="12.75" x14ac:dyDescent="0.2">
      <c r="A1536" s="9"/>
      <c r="B1536" s="9"/>
      <c r="C1536" s="9"/>
      <c r="D1536" s="9"/>
      <c r="E1536" s="9"/>
      <c r="F1536" s="9"/>
      <c r="G1536" s="9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</row>
    <row r="1537" spans="1:17" ht="12.75" x14ac:dyDescent="0.2">
      <c r="A1537" s="9"/>
      <c r="B1537" s="9"/>
      <c r="C1537" s="9"/>
      <c r="D1537" s="9"/>
      <c r="E1537" s="9"/>
      <c r="F1537" s="9"/>
      <c r="G1537" s="9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</row>
    <row r="1538" spans="1:17" ht="12.75" x14ac:dyDescent="0.2">
      <c r="A1538" s="9"/>
      <c r="B1538" s="9"/>
      <c r="C1538" s="9"/>
      <c r="D1538" s="9"/>
      <c r="E1538" s="9"/>
      <c r="F1538" s="9"/>
      <c r="G1538" s="9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</row>
    <row r="1539" spans="1:17" ht="12.75" x14ac:dyDescent="0.2">
      <c r="A1539" s="9"/>
      <c r="B1539" s="9"/>
      <c r="C1539" s="9"/>
      <c r="D1539" s="9"/>
      <c r="E1539" s="9"/>
      <c r="F1539" s="9"/>
      <c r="G1539" s="9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</row>
    <row r="1540" spans="1:17" ht="12.75" x14ac:dyDescent="0.2">
      <c r="A1540" s="9"/>
      <c r="B1540" s="9"/>
      <c r="C1540" s="9"/>
      <c r="D1540" s="9"/>
      <c r="E1540" s="9"/>
      <c r="F1540" s="9"/>
      <c r="G1540" s="9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</row>
    <row r="1541" spans="1:17" ht="12.75" x14ac:dyDescent="0.2">
      <c r="A1541" s="9"/>
      <c r="B1541" s="9"/>
      <c r="C1541" s="9"/>
      <c r="D1541" s="9"/>
      <c r="E1541" s="9"/>
      <c r="F1541" s="9"/>
      <c r="G1541" s="9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</row>
    <row r="1542" spans="1:17" ht="12.75" x14ac:dyDescent="0.2">
      <c r="A1542" s="9"/>
      <c r="B1542" s="9"/>
      <c r="C1542" s="9"/>
      <c r="D1542" s="9"/>
      <c r="E1542" s="9"/>
      <c r="F1542" s="9"/>
      <c r="G1542" s="9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</row>
    <row r="1543" spans="1:17" ht="12.75" x14ac:dyDescent="0.2">
      <c r="A1543" s="9"/>
      <c r="B1543" s="9"/>
      <c r="C1543" s="9"/>
      <c r="D1543" s="9"/>
      <c r="E1543" s="9"/>
      <c r="F1543" s="9"/>
      <c r="G1543" s="9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</row>
    <row r="1544" spans="1:17" ht="12.75" x14ac:dyDescent="0.2">
      <c r="A1544" s="9"/>
      <c r="B1544" s="9"/>
      <c r="C1544" s="9"/>
      <c r="D1544" s="9"/>
      <c r="E1544" s="9"/>
      <c r="F1544" s="9"/>
      <c r="G1544" s="9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</row>
    <row r="1545" spans="1:17" ht="12.75" x14ac:dyDescent="0.2">
      <c r="A1545" s="9"/>
      <c r="B1545" s="9"/>
      <c r="C1545" s="9"/>
      <c r="D1545" s="9"/>
      <c r="E1545" s="9"/>
      <c r="F1545" s="9"/>
      <c r="G1545" s="9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</row>
    <row r="1546" spans="1:17" ht="12.75" x14ac:dyDescent="0.2">
      <c r="A1546" s="9"/>
      <c r="B1546" s="9"/>
      <c r="C1546" s="9"/>
      <c r="D1546" s="9"/>
      <c r="E1546" s="9"/>
      <c r="F1546" s="9"/>
      <c r="G1546" s="9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</row>
    <row r="1547" spans="1:17" ht="12.75" x14ac:dyDescent="0.2">
      <c r="A1547" s="9"/>
      <c r="B1547" s="9"/>
      <c r="C1547" s="9"/>
      <c r="D1547" s="9"/>
      <c r="E1547" s="9"/>
      <c r="F1547" s="9"/>
      <c r="G1547" s="9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</row>
    <row r="1548" spans="1:17" ht="12.75" x14ac:dyDescent="0.2">
      <c r="A1548" s="9"/>
      <c r="B1548" s="9"/>
      <c r="C1548" s="9"/>
      <c r="D1548" s="9"/>
      <c r="E1548" s="9"/>
      <c r="F1548" s="9"/>
      <c r="G1548" s="9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</row>
    <row r="1549" spans="1:17" ht="12.75" x14ac:dyDescent="0.2">
      <c r="A1549" s="9"/>
      <c r="B1549" s="9"/>
      <c r="C1549" s="9"/>
      <c r="D1549" s="9"/>
      <c r="E1549" s="9"/>
      <c r="F1549" s="9"/>
      <c r="G1549" s="9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</row>
    <row r="1550" spans="1:17" ht="12.75" x14ac:dyDescent="0.2">
      <c r="A1550" s="9"/>
      <c r="B1550" s="9"/>
      <c r="C1550" s="9"/>
      <c r="D1550" s="9"/>
      <c r="E1550" s="9"/>
      <c r="F1550" s="9"/>
      <c r="G1550" s="9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</row>
    <row r="1551" spans="1:17" ht="12.75" x14ac:dyDescent="0.2">
      <c r="A1551" s="9"/>
      <c r="B1551" s="9"/>
      <c r="C1551" s="9"/>
      <c r="D1551" s="9"/>
      <c r="E1551" s="9"/>
      <c r="F1551" s="9"/>
      <c r="G1551" s="9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</row>
    <row r="1552" spans="1:17" ht="12.75" x14ac:dyDescent="0.2">
      <c r="A1552" s="9"/>
      <c r="B1552" s="9"/>
      <c r="C1552" s="9"/>
      <c r="D1552" s="9"/>
      <c r="E1552" s="9"/>
      <c r="F1552" s="9"/>
      <c r="G1552" s="9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</row>
    <row r="1553" spans="1:17" ht="12.75" x14ac:dyDescent="0.2">
      <c r="A1553" s="9"/>
      <c r="B1553" s="9"/>
      <c r="C1553" s="9"/>
      <c r="D1553" s="9"/>
      <c r="E1553" s="9"/>
      <c r="F1553" s="9"/>
      <c r="G1553" s="9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</row>
    <row r="1554" spans="1:17" ht="12.75" x14ac:dyDescent="0.2">
      <c r="A1554" s="9"/>
      <c r="B1554" s="9"/>
      <c r="C1554" s="9"/>
      <c r="D1554" s="9"/>
      <c r="E1554" s="9"/>
      <c r="F1554" s="9"/>
      <c r="G1554" s="9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</row>
    <row r="1555" spans="1:17" ht="12.75" x14ac:dyDescent="0.2">
      <c r="A1555" s="9"/>
      <c r="B1555" s="9"/>
      <c r="C1555" s="9"/>
      <c r="D1555" s="9"/>
      <c r="E1555" s="9"/>
      <c r="F1555" s="9"/>
      <c r="G1555" s="9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</row>
    <row r="1556" spans="1:17" ht="12.75" x14ac:dyDescent="0.2">
      <c r="A1556" s="9"/>
      <c r="B1556" s="9"/>
      <c r="C1556" s="9"/>
      <c r="D1556" s="9"/>
      <c r="E1556" s="9"/>
      <c r="F1556" s="9"/>
      <c r="G1556" s="9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</row>
    <row r="1557" spans="1:17" ht="12.75" x14ac:dyDescent="0.2">
      <c r="A1557" s="9"/>
      <c r="B1557" s="9"/>
      <c r="C1557" s="9"/>
      <c r="D1557" s="9"/>
      <c r="E1557" s="9"/>
      <c r="F1557" s="9"/>
      <c r="G1557" s="9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</row>
    <row r="1558" spans="1:17" ht="12.75" x14ac:dyDescent="0.2">
      <c r="A1558" s="9"/>
      <c r="B1558" s="9"/>
      <c r="C1558" s="9"/>
      <c r="D1558" s="9"/>
      <c r="E1558" s="9"/>
      <c r="F1558" s="9"/>
      <c r="G1558" s="9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</row>
    <row r="1559" spans="1:17" ht="12.75" x14ac:dyDescent="0.2">
      <c r="A1559" s="9"/>
      <c r="B1559" s="9"/>
      <c r="C1559" s="9"/>
      <c r="D1559" s="9"/>
      <c r="E1559" s="9"/>
      <c r="F1559" s="9"/>
      <c r="G1559" s="9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</row>
    <row r="1560" spans="1:17" ht="12.75" x14ac:dyDescent="0.2">
      <c r="A1560" s="9"/>
      <c r="B1560" s="9"/>
      <c r="C1560" s="9"/>
      <c r="D1560" s="9"/>
      <c r="E1560" s="9"/>
      <c r="F1560" s="9"/>
      <c r="G1560" s="9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</row>
    <row r="1561" spans="1:17" ht="12.75" x14ac:dyDescent="0.2">
      <c r="A1561" s="9"/>
      <c r="B1561" s="9"/>
      <c r="C1561" s="9"/>
      <c r="D1561" s="9"/>
      <c r="E1561" s="9"/>
      <c r="F1561" s="9"/>
      <c r="G1561" s="9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</row>
    <row r="1562" spans="1:17" ht="12.75" x14ac:dyDescent="0.2">
      <c r="A1562" s="9"/>
      <c r="B1562" s="9"/>
      <c r="C1562" s="9"/>
      <c r="D1562" s="9"/>
      <c r="E1562" s="9"/>
      <c r="F1562" s="9"/>
      <c r="G1562" s="9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</row>
    <row r="1563" spans="1:17" ht="12.75" x14ac:dyDescent="0.2">
      <c r="A1563" s="9"/>
      <c r="B1563" s="9"/>
      <c r="C1563" s="9"/>
      <c r="D1563" s="9"/>
      <c r="E1563" s="9"/>
      <c r="F1563" s="9"/>
      <c r="G1563" s="9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</row>
    <row r="1564" spans="1:17" ht="12.75" x14ac:dyDescent="0.2">
      <c r="A1564" s="9"/>
      <c r="B1564" s="9"/>
      <c r="C1564" s="9"/>
      <c r="D1564" s="9"/>
      <c r="E1564" s="9"/>
      <c r="F1564" s="9"/>
      <c r="G1564" s="9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</row>
    <row r="1565" spans="1:17" ht="12.75" x14ac:dyDescent="0.2">
      <c r="A1565" s="9"/>
      <c r="B1565" s="9"/>
      <c r="C1565" s="9"/>
      <c r="D1565" s="9"/>
      <c r="E1565" s="9"/>
      <c r="F1565" s="9"/>
      <c r="G1565" s="9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</row>
    <row r="1566" spans="1:17" ht="12.75" x14ac:dyDescent="0.2">
      <c r="A1566" s="9"/>
      <c r="B1566" s="9"/>
      <c r="C1566" s="9"/>
      <c r="D1566" s="9"/>
      <c r="E1566" s="9"/>
      <c r="F1566" s="9"/>
      <c r="G1566" s="9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spans="1:17" ht="12.75" x14ac:dyDescent="0.2">
      <c r="A1567" s="9"/>
      <c r="B1567" s="9"/>
      <c r="C1567" s="9"/>
      <c r="D1567" s="9"/>
      <c r="E1567" s="9"/>
      <c r="F1567" s="9"/>
      <c r="G1567" s="9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</row>
    <row r="1568" spans="1:17" ht="12.75" x14ac:dyDescent="0.2">
      <c r="A1568" s="9"/>
      <c r="B1568" s="9"/>
      <c r="C1568" s="9"/>
      <c r="D1568" s="9"/>
      <c r="E1568" s="9"/>
      <c r="F1568" s="9"/>
      <c r="G1568" s="9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</row>
    <row r="1569" spans="1:17" ht="12.75" x14ac:dyDescent="0.2">
      <c r="A1569" s="9"/>
      <c r="B1569" s="9"/>
      <c r="C1569" s="9"/>
      <c r="D1569" s="9"/>
      <c r="E1569" s="9"/>
      <c r="F1569" s="9"/>
      <c r="G1569" s="9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</row>
    <row r="1570" spans="1:17" ht="12.75" x14ac:dyDescent="0.2">
      <c r="A1570" s="9"/>
      <c r="B1570" s="9"/>
      <c r="C1570" s="9"/>
      <c r="D1570" s="9"/>
      <c r="E1570" s="9"/>
      <c r="F1570" s="9"/>
      <c r="G1570" s="9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</row>
    <row r="1571" spans="1:17" ht="12.75" x14ac:dyDescent="0.2">
      <c r="A1571" s="9"/>
      <c r="B1571" s="9"/>
      <c r="C1571" s="9"/>
      <c r="D1571" s="9"/>
      <c r="E1571" s="9"/>
      <c r="F1571" s="9"/>
      <c r="G1571" s="9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</row>
    <row r="1572" spans="1:17" ht="12.75" x14ac:dyDescent="0.2">
      <c r="A1572" s="9"/>
      <c r="B1572" s="9"/>
      <c r="C1572" s="9"/>
      <c r="D1572" s="9"/>
      <c r="E1572" s="9"/>
      <c r="F1572" s="9"/>
      <c r="G1572" s="9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</row>
    <row r="1573" spans="1:17" ht="12.75" x14ac:dyDescent="0.2">
      <c r="A1573" s="9"/>
      <c r="B1573" s="9"/>
      <c r="C1573" s="9"/>
      <c r="D1573" s="9"/>
      <c r="E1573" s="9"/>
      <c r="F1573" s="9"/>
      <c r="G1573" s="9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</row>
    <row r="1574" spans="1:17" ht="12.75" x14ac:dyDescent="0.2">
      <c r="A1574" s="9"/>
      <c r="B1574" s="9"/>
      <c r="C1574" s="9"/>
      <c r="D1574" s="9"/>
      <c r="E1574" s="9"/>
      <c r="F1574" s="9"/>
      <c r="G1574" s="9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</row>
    <row r="1575" spans="1:17" ht="12.75" x14ac:dyDescent="0.2">
      <c r="A1575" s="9"/>
      <c r="B1575" s="9"/>
      <c r="C1575" s="9"/>
      <c r="D1575" s="9"/>
      <c r="E1575" s="9"/>
      <c r="F1575" s="9"/>
      <c r="G1575" s="9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</row>
    <row r="1576" spans="1:17" ht="12.75" x14ac:dyDescent="0.2">
      <c r="A1576" s="9"/>
      <c r="B1576" s="9"/>
      <c r="C1576" s="9"/>
      <c r="D1576" s="9"/>
      <c r="E1576" s="9"/>
      <c r="F1576" s="9"/>
      <c r="G1576" s="9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</row>
    <row r="1577" spans="1:17" ht="12.75" x14ac:dyDescent="0.2">
      <c r="A1577" s="9"/>
      <c r="B1577" s="9"/>
      <c r="C1577" s="9"/>
      <c r="D1577" s="9"/>
      <c r="E1577" s="9"/>
      <c r="F1577" s="9"/>
      <c r="G1577" s="9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</row>
    <row r="1578" spans="1:17" ht="12.75" x14ac:dyDescent="0.2">
      <c r="A1578" s="9"/>
      <c r="B1578" s="9"/>
      <c r="C1578" s="9"/>
      <c r="D1578" s="9"/>
      <c r="E1578" s="9"/>
      <c r="F1578" s="9"/>
      <c r="G1578" s="9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</row>
    <row r="1579" spans="1:17" ht="12.75" x14ac:dyDescent="0.2">
      <c r="A1579" s="9"/>
      <c r="B1579" s="9"/>
      <c r="C1579" s="9"/>
      <c r="D1579" s="9"/>
      <c r="E1579" s="9"/>
      <c r="F1579" s="9"/>
      <c r="G1579" s="9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</row>
    <row r="1580" spans="1:17" ht="12.75" x14ac:dyDescent="0.2">
      <c r="A1580" s="9"/>
      <c r="B1580" s="9"/>
      <c r="C1580" s="9"/>
      <c r="D1580" s="9"/>
      <c r="E1580" s="9"/>
      <c r="F1580" s="9"/>
      <c r="G1580" s="9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</row>
    <row r="1581" spans="1:17" ht="12.75" x14ac:dyDescent="0.2">
      <c r="A1581" s="9"/>
      <c r="B1581" s="9"/>
      <c r="C1581" s="9"/>
      <c r="D1581" s="9"/>
      <c r="E1581" s="9"/>
      <c r="F1581" s="9"/>
      <c r="G1581" s="9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</row>
    <row r="1582" spans="1:17" ht="12.75" x14ac:dyDescent="0.2">
      <c r="A1582" s="9"/>
      <c r="B1582" s="9"/>
      <c r="C1582" s="9"/>
      <c r="D1582" s="9"/>
      <c r="E1582" s="9"/>
      <c r="F1582" s="9"/>
      <c r="G1582" s="9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</row>
    <row r="1583" spans="1:17" ht="12.75" x14ac:dyDescent="0.2">
      <c r="A1583" s="9"/>
      <c r="B1583" s="9"/>
      <c r="C1583" s="9"/>
      <c r="D1583" s="9"/>
      <c r="E1583" s="9"/>
      <c r="F1583" s="9"/>
      <c r="G1583" s="9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</row>
    <row r="1584" spans="1:17" ht="12.75" x14ac:dyDescent="0.2">
      <c r="A1584" s="9"/>
      <c r="B1584" s="9"/>
      <c r="C1584" s="9"/>
      <c r="D1584" s="9"/>
      <c r="E1584" s="9"/>
      <c r="F1584" s="9"/>
      <c r="G1584" s="9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spans="1:17" ht="12.75" x14ac:dyDescent="0.2">
      <c r="A1585" s="9"/>
      <c r="B1585" s="9"/>
      <c r="C1585" s="9"/>
      <c r="D1585" s="9"/>
      <c r="E1585" s="9"/>
      <c r="F1585" s="9"/>
      <c r="G1585" s="9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</row>
    <row r="1586" spans="1:17" ht="12.75" x14ac:dyDescent="0.2">
      <c r="A1586" s="9"/>
      <c r="B1586" s="9"/>
      <c r="C1586" s="9"/>
      <c r="D1586" s="9"/>
      <c r="E1586" s="9"/>
      <c r="F1586" s="9"/>
      <c r="G1586" s="9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</row>
    <row r="1587" spans="1:17" ht="12.75" x14ac:dyDescent="0.2">
      <c r="A1587" s="9"/>
      <c r="B1587" s="9"/>
      <c r="C1587" s="9"/>
      <c r="D1587" s="9"/>
      <c r="E1587" s="9"/>
      <c r="F1587" s="9"/>
      <c r="G1587" s="9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</row>
    <row r="1588" spans="1:17" ht="12.75" x14ac:dyDescent="0.2">
      <c r="A1588" s="9"/>
      <c r="B1588" s="9"/>
      <c r="C1588" s="9"/>
      <c r="D1588" s="9"/>
      <c r="E1588" s="9"/>
      <c r="F1588" s="9"/>
      <c r="G1588" s="9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</row>
    <row r="1589" spans="1:17" ht="12.75" x14ac:dyDescent="0.2">
      <c r="A1589" s="9"/>
      <c r="B1589" s="9"/>
      <c r="C1589" s="9"/>
      <c r="D1589" s="9"/>
      <c r="E1589" s="9"/>
      <c r="F1589" s="9"/>
      <c r="G1589" s="9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</row>
    <row r="1590" spans="1:17" ht="12.75" x14ac:dyDescent="0.2">
      <c r="A1590" s="9"/>
      <c r="B1590" s="9"/>
      <c r="C1590" s="9"/>
      <c r="D1590" s="9"/>
      <c r="E1590" s="9"/>
      <c r="F1590" s="9"/>
      <c r="G1590" s="9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</row>
    <row r="1591" spans="1:17" ht="12.75" x14ac:dyDescent="0.2">
      <c r="A1591" s="9"/>
      <c r="B1591" s="9"/>
      <c r="C1591" s="9"/>
      <c r="D1591" s="9"/>
      <c r="E1591" s="9"/>
      <c r="F1591" s="9"/>
      <c r="G1591" s="9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</row>
    <row r="1592" spans="1:17" ht="12.75" x14ac:dyDescent="0.2">
      <c r="A1592" s="9"/>
      <c r="B1592" s="9"/>
      <c r="C1592" s="9"/>
      <c r="D1592" s="9"/>
      <c r="E1592" s="9"/>
      <c r="F1592" s="9"/>
      <c r="G1592" s="9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</row>
    <row r="1593" spans="1:17" ht="12.75" x14ac:dyDescent="0.2">
      <c r="A1593" s="9"/>
      <c r="B1593" s="9"/>
      <c r="C1593" s="9"/>
      <c r="D1593" s="9"/>
      <c r="E1593" s="9"/>
      <c r="F1593" s="9"/>
      <c r="G1593" s="9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</row>
    <row r="1594" spans="1:17" ht="12.75" x14ac:dyDescent="0.2">
      <c r="A1594" s="9"/>
      <c r="B1594" s="9"/>
      <c r="C1594" s="9"/>
      <c r="D1594" s="9"/>
      <c r="E1594" s="9"/>
      <c r="F1594" s="9"/>
      <c r="G1594" s="9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</row>
    <row r="1595" spans="1:17" ht="12.75" x14ac:dyDescent="0.2">
      <c r="A1595" s="9"/>
      <c r="B1595" s="9"/>
      <c r="C1595" s="9"/>
      <c r="D1595" s="9"/>
      <c r="E1595" s="9"/>
      <c r="F1595" s="9"/>
      <c r="G1595" s="9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</row>
    <row r="1596" spans="1:17" ht="12.75" x14ac:dyDescent="0.2">
      <c r="A1596" s="9"/>
      <c r="B1596" s="9"/>
      <c r="C1596" s="9"/>
      <c r="D1596" s="9"/>
      <c r="E1596" s="9"/>
      <c r="F1596" s="9"/>
      <c r="G1596" s="9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</row>
    <row r="1597" spans="1:17" ht="12.75" x14ac:dyDescent="0.2">
      <c r="A1597" s="9"/>
      <c r="B1597" s="9"/>
      <c r="C1597" s="9"/>
      <c r="D1597" s="9"/>
      <c r="E1597" s="9"/>
      <c r="F1597" s="9"/>
      <c r="G1597" s="9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</row>
    <row r="1598" spans="1:17" ht="12.75" x14ac:dyDescent="0.2">
      <c r="A1598" s="9"/>
      <c r="B1598" s="9"/>
      <c r="C1598" s="9"/>
      <c r="D1598" s="9"/>
      <c r="E1598" s="9"/>
      <c r="F1598" s="9"/>
      <c r="G1598" s="9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</row>
    <row r="1599" spans="1:17" ht="12.75" x14ac:dyDescent="0.2">
      <c r="A1599" s="9"/>
      <c r="B1599" s="9"/>
      <c r="C1599" s="9"/>
      <c r="D1599" s="9"/>
      <c r="E1599" s="9"/>
      <c r="F1599" s="9"/>
      <c r="G1599" s="9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</row>
    <row r="1600" spans="1:17" ht="12.75" x14ac:dyDescent="0.2">
      <c r="A1600" s="9"/>
      <c r="B1600" s="9"/>
      <c r="C1600" s="9"/>
      <c r="D1600" s="9"/>
      <c r="E1600" s="9"/>
      <c r="F1600" s="9"/>
      <c r="G1600" s="9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</row>
    <row r="1601" spans="1:17" ht="12.75" x14ac:dyDescent="0.2">
      <c r="A1601" s="9"/>
      <c r="B1601" s="9"/>
      <c r="C1601" s="9"/>
      <c r="D1601" s="9"/>
      <c r="E1601" s="9"/>
      <c r="F1601" s="9"/>
      <c r="G1601" s="9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</row>
    <row r="1602" spans="1:17" ht="12.75" x14ac:dyDescent="0.2">
      <c r="A1602" s="9"/>
      <c r="B1602" s="9"/>
      <c r="C1602" s="9"/>
      <c r="D1602" s="9"/>
      <c r="E1602" s="9"/>
      <c r="F1602" s="9"/>
      <c r="G1602" s="9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</row>
    <row r="1603" spans="1:17" ht="12.75" x14ac:dyDescent="0.2">
      <c r="A1603" s="9"/>
      <c r="B1603" s="9"/>
      <c r="C1603" s="9"/>
      <c r="D1603" s="9"/>
      <c r="E1603" s="9"/>
      <c r="F1603" s="9"/>
      <c r="G1603" s="9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</row>
    <row r="1604" spans="1:17" ht="12.75" x14ac:dyDescent="0.2">
      <c r="A1604" s="9"/>
      <c r="B1604" s="9"/>
      <c r="C1604" s="9"/>
      <c r="D1604" s="9"/>
      <c r="E1604" s="9"/>
      <c r="F1604" s="9"/>
      <c r="G1604" s="9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</row>
    <row r="1605" spans="1:17" ht="12.75" x14ac:dyDescent="0.2">
      <c r="A1605" s="9"/>
      <c r="B1605" s="9"/>
      <c r="C1605" s="9"/>
      <c r="D1605" s="9"/>
      <c r="E1605" s="9"/>
      <c r="F1605" s="9"/>
      <c r="G1605" s="9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</row>
    <row r="1606" spans="1:17" ht="12.75" x14ac:dyDescent="0.2">
      <c r="A1606" s="9"/>
      <c r="B1606" s="9"/>
      <c r="C1606" s="9"/>
      <c r="D1606" s="9"/>
      <c r="E1606" s="9"/>
      <c r="F1606" s="9"/>
      <c r="G1606" s="9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</row>
    <row r="1607" spans="1:17" ht="12.75" x14ac:dyDescent="0.2">
      <c r="A1607" s="9"/>
      <c r="B1607" s="9"/>
      <c r="C1607" s="9"/>
      <c r="D1607" s="9"/>
      <c r="E1607" s="9"/>
      <c r="F1607" s="9"/>
      <c r="G1607" s="9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</row>
    <row r="1608" spans="1:17" ht="12.75" x14ac:dyDescent="0.2">
      <c r="A1608" s="9"/>
      <c r="B1608" s="9"/>
      <c r="C1608" s="9"/>
      <c r="D1608" s="9"/>
      <c r="E1608" s="9"/>
      <c r="F1608" s="9"/>
      <c r="G1608" s="9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</row>
    <row r="1609" spans="1:17" ht="12.75" x14ac:dyDescent="0.2">
      <c r="A1609" s="9"/>
      <c r="B1609" s="9"/>
      <c r="C1609" s="9"/>
      <c r="D1609" s="9"/>
      <c r="E1609" s="9"/>
      <c r="F1609" s="9"/>
      <c r="G1609" s="9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</row>
    <row r="1610" spans="1:17" ht="12.75" x14ac:dyDescent="0.2">
      <c r="A1610" s="9"/>
      <c r="B1610" s="9"/>
      <c r="C1610" s="9"/>
      <c r="D1610" s="9"/>
      <c r="E1610" s="9"/>
      <c r="F1610" s="9"/>
      <c r="G1610" s="9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</row>
    <row r="1611" spans="1:17" ht="12.75" x14ac:dyDescent="0.2">
      <c r="A1611" s="9"/>
      <c r="B1611" s="9"/>
      <c r="C1611" s="9"/>
      <c r="D1611" s="9"/>
      <c r="E1611" s="9"/>
      <c r="F1611" s="9"/>
      <c r="G1611" s="9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</row>
    <row r="1612" spans="1:17" ht="12.75" x14ac:dyDescent="0.2">
      <c r="A1612" s="9"/>
      <c r="B1612" s="9"/>
      <c r="C1612" s="9"/>
      <c r="D1612" s="9"/>
      <c r="E1612" s="9"/>
      <c r="F1612" s="9"/>
      <c r="G1612" s="9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</row>
    <row r="1613" spans="1:17" ht="12.75" x14ac:dyDescent="0.2">
      <c r="A1613" s="9"/>
      <c r="B1613" s="9"/>
      <c r="C1613" s="9"/>
      <c r="D1613" s="9"/>
      <c r="E1613" s="9"/>
      <c r="F1613" s="9"/>
      <c r="G1613" s="9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</row>
    <row r="1614" spans="1:17" ht="12.75" x14ac:dyDescent="0.2">
      <c r="A1614" s="9"/>
      <c r="B1614" s="9"/>
      <c r="C1614" s="9"/>
      <c r="D1614" s="9"/>
      <c r="E1614" s="9"/>
      <c r="F1614" s="9"/>
      <c r="G1614" s="9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</row>
    <row r="1615" spans="1:17" ht="12.75" x14ac:dyDescent="0.2">
      <c r="A1615" s="9"/>
      <c r="B1615" s="9"/>
      <c r="C1615" s="9"/>
      <c r="D1615" s="9"/>
      <c r="E1615" s="9"/>
      <c r="F1615" s="9"/>
      <c r="G1615" s="9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</row>
    <row r="1616" spans="1:17" ht="12.75" x14ac:dyDescent="0.2">
      <c r="A1616" s="9"/>
      <c r="B1616" s="9"/>
      <c r="C1616" s="9"/>
      <c r="D1616" s="9"/>
      <c r="E1616" s="9"/>
      <c r="F1616" s="9"/>
      <c r="G1616" s="9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</row>
    <row r="1617" spans="1:17" ht="12.75" x14ac:dyDescent="0.2">
      <c r="A1617" s="9"/>
      <c r="B1617" s="9"/>
      <c r="C1617" s="9"/>
      <c r="D1617" s="9"/>
      <c r="E1617" s="9"/>
      <c r="F1617" s="9"/>
      <c r="G1617" s="9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</row>
    <row r="1618" spans="1:17" ht="12.75" x14ac:dyDescent="0.2">
      <c r="A1618" s="9"/>
      <c r="B1618" s="9"/>
      <c r="C1618" s="9"/>
      <c r="D1618" s="9"/>
      <c r="E1618" s="9"/>
      <c r="F1618" s="9"/>
      <c r="G1618" s="9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</row>
    <row r="1619" spans="1:17" ht="12.75" x14ac:dyDescent="0.2">
      <c r="A1619" s="9"/>
      <c r="B1619" s="9"/>
      <c r="C1619" s="9"/>
      <c r="D1619" s="9"/>
      <c r="E1619" s="9"/>
      <c r="F1619" s="9"/>
      <c r="G1619" s="9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</row>
    <row r="1620" spans="1:17" ht="12.75" x14ac:dyDescent="0.2">
      <c r="A1620" s="9"/>
      <c r="B1620" s="9"/>
      <c r="C1620" s="9"/>
      <c r="D1620" s="9"/>
      <c r="E1620" s="9"/>
      <c r="F1620" s="9"/>
      <c r="G1620" s="9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</row>
    <row r="1621" spans="1:17" ht="12.75" x14ac:dyDescent="0.2">
      <c r="A1621" s="9"/>
      <c r="B1621" s="9"/>
      <c r="C1621" s="9"/>
      <c r="D1621" s="9"/>
      <c r="E1621" s="9"/>
      <c r="F1621" s="9"/>
      <c r="G1621" s="9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</row>
    <row r="1622" spans="1:17" ht="12.75" x14ac:dyDescent="0.2">
      <c r="A1622" s="9"/>
      <c r="B1622" s="9"/>
      <c r="C1622" s="9"/>
      <c r="D1622" s="9"/>
      <c r="E1622" s="9"/>
      <c r="F1622" s="9"/>
      <c r="G1622" s="9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</row>
    <row r="1623" spans="1:17" ht="12.75" x14ac:dyDescent="0.2">
      <c r="A1623" s="9"/>
      <c r="B1623" s="9"/>
      <c r="C1623" s="9"/>
      <c r="D1623" s="9"/>
      <c r="E1623" s="9"/>
      <c r="F1623" s="9"/>
      <c r="G1623" s="9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</row>
    <row r="1624" spans="1:17" ht="12.75" x14ac:dyDescent="0.2">
      <c r="A1624" s="9"/>
      <c r="B1624" s="9"/>
      <c r="C1624" s="9"/>
      <c r="D1624" s="9"/>
      <c r="E1624" s="9"/>
      <c r="F1624" s="9"/>
      <c r="G1624" s="9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</row>
    <row r="1625" spans="1:17" ht="12.75" x14ac:dyDescent="0.2">
      <c r="A1625" s="9"/>
      <c r="B1625" s="9"/>
      <c r="C1625" s="9"/>
      <c r="D1625" s="9"/>
      <c r="E1625" s="9"/>
      <c r="F1625" s="9"/>
      <c r="G1625" s="9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</row>
    <row r="1626" spans="1:17" ht="12.75" x14ac:dyDescent="0.2">
      <c r="A1626" s="9"/>
      <c r="B1626" s="9"/>
      <c r="C1626" s="9"/>
      <c r="D1626" s="9"/>
      <c r="E1626" s="9"/>
      <c r="F1626" s="9"/>
      <c r="G1626" s="9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</row>
    <row r="1627" spans="1:17" ht="12.75" x14ac:dyDescent="0.2">
      <c r="A1627" s="9"/>
      <c r="B1627" s="9"/>
      <c r="C1627" s="9"/>
      <c r="D1627" s="9"/>
      <c r="E1627" s="9"/>
      <c r="F1627" s="9"/>
      <c r="G1627" s="9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</row>
    <row r="1628" spans="1:17" ht="12.75" x14ac:dyDescent="0.2">
      <c r="A1628" s="9"/>
      <c r="B1628" s="9"/>
      <c r="C1628" s="9"/>
      <c r="D1628" s="9"/>
      <c r="E1628" s="9"/>
      <c r="F1628" s="9"/>
      <c r="G1628" s="9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</row>
    <row r="1629" spans="1:17" ht="12.75" x14ac:dyDescent="0.2">
      <c r="A1629" s="9"/>
      <c r="B1629" s="9"/>
      <c r="C1629" s="9"/>
      <c r="D1629" s="9"/>
      <c r="E1629" s="9"/>
      <c r="F1629" s="9"/>
      <c r="G1629" s="9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</row>
    <row r="1630" spans="1:17" ht="12.75" x14ac:dyDescent="0.2">
      <c r="A1630" s="9"/>
      <c r="B1630" s="9"/>
      <c r="C1630" s="9"/>
      <c r="D1630" s="9"/>
      <c r="E1630" s="9"/>
      <c r="F1630" s="9"/>
      <c r="G1630" s="9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</row>
    <row r="1631" spans="1:17" ht="12.75" x14ac:dyDescent="0.2">
      <c r="A1631" s="9"/>
      <c r="B1631" s="9"/>
      <c r="C1631" s="9"/>
      <c r="D1631" s="9"/>
      <c r="E1631" s="9"/>
      <c r="F1631" s="9"/>
      <c r="G1631" s="9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</row>
    <row r="1632" spans="1:17" ht="12.75" x14ac:dyDescent="0.2">
      <c r="A1632" s="9"/>
      <c r="B1632" s="9"/>
      <c r="C1632" s="9"/>
      <c r="D1632" s="9"/>
      <c r="E1632" s="9"/>
      <c r="F1632" s="9"/>
      <c r="G1632" s="9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</row>
    <row r="1633" spans="1:17" ht="12.75" x14ac:dyDescent="0.2">
      <c r="A1633" s="9"/>
      <c r="B1633" s="9"/>
      <c r="C1633" s="9"/>
      <c r="D1633" s="9"/>
      <c r="E1633" s="9"/>
      <c r="F1633" s="9"/>
      <c r="G1633" s="9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</row>
    <row r="1634" spans="1:17" ht="12.75" x14ac:dyDescent="0.2">
      <c r="A1634" s="9"/>
      <c r="B1634" s="9"/>
      <c r="C1634" s="9"/>
      <c r="D1634" s="9"/>
      <c r="E1634" s="9"/>
      <c r="F1634" s="9"/>
      <c r="G1634" s="9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</row>
    <row r="1635" spans="1:17" ht="12.75" x14ac:dyDescent="0.2">
      <c r="A1635" s="9"/>
      <c r="B1635" s="9"/>
      <c r="C1635" s="9"/>
      <c r="D1635" s="9"/>
      <c r="E1635" s="9"/>
      <c r="F1635" s="9"/>
      <c r="G1635" s="9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</row>
    <row r="1636" spans="1:17" ht="12.75" x14ac:dyDescent="0.2">
      <c r="A1636" s="9"/>
      <c r="B1636" s="9"/>
      <c r="C1636" s="9"/>
      <c r="D1636" s="9"/>
      <c r="E1636" s="9"/>
      <c r="F1636" s="9"/>
      <c r="G1636" s="9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</row>
    <row r="1637" spans="1:17" ht="12.75" x14ac:dyDescent="0.2">
      <c r="A1637" s="9"/>
      <c r="B1637" s="9"/>
      <c r="C1637" s="9"/>
      <c r="D1637" s="9"/>
      <c r="E1637" s="9"/>
      <c r="F1637" s="9"/>
      <c r="G1637" s="9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</row>
    <row r="1638" spans="1:17" ht="12.75" x14ac:dyDescent="0.2">
      <c r="A1638" s="9"/>
      <c r="B1638" s="9"/>
      <c r="C1638" s="9"/>
      <c r="D1638" s="9"/>
      <c r="E1638" s="9"/>
      <c r="F1638" s="9"/>
      <c r="G1638" s="9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</row>
    <row r="1639" spans="1:17" ht="12.75" x14ac:dyDescent="0.2">
      <c r="A1639" s="9"/>
      <c r="B1639" s="9"/>
      <c r="C1639" s="9"/>
      <c r="D1639" s="9"/>
      <c r="E1639" s="9"/>
      <c r="F1639" s="9"/>
      <c r="G1639" s="9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</row>
    <row r="1640" spans="1:17" ht="12.75" x14ac:dyDescent="0.2">
      <c r="A1640" s="9"/>
      <c r="B1640" s="9"/>
      <c r="C1640" s="9"/>
      <c r="D1640" s="9"/>
      <c r="E1640" s="9"/>
      <c r="F1640" s="9"/>
      <c r="G1640" s="9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</row>
    <row r="1641" spans="1:17" ht="12.75" x14ac:dyDescent="0.2">
      <c r="A1641" s="9"/>
      <c r="B1641" s="9"/>
      <c r="C1641" s="9"/>
      <c r="D1641" s="9"/>
      <c r="E1641" s="9"/>
      <c r="F1641" s="9"/>
      <c r="G1641" s="9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spans="1:17" ht="12.75" x14ac:dyDescent="0.2">
      <c r="A1642" s="9"/>
      <c r="B1642" s="9"/>
      <c r="C1642" s="9"/>
      <c r="D1642" s="9"/>
      <c r="E1642" s="9"/>
      <c r="F1642" s="9"/>
      <c r="G1642" s="9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</row>
    <row r="1643" spans="1:17" ht="12.75" x14ac:dyDescent="0.2">
      <c r="A1643" s="9"/>
      <c r="B1643" s="9"/>
      <c r="C1643" s="9"/>
      <c r="D1643" s="9"/>
      <c r="E1643" s="9"/>
      <c r="F1643" s="9"/>
      <c r="G1643" s="9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</row>
    <row r="1644" spans="1:17" ht="12.75" x14ac:dyDescent="0.2">
      <c r="A1644" s="9"/>
      <c r="B1644" s="9"/>
      <c r="C1644" s="9"/>
      <c r="D1644" s="9"/>
      <c r="E1644" s="9"/>
      <c r="F1644" s="9"/>
      <c r="G1644" s="9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</row>
    <row r="1645" spans="1:17" ht="12.75" x14ac:dyDescent="0.2">
      <c r="A1645" s="9"/>
      <c r="B1645" s="9"/>
      <c r="C1645" s="9"/>
      <c r="D1645" s="9"/>
      <c r="E1645" s="9"/>
      <c r="F1645" s="9"/>
      <c r="G1645" s="9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</row>
    <row r="1646" spans="1:17" ht="12.75" x14ac:dyDescent="0.2">
      <c r="A1646" s="9"/>
      <c r="B1646" s="9"/>
      <c r="C1646" s="9"/>
      <c r="D1646" s="9"/>
      <c r="E1646" s="9"/>
      <c r="F1646" s="9"/>
      <c r="G1646" s="9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</row>
    <row r="1647" spans="1:17" ht="12.75" x14ac:dyDescent="0.2">
      <c r="A1647" s="9"/>
      <c r="B1647" s="9"/>
      <c r="C1647" s="9"/>
      <c r="D1647" s="9"/>
      <c r="E1647" s="9"/>
      <c r="F1647" s="9"/>
      <c r="G1647" s="9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spans="1:17" ht="12.75" x14ac:dyDescent="0.2">
      <c r="A1648" s="9"/>
      <c r="B1648" s="9"/>
      <c r="C1648" s="9"/>
      <c r="D1648" s="9"/>
      <c r="E1648" s="9"/>
      <c r="F1648" s="9"/>
      <c r="G1648" s="9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spans="1:17" ht="12.75" x14ac:dyDescent="0.2">
      <c r="A1649" s="9"/>
      <c r="B1649" s="9"/>
      <c r="C1649" s="9"/>
      <c r="D1649" s="9"/>
      <c r="E1649" s="9"/>
      <c r="F1649" s="9"/>
      <c r="G1649" s="9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</row>
    <row r="1650" spans="1:17" ht="12.75" x14ac:dyDescent="0.2">
      <c r="A1650" s="9"/>
      <c r="B1650" s="9"/>
      <c r="C1650" s="9"/>
      <c r="D1650" s="9"/>
      <c r="E1650" s="9"/>
      <c r="F1650" s="9"/>
      <c r="G1650" s="9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spans="1:17" ht="12.75" x14ac:dyDescent="0.2">
      <c r="A1651" s="9"/>
      <c r="B1651" s="9"/>
      <c r="C1651" s="9"/>
      <c r="D1651" s="9"/>
      <c r="E1651" s="9"/>
      <c r="F1651" s="9"/>
      <c r="G1651" s="9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</row>
    <row r="1652" spans="1:17" ht="12.75" x14ac:dyDescent="0.2">
      <c r="A1652" s="9"/>
      <c r="B1652" s="9"/>
      <c r="C1652" s="9"/>
      <c r="D1652" s="9"/>
      <c r="E1652" s="9"/>
      <c r="F1652" s="9"/>
      <c r="G1652" s="9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 ht="12.75" x14ac:dyDescent="0.2">
      <c r="A1653" s="9"/>
      <c r="B1653" s="9"/>
      <c r="C1653" s="9"/>
      <c r="D1653" s="9"/>
      <c r="E1653" s="9"/>
      <c r="F1653" s="9"/>
      <c r="G1653" s="9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spans="1:17" ht="12.75" x14ac:dyDescent="0.2">
      <c r="A1654" s="9"/>
      <c r="B1654" s="9"/>
      <c r="C1654" s="9"/>
      <c r="D1654" s="9"/>
      <c r="E1654" s="9"/>
      <c r="F1654" s="9"/>
      <c r="G1654" s="9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</row>
    <row r="1655" spans="1:17" ht="12.75" x14ac:dyDescent="0.2">
      <c r="A1655" s="9"/>
      <c r="B1655" s="9"/>
      <c r="C1655" s="9"/>
      <c r="D1655" s="9"/>
      <c r="E1655" s="9"/>
      <c r="F1655" s="9"/>
      <c r="G1655" s="9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</row>
    <row r="1656" spans="1:17" ht="12.75" x14ac:dyDescent="0.2">
      <c r="A1656" s="9"/>
      <c r="B1656" s="9"/>
      <c r="C1656" s="9"/>
      <c r="D1656" s="9"/>
      <c r="E1656" s="9"/>
      <c r="F1656" s="9"/>
      <c r="G1656" s="9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</row>
    <row r="1657" spans="1:17" ht="12.75" x14ac:dyDescent="0.2">
      <c r="A1657" s="9"/>
      <c r="B1657" s="9"/>
      <c r="C1657" s="9"/>
      <c r="D1657" s="9"/>
      <c r="E1657" s="9"/>
      <c r="F1657" s="9"/>
      <c r="G1657" s="9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</row>
    <row r="1658" spans="1:17" ht="12.75" x14ac:dyDescent="0.2">
      <c r="A1658" s="9"/>
      <c r="B1658" s="9"/>
      <c r="C1658" s="9"/>
      <c r="D1658" s="9"/>
      <c r="E1658" s="9"/>
      <c r="F1658" s="9"/>
      <c r="G1658" s="9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spans="1:17" ht="12.75" x14ac:dyDescent="0.2">
      <c r="A1659" s="9"/>
      <c r="B1659" s="9"/>
      <c r="C1659" s="9"/>
      <c r="D1659" s="9"/>
      <c r="E1659" s="9"/>
      <c r="F1659" s="9"/>
      <c r="G1659" s="9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</row>
    <row r="1660" spans="1:17" ht="12.75" x14ac:dyDescent="0.2">
      <c r="A1660" s="9"/>
      <c r="B1660" s="9"/>
      <c r="C1660" s="9"/>
      <c r="D1660" s="9"/>
      <c r="E1660" s="9"/>
      <c r="F1660" s="9"/>
      <c r="G1660" s="9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</row>
    <row r="1661" spans="1:17" ht="12.75" x14ac:dyDescent="0.2">
      <c r="A1661" s="9"/>
      <c r="B1661" s="9"/>
      <c r="C1661" s="9"/>
      <c r="D1661" s="9"/>
      <c r="E1661" s="9"/>
      <c r="F1661" s="9"/>
      <c r="G1661" s="9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</row>
    <row r="1662" spans="1:17" ht="12.75" x14ac:dyDescent="0.2">
      <c r="A1662" s="9"/>
      <c r="B1662" s="9"/>
      <c r="C1662" s="9"/>
      <c r="D1662" s="9"/>
      <c r="E1662" s="9"/>
      <c r="F1662" s="9"/>
      <c r="G1662" s="9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</row>
    <row r="1663" spans="1:17" ht="12.75" x14ac:dyDescent="0.2">
      <c r="A1663" s="9"/>
      <c r="B1663" s="9"/>
      <c r="C1663" s="9"/>
      <c r="D1663" s="9"/>
      <c r="E1663" s="9"/>
      <c r="F1663" s="9"/>
      <c r="G1663" s="9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</row>
    <row r="1664" spans="1:17" ht="12.75" x14ac:dyDescent="0.2">
      <c r="A1664" s="9"/>
      <c r="B1664" s="9"/>
      <c r="C1664" s="9"/>
      <c r="D1664" s="9"/>
      <c r="E1664" s="9"/>
      <c r="F1664" s="9"/>
      <c r="G1664" s="9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</row>
    <row r="1665" spans="1:17" ht="12.75" x14ac:dyDescent="0.2">
      <c r="A1665" s="9"/>
      <c r="B1665" s="9"/>
      <c r="C1665" s="9"/>
      <c r="D1665" s="9"/>
      <c r="E1665" s="9"/>
      <c r="F1665" s="9"/>
      <c r="G1665" s="9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</row>
    <row r="1666" spans="1:17" ht="12.75" x14ac:dyDescent="0.2">
      <c r="A1666" s="9"/>
      <c r="B1666" s="9"/>
      <c r="C1666" s="9"/>
      <c r="D1666" s="9"/>
      <c r="E1666" s="9"/>
      <c r="F1666" s="9"/>
      <c r="G1666" s="9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</row>
    <row r="1667" spans="1:17" ht="12.75" x14ac:dyDescent="0.2">
      <c r="A1667" s="9"/>
      <c r="B1667" s="9"/>
      <c r="C1667" s="9"/>
      <c r="D1667" s="9"/>
      <c r="E1667" s="9"/>
      <c r="F1667" s="9"/>
      <c r="G1667" s="9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spans="1:17" ht="12.75" x14ac:dyDescent="0.2">
      <c r="A1668" s="9"/>
      <c r="B1668" s="9"/>
      <c r="C1668" s="9"/>
      <c r="D1668" s="9"/>
      <c r="E1668" s="9"/>
      <c r="F1668" s="9"/>
      <c r="G1668" s="9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</row>
    <row r="1669" spans="1:17" ht="12.75" x14ac:dyDescent="0.2">
      <c r="A1669" s="9"/>
      <c r="B1669" s="9"/>
      <c r="C1669" s="9"/>
      <c r="D1669" s="9"/>
      <c r="E1669" s="9"/>
      <c r="F1669" s="9"/>
      <c r="G1669" s="9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</row>
    <row r="1670" spans="1:17" ht="12.75" x14ac:dyDescent="0.2">
      <c r="A1670" s="9"/>
      <c r="B1670" s="9"/>
      <c r="C1670" s="9"/>
      <c r="D1670" s="9"/>
      <c r="E1670" s="9"/>
      <c r="F1670" s="9"/>
      <c r="G1670" s="9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spans="1:17" ht="12.75" x14ac:dyDescent="0.2">
      <c r="A1671" s="9"/>
      <c r="B1671" s="9"/>
      <c r="C1671" s="9"/>
      <c r="D1671" s="9"/>
      <c r="E1671" s="9"/>
      <c r="F1671" s="9"/>
      <c r="G1671" s="9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</row>
    <row r="1672" spans="1:17" ht="12.75" x14ac:dyDescent="0.2">
      <c r="A1672" s="9"/>
      <c r="B1672" s="9"/>
      <c r="C1672" s="9"/>
      <c r="D1672" s="9"/>
      <c r="E1672" s="9"/>
      <c r="F1672" s="9"/>
      <c r="G1672" s="9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</row>
    <row r="1673" spans="1:17" ht="12.75" x14ac:dyDescent="0.2">
      <c r="A1673" s="9"/>
      <c r="B1673" s="9"/>
      <c r="C1673" s="9"/>
      <c r="D1673" s="9"/>
      <c r="E1673" s="9"/>
      <c r="F1673" s="9"/>
      <c r="G1673" s="9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</row>
    <row r="1674" spans="1:17" ht="12.75" x14ac:dyDescent="0.2">
      <c r="A1674" s="9"/>
      <c r="B1674" s="9"/>
      <c r="C1674" s="9"/>
      <c r="D1674" s="9"/>
      <c r="E1674" s="9"/>
      <c r="F1674" s="9"/>
      <c r="G1674" s="9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</row>
    <row r="1675" spans="1:17" ht="12.75" x14ac:dyDescent="0.2">
      <c r="A1675" s="9"/>
      <c r="B1675" s="9"/>
      <c r="C1675" s="9"/>
      <c r="D1675" s="9"/>
      <c r="E1675" s="9"/>
      <c r="F1675" s="9"/>
      <c r="G1675" s="9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</row>
    <row r="1676" spans="1:17" ht="12.75" x14ac:dyDescent="0.2">
      <c r="A1676" s="9"/>
      <c r="B1676" s="9"/>
      <c r="C1676" s="9"/>
      <c r="D1676" s="9"/>
      <c r="E1676" s="9"/>
      <c r="F1676" s="9"/>
      <c r="G1676" s="9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</row>
    <row r="1677" spans="1:17" ht="12.75" x14ac:dyDescent="0.2">
      <c r="A1677" s="9"/>
      <c r="B1677" s="9"/>
      <c r="C1677" s="9"/>
      <c r="D1677" s="9"/>
      <c r="E1677" s="9"/>
      <c r="F1677" s="9"/>
      <c r="G1677" s="9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</row>
    <row r="1678" spans="1:17" ht="12.75" x14ac:dyDescent="0.2">
      <c r="A1678" s="9"/>
      <c r="B1678" s="9"/>
      <c r="C1678" s="9"/>
      <c r="D1678" s="9"/>
      <c r="E1678" s="9"/>
      <c r="F1678" s="9"/>
      <c r="G1678" s="9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</row>
    <row r="1679" spans="1:17" ht="12.75" x14ac:dyDescent="0.2">
      <c r="A1679" s="9"/>
      <c r="B1679" s="9"/>
      <c r="C1679" s="9"/>
      <c r="D1679" s="9"/>
      <c r="E1679" s="9"/>
      <c r="F1679" s="9"/>
      <c r="G1679" s="9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</row>
  </sheetData>
  <autoFilter ref="A1:R1347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701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" customHeight="1" x14ac:dyDescent="0.2"/>
  <cols>
    <col min="8" max="8" width="14.5703125" customWidth="1"/>
    <col min="9" max="9" width="7.5703125" customWidth="1"/>
    <col min="12" max="12" width="7.5703125" customWidth="1"/>
    <col min="15" max="15" width="6.5703125" customWidth="1"/>
    <col min="18" max="18" width="7.42578125" customWidth="1"/>
  </cols>
  <sheetData>
    <row r="1" spans="1:46" ht="12.75" x14ac:dyDescent="0.2">
      <c r="A1" s="1" t="s">
        <v>0</v>
      </c>
      <c r="D1" s="2"/>
      <c r="E1" s="2"/>
      <c r="F1" s="3"/>
      <c r="G1" s="2"/>
      <c r="H1" s="2"/>
      <c r="I1" s="4"/>
      <c r="J1" s="4"/>
      <c r="K1" s="4"/>
    </row>
    <row r="2" spans="1:46" ht="12.75" x14ac:dyDescent="0.2">
      <c r="A2" s="5" t="s">
        <v>1</v>
      </c>
      <c r="B2" s="6"/>
      <c r="F2" s="7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6" ht="12.75" x14ac:dyDescent="0.2">
      <c r="A3" s="15" t="s">
        <v>353</v>
      </c>
      <c r="B3" s="15" t="s">
        <v>2</v>
      </c>
      <c r="C3" s="15" t="s">
        <v>354</v>
      </c>
      <c r="D3" s="15" t="s">
        <v>3</v>
      </c>
      <c r="E3" s="15" t="s">
        <v>4</v>
      </c>
      <c r="F3" s="16" t="s">
        <v>355</v>
      </c>
      <c r="G3" s="1" t="s">
        <v>356</v>
      </c>
      <c r="H3" s="5" t="s">
        <v>5</v>
      </c>
      <c r="I3" s="17" t="s">
        <v>357</v>
      </c>
      <c r="J3" s="18" t="s">
        <v>358</v>
      </c>
      <c r="K3" s="5" t="s">
        <v>6</v>
      </c>
      <c r="L3" s="17" t="s">
        <v>357</v>
      </c>
      <c r="M3" s="18" t="s">
        <v>358</v>
      </c>
      <c r="N3" s="5" t="s">
        <v>7</v>
      </c>
      <c r="O3" s="17" t="s">
        <v>357</v>
      </c>
      <c r="P3" s="18" t="s">
        <v>358</v>
      </c>
      <c r="Q3" s="5" t="s">
        <v>8</v>
      </c>
      <c r="R3" s="17" t="s">
        <v>357</v>
      </c>
      <c r="S3" s="18" t="s">
        <v>358</v>
      </c>
      <c r="T3" s="5" t="s">
        <v>9</v>
      </c>
      <c r="U3" s="17" t="s">
        <v>357</v>
      </c>
      <c r="V3" s="18" t="s">
        <v>358</v>
      </c>
      <c r="W3" s="5" t="s">
        <v>10</v>
      </c>
      <c r="X3" s="17" t="s">
        <v>357</v>
      </c>
      <c r="Y3" s="18" t="s">
        <v>358</v>
      </c>
      <c r="Z3" s="5" t="s">
        <v>11</v>
      </c>
      <c r="AA3" s="17" t="s">
        <v>357</v>
      </c>
      <c r="AB3" s="18" t="s">
        <v>358</v>
      </c>
      <c r="AC3" s="5" t="s">
        <v>12</v>
      </c>
      <c r="AD3" s="17" t="s">
        <v>357</v>
      </c>
      <c r="AE3" s="18" t="s">
        <v>358</v>
      </c>
      <c r="AF3" s="5" t="s">
        <v>13</v>
      </c>
      <c r="AG3" s="17" t="s">
        <v>357</v>
      </c>
      <c r="AH3" s="18" t="s">
        <v>358</v>
      </c>
      <c r="AI3" s="5" t="s">
        <v>14</v>
      </c>
      <c r="AJ3" s="17" t="s">
        <v>357</v>
      </c>
      <c r="AK3" s="18" t="s">
        <v>358</v>
      </c>
      <c r="AL3" s="5" t="s">
        <v>15</v>
      </c>
      <c r="AM3" s="19"/>
      <c r="AN3" s="19"/>
      <c r="AO3" s="19"/>
      <c r="AP3" s="19"/>
      <c r="AQ3" s="19"/>
      <c r="AR3" s="19"/>
      <c r="AS3" s="19"/>
      <c r="AT3" s="19"/>
    </row>
    <row r="4" spans="1:46" ht="12.75" x14ac:dyDescent="0.2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359</v>
      </c>
      <c r="H4" s="20">
        <v>144000</v>
      </c>
      <c r="I4" s="21">
        <f>H4/H$645</f>
        <v>9.5306351706983504E-3</v>
      </c>
      <c r="J4" s="22">
        <f>I4*J$675</f>
        <v>1345.7256861026071</v>
      </c>
      <c r="K4" s="2">
        <v>144000</v>
      </c>
      <c r="L4" s="21">
        <f ca="1">K4/K$645</f>
        <v>9.4124199804173983E-3</v>
      </c>
      <c r="M4" s="22">
        <f ca="1">L4*M$675</f>
        <v>4061.0827247508905</v>
      </c>
      <c r="N4" s="2">
        <v>6420978.1027508397</v>
      </c>
      <c r="O4" s="21">
        <f ca="1">N4/N$645</f>
        <v>0.29556639487376091</v>
      </c>
      <c r="P4" s="22">
        <f ca="1">O4*P$675</f>
        <v>130840.72872727094</v>
      </c>
      <c r="Q4" s="2">
        <v>9819112.0106957126</v>
      </c>
      <c r="R4" s="21">
        <f ca="1">Q4/Q$645</f>
        <v>0.38891866136941378</v>
      </c>
      <c r="S4" s="22">
        <f ca="1">R4*S$675</f>
        <v>176125.5299743551</v>
      </c>
      <c r="T4" s="2">
        <v>6676996.1672730837</v>
      </c>
      <c r="U4" s="21">
        <f ca="1">T4/T$645</f>
        <v>0.32347977966466041</v>
      </c>
      <c r="V4" s="22">
        <f ca="1">U4*V$675</f>
        <v>149567.21633163714</v>
      </c>
      <c r="W4" s="2">
        <v>6810536.0906185452</v>
      </c>
      <c r="X4" s="21">
        <f ca="1">W4/W$645</f>
        <v>0.3294830021367528</v>
      </c>
      <c r="Y4" s="22">
        <f ca="1">X4*Y$675</f>
        <v>155389.78501872896</v>
      </c>
      <c r="Z4" s="2">
        <v>6933125.7402496794</v>
      </c>
      <c r="AA4" s="21">
        <f ca="1">Z4/Z$645</f>
        <v>0.33699770206541252</v>
      </c>
      <c r="AB4" s="22">
        <f ca="1">AA4*AB$675</f>
        <v>161794.65244758714</v>
      </c>
      <c r="AC4" s="2">
        <v>7057922.0035741739</v>
      </c>
      <c r="AD4" s="21">
        <f ca="1">AC4/AC$645</f>
        <v>0.29719634800844619</v>
      </c>
      <c r="AE4" s="22">
        <f ca="1">AD4*AE$675</f>
        <v>145396.81060703789</v>
      </c>
      <c r="AF4" s="2">
        <v>7165202.4180285018</v>
      </c>
      <c r="AG4" s="21">
        <f ca="1">AF4/AF$645</f>
        <v>0.32848958147464441</v>
      </c>
      <c r="AH4" s="22">
        <f ca="1">AG4*AH$675</f>
        <v>163599.05248785098</v>
      </c>
      <c r="AI4" s="2">
        <v>10911170.242173802</v>
      </c>
      <c r="AJ4" s="21">
        <f ca="1">AI4/AI$645</f>
        <v>0.42795181245848413</v>
      </c>
      <c r="AK4" s="22">
        <f ca="1">AJ4*AK$675</f>
        <v>216971.07249234902</v>
      </c>
      <c r="AL4" s="2">
        <v>74129289.779077694</v>
      </c>
    </row>
    <row r="5" spans="1:46" ht="12.75" x14ac:dyDescent="0.2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23" t="s">
        <v>22</v>
      </c>
      <c r="G5" s="8" t="s">
        <v>360</v>
      </c>
      <c r="H5" s="20">
        <v>1792250.684292607</v>
      </c>
      <c r="I5" s="21">
        <f>H5/H$650</f>
        <v>3.5851875548297357E-2</v>
      </c>
      <c r="J5" s="22">
        <f>I5*J$680</f>
        <v>614665.13337657461</v>
      </c>
      <c r="K5" s="2">
        <v>1090186.3714061561</v>
      </c>
      <c r="L5" s="21">
        <f ca="1">K5/K$650</f>
        <v>2.5663619175721124E-2</v>
      </c>
      <c r="M5" s="22">
        <f ca="1">L5*M$680</f>
        <v>283489.62764515716</v>
      </c>
      <c r="N5" s="2">
        <v>5237544.4041279098</v>
      </c>
      <c r="O5" s="21">
        <f ca="1">N5/N$650</f>
        <v>6.6100697006721165E-2</v>
      </c>
      <c r="P5" s="22">
        <f ca="1">O5*P$680</f>
        <v>749156.70537365961</v>
      </c>
      <c r="Q5" s="2">
        <v>8071973.4869277235</v>
      </c>
      <c r="R5" s="21">
        <f ca="1">Q5/Q$650</f>
        <v>0.12819977733615831</v>
      </c>
      <c r="S5" s="22">
        <f ca="1">R5*S$680</f>
        <v>1486378.9171541005</v>
      </c>
      <c r="T5" s="2">
        <v>5542755.1276903702</v>
      </c>
      <c r="U5" s="21">
        <f ca="1">T5/T$650</f>
        <v>0.19455051214998889</v>
      </c>
      <c r="V5" s="22">
        <f ca="1">U5*V$680</f>
        <v>2303034.1949168933</v>
      </c>
      <c r="W5" s="2">
        <v>5697952.2712657005</v>
      </c>
      <c r="X5" s="21">
        <f ca="1">W5/W$650</f>
        <v>0.14312051936691883</v>
      </c>
      <c r="Y5" s="22">
        <f ca="1">X5*Y$680</f>
        <v>1728104.8268049657</v>
      </c>
      <c r="Z5" s="2">
        <v>5857494.9348611403</v>
      </c>
      <c r="AA5" s="21">
        <f ca="1">Z5/Z$650</f>
        <v>0.17925489579089393</v>
      </c>
      <c r="AB5" s="22">
        <f ca="1">AA5*AB$680</f>
        <v>2203367.7247204664</v>
      </c>
      <c r="AC5" s="2">
        <v>5962929.8436886407</v>
      </c>
      <c r="AD5" s="21">
        <f ca="1">AC5/AC$650</f>
        <v>0.18685345818255394</v>
      </c>
      <c r="AE5" s="22">
        <f ca="1">AD5*AE$680</f>
        <v>2340406.4255094295</v>
      </c>
      <c r="AF5" s="2">
        <v>6053566.3773127086</v>
      </c>
      <c r="AG5" s="21">
        <f ca="1">AF5/AF$650</f>
        <v>0.171699972197151</v>
      </c>
      <c r="AH5" s="22">
        <f ca="1">AG5*AH$680</f>
        <v>2189314.4556500362</v>
      </c>
      <c r="AI5" s="2">
        <v>9218370.8793717939</v>
      </c>
      <c r="AJ5" s="21">
        <f ca="1">AI5/AI$650</f>
        <v>0.19448626139610917</v>
      </c>
      <c r="AK5" s="22">
        <f ca="1">AJ5*AK$680</f>
        <v>2524495.6433425955</v>
      </c>
      <c r="AL5" s="2">
        <v>61703541.488250256</v>
      </c>
    </row>
    <row r="6" spans="1:46" ht="12.75" x14ac:dyDescent="0.2">
      <c r="A6" s="8" t="s">
        <v>16</v>
      </c>
      <c r="B6" s="8" t="s">
        <v>17</v>
      </c>
      <c r="C6" s="8" t="s">
        <v>18</v>
      </c>
      <c r="D6" s="8" t="s">
        <v>19</v>
      </c>
      <c r="E6" s="8" t="s">
        <v>23</v>
      </c>
      <c r="F6" s="8" t="s">
        <v>24</v>
      </c>
      <c r="G6" s="8" t="s">
        <v>361</v>
      </c>
      <c r="H6" s="20">
        <v>36199.776005236148</v>
      </c>
      <c r="I6" s="21">
        <f>H6/H$646</f>
        <v>4.4087410949354916E-4</v>
      </c>
      <c r="J6" s="22">
        <f>I6*J$676</f>
        <v>948.60236895070011</v>
      </c>
      <c r="K6" s="2">
        <v>0</v>
      </c>
      <c r="L6" s="21">
        <f ca="1">K6/K$646</f>
        <v>0</v>
      </c>
      <c r="M6" s="22">
        <f ca="1">L6*M$676</f>
        <v>0</v>
      </c>
      <c r="N6" s="2">
        <v>4436066.7806206783</v>
      </c>
      <c r="O6" s="21">
        <f ca="1">N6/N$646</f>
        <v>4.7323189705755955E-2</v>
      </c>
      <c r="P6" s="22">
        <f ca="1">O6*P$676</f>
        <v>803978.48031332146</v>
      </c>
      <c r="Q6" s="2">
        <v>6783738.537775076</v>
      </c>
      <c r="R6" s="21">
        <f ca="1">Q6/Q$646</f>
        <v>6.0992474089832015E-2</v>
      </c>
      <c r="S6" s="22">
        <f ca="1">R6*S$676</f>
        <v>1060040.1105827915</v>
      </c>
      <c r="T6" s="2">
        <v>4612942.2056870516</v>
      </c>
      <c r="U6" s="21">
        <f ca="1">T6/T$646</f>
        <v>5.4983335899559331E-2</v>
      </c>
      <c r="V6" s="22">
        <f ca="1">U6*V$676</f>
        <v>975669.83015640534</v>
      </c>
      <c r="W6" s="2">
        <v>4705201.0498007927</v>
      </c>
      <c r="X6" s="21">
        <f ca="1">W6/W$646</f>
        <v>5.3831031738766286E-2</v>
      </c>
      <c r="Y6" s="22">
        <f ca="1">X6*Y$676</f>
        <v>974326.83917763294</v>
      </c>
      <c r="Z6" s="2">
        <v>4789894.6686972072</v>
      </c>
      <c r="AA6" s="21">
        <f ca="1">Z6/Z$646</f>
        <v>4.1268821403878761E-2</v>
      </c>
      <c r="AB6" s="22">
        <f ca="1">AA6*AB$676</f>
        <v>760399.47145574435</v>
      </c>
      <c r="AC6" s="2">
        <v>4876112.7727337573</v>
      </c>
      <c r="AD6" s="21">
        <f ca="1">AC6/AC$646</f>
        <v>4.6865057935411299E-2</v>
      </c>
      <c r="AE6" s="22">
        <f ca="1">AD6*AE$676</f>
        <v>879919.78422915866</v>
      </c>
      <c r="AF6" s="2">
        <v>4950229.6868793108</v>
      </c>
      <c r="AG6" s="21">
        <f ca="1">AF6/AF$646</f>
        <v>5.2587204327163677E-2</v>
      </c>
      <c r="AH6" s="22">
        <f ca="1">AG6*AH$676</f>
        <v>1005128.958592965</v>
      </c>
      <c r="AI6" s="2">
        <v>7538209.7671798151</v>
      </c>
      <c r="AJ6" s="21">
        <f ca="1">AI6/AI$646</f>
        <v>6.1014010921800144E-2</v>
      </c>
      <c r="AK6" s="22">
        <f ca="1">AJ6*AK$676</f>
        <v>1187186.7906133009</v>
      </c>
      <c r="AL6" s="2">
        <v>51213767.528515592</v>
      </c>
    </row>
    <row r="7" spans="1:46" ht="12.75" x14ac:dyDescent="0.2">
      <c r="A7" s="8" t="s">
        <v>16</v>
      </c>
      <c r="B7" s="8" t="s">
        <v>17</v>
      </c>
      <c r="C7" s="8" t="s">
        <v>18</v>
      </c>
      <c r="D7" s="8" t="s">
        <v>19</v>
      </c>
      <c r="E7" s="8" t="s">
        <v>23</v>
      </c>
      <c r="F7" s="8" t="s">
        <v>25</v>
      </c>
      <c r="G7" s="8" t="s">
        <v>362</v>
      </c>
      <c r="H7" s="20">
        <v>129209.4194639451</v>
      </c>
      <c r="I7" s="21">
        <f>H7/H$652</f>
        <v>9.2621940040482961E-3</v>
      </c>
      <c r="J7" s="22">
        <f>I7*J$682</f>
        <v>666641.91201509011</v>
      </c>
      <c r="K7" s="2">
        <v>0</v>
      </c>
      <c r="L7" s="21">
        <f ca="1">K7/K$652</f>
        <v>0</v>
      </c>
      <c r="M7" s="22">
        <f ca="1">L7*M$682</f>
        <v>0</v>
      </c>
      <c r="N7" s="2">
        <v>2320021.8969497238</v>
      </c>
      <c r="O7" s="21">
        <f ca="1">N7/N$652</f>
        <v>4.6489146287959957E-2</v>
      </c>
      <c r="P7" s="22">
        <f ca="1">O7*P$682</f>
        <v>1720371.4750232871</v>
      </c>
      <c r="Q7" s="2">
        <v>3575560.1855156291</v>
      </c>
      <c r="R7" s="21">
        <f ca="1">Q7/Q$652</f>
        <v>7.2037753342688332E-2</v>
      </c>
      <c r="S7" s="22">
        <f ca="1">R7*S$682</f>
        <v>2727133.8600652493</v>
      </c>
      <c r="T7" s="2">
        <v>2455217.9940540651</v>
      </c>
      <c r="U7" s="21">
        <f ca="1">T7/T$652</f>
        <v>5.5959731138529277E-2</v>
      </c>
      <c r="V7" s="22">
        <f ca="1">U7*V$682</f>
        <v>2162955.8614864312</v>
      </c>
      <c r="W7" s="2">
        <v>2523964.0978875789</v>
      </c>
      <c r="X7" s="21">
        <f ca="1">W7/W$652</f>
        <v>5.4788163074865788E-2</v>
      </c>
      <c r="Y7" s="22">
        <f ca="1">X7*Y$682</f>
        <v>2160025.8538651383</v>
      </c>
      <c r="Z7" s="2">
        <v>2594635.092628431</v>
      </c>
      <c r="AA7" s="21">
        <f ca="1">Z7/Z$652</f>
        <v>5.6157209042967518E-2</v>
      </c>
      <c r="AB7" s="22">
        <f ca="1">AA7*AB$682</f>
        <v>2253852.5642510122</v>
      </c>
      <c r="AC7" s="2">
        <v>2641338.5242957426</v>
      </c>
      <c r="AD7" s="21">
        <f ca="1">AC7/AC$652</f>
        <v>4.2401593236784149E-2</v>
      </c>
      <c r="AE7" s="22">
        <f ca="1">AD7*AE$682</f>
        <v>1734108.8197728689</v>
      </c>
      <c r="AF7" s="2">
        <v>2681486.869865038</v>
      </c>
      <c r="AG7" s="21">
        <f ca="1">AF7/AF$652</f>
        <v>4.0063130121609496E-2</v>
      </c>
      <c r="AH7" s="22">
        <f ca="1">AG7*AH$682</f>
        <v>1667964.5924317762</v>
      </c>
      <c r="AI7" s="2">
        <v>4083368.2054304802</v>
      </c>
      <c r="AJ7" s="21">
        <f ca="1">AI7/AI$652</f>
        <v>5.4513231743444954E-2</v>
      </c>
      <c r="AK7" s="22">
        <f ca="1">AJ7*AK$682</f>
        <v>2310423.838802991</v>
      </c>
      <c r="AL7" s="2">
        <v>27332191.639131792</v>
      </c>
    </row>
    <row r="8" spans="1:46" ht="12.75" x14ac:dyDescent="0.2">
      <c r="A8" s="8" t="s">
        <v>16</v>
      </c>
      <c r="B8" s="8" t="s">
        <v>17</v>
      </c>
      <c r="C8" s="8" t="s">
        <v>18</v>
      </c>
      <c r="D8" s="8" t="s">
        <v>19</v>
      </c>
      <c r="E8" s="8" t="s">
        <v>23</v>
      </c>
      <c r="F8" s="8" t="s">
        <v>26</v>
      </c>
      <c r="G8" s="8" t="s">
        <v>363</v>
      </c>
      <c r="H8" s="20">
        <v>55453.062856324708</v>
      </c>
      <c r="I8" s="21">
        <f>H8/H$655</f>
        <v>1.3981347688168967E-3</v>
      </c>
      <c r="J8" s="22">
        <f>I8*J$685</f>
        <v>3374.3675055746662</v>
      </c>
      <c r="K8" s="2">
        <v>0</v>
      </c>
      <c r="L8" s="21">
        <f ca="1">K8/K$655</f>
        <v>0</v>
      </c>
      <c r="M8" s="22">
        <f ca="1">L8*M$685</f>
        <v>0</v>
      </c>
      <c r="N8" s="2">
        <v>26281071.853334457</v>
      </c>
      <c r="O8" s="21">
        <f ca="1">N8/N$655</f>
        <v>0.22720456844297843</v>
      </c>
      <c r="P8" s="22">
        <f ca="1">O8*P$685</f>
        <v>645022.92306351825</v>
      </c>
      <c r="Q8" s="2">
        <v>40503735.880685307</v>
      </c>
      <c r="R8" s="21">
        <f ca="1">Q8/Q$655</f>
        <v>0.29093869090146979</v>
      </c>
      <c r="S8" s="22">
        <f ca="1">R8*S$685</f>
        <v>844958.15772340237</v>
      </c>
      <c r="T8" s="2">
        <v>27812565.304737244</v>
      </c>
      <c r="U8" s="21">
        <f ca="1">T8/T$655</f>
        <v>0.27997347788303029</v>
      </c>
      <c r="V8" s="22">
        <f ca="1">U8*V$685</f>
        <v>830187.81922762992</v>
      </c>
      <c r="W8" s="2">
        <v>28591317.133269887</v>
      </c>
      <c r="X8" s="21">
        <f ca="1">W8/W$655</f>
        <v>0.2666982875681928</v>
      </c>
      <c r="Y8" s="22">
        <f ca="1">X8*Y$685</f>
        <v>806640.20408187155</v>
      </c>
      <c r="Z8" s="2">
        <v>29391874.013001446</v>
      </c>
      <c r="AA8" s="21">
        <f ca="1">Z8/Z$655</f>
        <v>0.25480471820588613</v>
      </c>
      <c r="AB8" s="22">
        <f ca="1">AA8*AB$685</f>
        <v>784539.61990386585</v>
      </c>
      <c r="AC8" s="2">
        <v>29920927.745235473</v>
      </c>
      <c r="AD8" s="21">
        <f ca="1">AC8/AC$655</f>
        <v>0.26558587679238715</v>
      </c>
      <c r="AE8" s="22">
        <f ca="1">AD8*AE$685</f>
        <v>833271.59044603573</v>
      </c>
      <c r="AF8" s="2">
        <v>30375725.846963055</v>
      </c>
      <c r="AG8" s="21">
        <f ca="1">AF8/AF$655</f>
        <v>0.25218430168687678</v>
      </c>
      <c r="AH8" s="22">
        <f ca="1">AG8*AH$685</f>
        <v>805466.39568680571</v>
      </c>
      <c r="AI8" s="2">
        <v>46256155.319755346</v>
      </c>
      <c r="AJ8" s="21">
        <f ca="1">AI8/AI$655</f>
        <v>0.24981424046899672</v>
      </c>
      <c r="AK8" s="22">
        <f ca="1">AJ8*AK$685</f>
        <v>812258.65206889412</v>
      </c>
      <c r="AL8" s="2">
        <v>309617462.3703115</v>
      </c>
    </row>
    <row r="9" spans="1:46" ht="12.75" x14ac:dyDescent="0.2">
      <c r="A9" s="8" t="s">
        <v>16</v>
      </c>
      <c r="B9" s="8" t="s">
        <v>17</v>
      </c>
      <c r="C9" s="8" t="s">
        <v>18</v>
      </c>
      <c r="D9" s="8" t="s">
        <v>19</v>
      </c>
      <c r="E9" s="8" t="s">
        <v>23</v>
      </c>
      <c r="F9" s="8" t="s">
        <v>27</v>
      </c>
      <c r="G9" s="8" t="s">
        <v>364</v>
      </c>
      <c r="H9" s="20">
        <v>528463.88328811899</v>
      </c>
      <c r="I9" s="21">
        <f>H9/H$657</f>
        <v>1.0361377761792676E-2</v>
      </c>
      <c r="J9" s="22">
        <f>I9*J$687</f>
        <v>107478.37465689795</v>
      </c>
      <c r="K9" s="2">
        <v>0</v>
      </c>
      <c r="L9" s="21">
        <f ca="1">K9/K$657</f>
        <v>0</v>
      </c>
      <c r="M9" s="22">
        <f ca="1">L9*M$687</f>
        <v>0</v>
      </c>
      <c r="N9" s="2">
        <v>5597686.1842041537</v>
      </c>
      <c r="O9" s="21">
        <f ca="1">N9/N$657</f>
        <v>0.10120686686439903</v>
      </c>
      <c r="P9" s="22">
        <f ca="1">O9*P$687</f>
        <v>1630940.4890894284</v>
      </c>
      <c r="Q9" s="2">
        <v>8560114.4816047512</v>
      </c>
      <c r="R9" s="21">
        <f ca="1">Q9/Q$657</f>
        <v>0.15498575667948947</v>
      </c>
      <c r="S9" s="22">
        <f ca="1">R9*S$687</f>
        <v>2555027.3659506557</v>
      </c>
      <c r="T9" s="2">
        <v>5820877.8474912308</v>
      </c>
      <c r="U9" s="21">
        <f ca="1">T9/T$657</f>
        <v>0.15046639846584731</v>
      </c>
      <c r="V9" s="22">
        <f ca="1">U9*V$687</f>
        <v>2532614.1911823833</v>
      </c>
      <c r="W9" s="2">
        <v>5937295.4044410558</v>
      </c>
      <c r="X9" s="21">
        <f ca="1">W9/W$657</f>
        <v>0.15151476974662204</v>
      </c>
      <c r="Y9" s="22">
        <f ca="1">X9*Y$687</f>
        <v>2601265.3259503427</v>
      </c>
      <c r="Z9" s="2">
        <v>6044166.7217209954</v>
      </c>
      <c r="AA9" s="21">
        <f ca="1">Z9/Z$657</f>
        <v>0.12460975859845087</v>
      </c>
      <c r="AB9" s="22">
        <f ca="1">AA9*AB$687</f>
        <v>2177857.7737235073</v>
      </c>
      <c r="AC9" s="2">
        <v>6152961.7227119738</v>
      </c>
      <c r="AD9" s="21">
        <f ca="1">AC9/AC$657</f>
        <v>0.11202043555710778</v>
      </c>
      <c r="AE9" s="22">
        <f ca="1">AD9*AE$687</f>
        <v>1995027.5661848302</v>
      </c>
      <c r="AF9" s="2">
        <v>6246486.7408971963</v>
      </c>
      <c r="AG9" s="21">
        <f ca="1">AF9/AF$657</f>
        <v>0.12498599422192218</v>
      </c>
      <c r="AH9" s="22">
        <f ca="1">AG9*AH$687</f>
        <v>2266004.5167974988</v>
      </c>
      <c r="AI9" s="2">
        <v>9512150.0090382509</v>
      </c>
      <c r="AJ9" s="21">
        <f ca="1">AI9/AI$657</f>
        <v>0.17141066292059332</v>
      </c>
      <c r="AK9" s="22">
        <f ca="1">AJ9*AK$687</f>
        <v>3163625.2589709391</v>
      </c>
      <c r="AL9" s="2">
        <v>64624500.286558807</v>
      </c>
    </row>
    <row r="10" spans="1:46" ht="12.75" x14ac:dyDescent="0.2">
      <c r="A10" s="8" t="s">
        <v>16</v>
      </c>
      <c r="B10" s="8" t="s">
        <v>17</v>
      </c>
      <c r="C10" s="8" t="s">
        <v>18</v>
      </c>
      <c r="D10" s="8" t="s">
        <v>19</v>
      </c>
      <c r="E10" s="8" t="s">
        <v>23</v>
      </c>
      <c r="F10" s="8" t="s">
        <v>28</v>
      </c>
      <c r="G10" s="8" t="s">
        <v>365</v>
      </c>
      <c r="H10" s="20">
        <v>0</v>
      </c>
      <c r="I10" s="21">
        <f>H10/H$669</f>
        <v>0</v>
      </c>
      <c r="J10" s="22">
        <f>I10*J$699</f>
        <v>0</v>
      </c>
      <c r="K10" s="2">
        <v>0</v>
      </c>
      <c r="L10" s="21">
        <f ca="1">K10/K$669</f>
        <v>0</v>
      </c>
      <c r="M10" s="22">
        <f ca="1">L10*M$699</f>
        <v>0</v>
      </c>
      <c r="N10" s="2">
        <v>5230463.5527682798</v>
      </c>
      <c r="O10" s="21">
        <f ca="1">N10/N$669</f>
        <v>0.18544826734899117</v>
      </c>
      <c r="P10" s="22">
        <f ca="1">O10*P$699</f>
        <v>901826.72730472719</v>
      </c>
      <c r="Q10" s="2">
        <v>7998548.9236430284</v>
      </c>
      <c r="R10" s="21">
        <f ca="1">Q10/Q$669</f>
        <v>0.21159744036969366</v>
      </c>
      <c r="S10" s="22">
        <f ca="1">R10*S$699</f>
        <v>1052655.7461894767</v>
      </c>
      <c r="T10" s="2">
        <v>5439013.268077259</v>
      </c>
      <c r="U10" s="21">
        <f ca="1">T10/T$669</f>
        <v>0.19052690529249935</v>
      </c>
      <c r="V10" s="22">
        <f ca="1">U10*V$699</f>
        <v>967738.4821004119</v>
      </c>
      <c r="W10" s="2">
        <v>5547793.5334388046</v>
      </c>
      <c r="X10" s="21">
        <f ca="1">W10/W$669</f>
        <v>0.1988899185848706</v>
      </c>
      <c r="Y10" s="22">
        <f ca="1">X10*Y$699</f>
        <v>1030420.8534331005</v>
      </c>
      <c r="Z10" s="2">
        <v>5647653.8170407033</v>
      </c>
      <c r="AA10" s="21">
        <f ca="1">Z10/Z$669</f>
        <v>0.19197132768883116</v>
      </c>
      <c r="AB10" s="22">
        <f ca="1">AA10*AB$699</f>
        <v>1012478.9817952294</v>
      </c>
      <c r="AC10" s="2">
        <v>5749311.5857474357</v>
      </c>
      <c r="AD10" s="21">
        <f ca="1">AC10/AC$669</f>
        <v>0.18230552641251108</v>
      </c>
      <c r="AE10" s="22">
        <f ca="1">AD10*AE$699</f>
        <v>979768.93493945268</v>
      </c>
      <c r="AF10" s="2">
        <v>5836701.121850797</v>
      </c>
      <c r="AG10" s="21">
        <f ca="1">AF10/AF$669</f>
        <v>0.14541109787775397</v>
      </c>
      <c r="AH10" s="22">
        <f ca="1">AG10*AH$699</f>
        <v>795553.08253748715</v>
      </c>
      <c r="AI10" s="2">
        <v>8888128.4683543947</v>
      </c>
      <c r="AJ10" s="21">
        <f ca="1">AI10/AI$669</f>
        <v>0.20316656995458518</v>
      </c>
      <c r="AK10" s="22">
        <f ca="1">AJ10*AK$699</f>
        <v>1131544.4944631192</v>
      </c>
      <c r="AL10" s="2">
        <v>60384966.616839066</v>
      </c>
    </row>
    <row r="11" spans="1:46" ht="12.75" x14ac:dyDescent="0.2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23</v>
      </c>
      <c r="F11" s="8" t="s">
        <v>30</v>
      </c>
      <c r="G11" s="8" t="s">
        <v>366</v>
      </c>
      <c r="H11" s="20">
        <v>63644678.130426675</v>
      </c>
      <c r="I11" s="21">
        <f>H11/H$648</f>
        <v>0.9624989497136639</v>
      </c>
      <c r="J11" s="22">
        <f>I11*J$678</f>
        <v>63317497.719954275</v>
      </c>
      <c r="K11" s="2">
        <v>58193319.567814261</v>
      </c>
      <c r="L11" s="21">
        <f ca="1">K11/K$648</f>
        <v>0.95951863865323939</v>
      </c>
      <c r="M11" s="22">
        <f ca="1">L11*M$678</f>
        <v>69913894.003659412</v>
      </c>
      <c r="N11" s="2">
        <v>8542965.8179175518</v>
      </c>
      <c r="O11" s="21">
        <f ca="1">N11/N$648</f>
        <v>0.71924792426865825</v>
      </c>
      <c r="P11" s="22">
        <f ca="1">O11*P$678</f>
        <v>53769506.98435352</v>
      </c>
      <c r="Q11" s="2">
        <v>13166206.959049623</v>
      </c>
      <c r="R11" s="21">
        <f ca="1">Q11/Q$648</f>
        <v>0.82308330261848583</v>
      </c>
      <c r="S11" s="22">
        <f ca="1">R11*S$678</f>
        <v>62947264.605241053</v>
      </c>
      <c r="T11" s="2">
        <v>9040795.4452140741</v>
      </c>
      <c r="U11" s="21">
        <f ca="1">T11/T$648</f>
        <v>0.79773268663352059</v>
      </c>
      <c r="V11" s="22">
        <f ca="1">U11*V$678</f>
        <v>62289694.431779191</v>
      </c>
      <c r="W11" s="2">
        <v>9293937.7176800687</v>
      </c>
      <c r="X11" s="21">
        <f ca="1">W11/W$648</f>
        <v>0.27537629997101282</v>
      </c>
      <c r="Y11" s="22">
        <f ca="1">X11*Y$678</f>
        <v>21932369.055000432</v>
      </c>
      <c r="Z11" s="2">
        <v>9554167.9737751111</v>
      </c>
      <c r="AA11" s="21">
        <f ca="1">Z11/Z$648</f>
        <v>0.64380791464068843</v>
      </c>
      <c r="AB11" s="22">
        <f ca="1">AA11*AB$678</f>
        <v>52199107.094877407</v>
      </c>
      <c r="AC11" s="2">
        <v>9726142.997303063</v>
      </c>
      <c r="AD11" s="21">
        <f ca="1">AC11/AC$648</f>
        <v>0.74317628755706744</v>
      </c>
      <c r="AE11" s="22">
        <f ca="1">AD11*AE$678</f>
        <v>61400624.87458916</v>
      </c>
      <c r="AF11" s="2">
        <v>9873980.3708620705</v>
      </c>
      <c r="AG11" s="21">
        <f ca="1">AF11/AF$648</f>
        <v>0.70561968939900077</v>
      </c>
      <c r="AH11" s="22">
        <f ca="1">AG11*AH$678</f>
        <v>59347088.180721745</v>
      </c>
      <c r="AI11" s="2">
        <v>15036097.308748763</v>
      </c>
      <c r="AJ11" s="21">
        <f ca="1">AI11/AI$648</f>
        <v>0.79485894277531821</v>
      </c>
      <c r="AK11" s="22">
        <f ca="1">AJ11*AK$678</f>
        <v>68056023.151796699</v>
      </c>
      <c r="AL11" s="2">
        <v>100644730.64192586</v>
      </c>
    </row>
    <row r="12" spans="1:46" ht="12.75" x14ac:dyDescent="0.2">
      <c r="A12" s="8" t="s">
        <v>16</v>
      </c>
      <c r="B12" s="8" t="s">
        <v>17</v>
      </c>
      <c r="C12" s="8" t="s">
        <v>18</v>
      </c>
      <c r="D12" s="8" t="s">
        <v>31</v>
      </c>
      <c r="E12" s="8" t="s">
        <v>32</v>
      </c>
      <c r="F12" s="8" t="s">
        <v>24</v>
      </c>
      <c r="G12" s="8" t="s">
        <v>367</v>
      </c>
      <c r="H12" s="20">
        <v>0</v>
      </c>
      <c r="I12" s="21">
        <f>H12/H$646</f>
        <v>0</v>
      </c>
      <c r="J12" s="22">
        <f>I12*J$676</f>
        <v>0</v>
      </c>
      <c r="K12" s="2">
        <v>0</v>
      </c>
      <c r="L12" s="21">
        <f ca="1">K12/K$646</f>
        <v>0</v>
      </c>
      <c r="M12" s="22">
        <f ca="1">L12*M$676</f>
        <v>0</v>
      </c>
      <c r="N12" s="2">
        <v>12415213.656479271</v>
      </c>
      <c r="O12" s="21">
        <f ca="1">N12/N$646</f>
        <v>0.1324433423026278</v>
      </c>
      <c r="P12" s="22">
        <f ca="1">O12*P$676</f>
        <v>2250093.4052450885</v>
      </c>
      <c r="Q12" s="2">
        <v>19134019.253499821</v>
      </c>
      <c r="R12" s="21">
        <f ca="1">Q12/Q$646</f>
        <v>0.17203363116883871</v>
      </c>
      <c r="S12" s="22">
        <f ca="1">R12*S$676</f>
        <v>2989918.8732627002</v>
      </c>
      <c r="T12" s="2">
        <v>13138693.220736543</v>
      </c>
      <c r="U12" s="21">
        <f ca="1">T12/T$646</f>
        <v>0.15660486310589375</v>
      </c>
      <c r="V12" s="22">
        <f ca="1">U12*V$676</f>
        <v>2778926.336286901</v>
      </c>
      <c r="W12" s="2">
        <v>13506576.630917165</v>
      </c>
      <c r="X12" s="21">
        <f ca="1">W12/W$646</f>
        <v>0.1545253747088583</v>
      </c>
      <c r="Y12" s="22">
        <f ca="1">X12*Y$676</f>
        <v>2796866.6965823192</v>
      </c>
      <c r="Z12" s="2">
        <v>13884760.776582846</v>
      </c>
      <c r="AA12" s="21">
        <f ca="1">Z12/Z$646</f>
        <v>0.11962845790098127</v>
      </c>
      <c r="AB12" s="22">
        <f ca="1">AA12*AB$676</f>
        <v>2204216.4778280365</v>
      </c>
      <c r="AC12" s="2">
        <v>14134686.470561339</v>
      </c>
      <c r="AD12" s="21">
        <f ca="1">AC12/AC$646</f>
        <v>0.13585061117656405</v>
      </c>
      <c r="AE12" s="22">
        <f ca="1">AD12*AE$676</f>
        <v>2550677.3220813363</v>
      </c>
      <c r="AF12" s="2">
        <v>14349533.704913873</v>
      </c>
      <c r="AG12" s="21">
        <f ca="1">AF12/AF$646</f>
        <v>0.15243774706856858</v>
      </c>
      <c r="AH12" s="22">
        <f ca="1">AG12*AH$676</f>
        <v>2913628.8175361943</v>
      </c>
      <c r="AI12" s="2">
        <v>21851469.925842848</v>
      </c>
      <c r="AJ12" s="21">
        <f ca="1">AI12/AI$646</f>
        <v>0.17686504699265687</v>
      </c>
      <c r="AK12" s="22">
        <f ca="1">AJ12*AK$676</f>
        <v>3441370.9955898109</v>
      </c>
      <c r="AL12" s="2">
        <v>146263705.24597299</v>
      </c>
    </row>
    <row r="13" spans="1:46" ht="12.75" x14ac:dyDescent="0.2">
      <c r="A13" s="8" t="s">
        <v>16</v>
      </c>
      <c r="B13" s="8" t="s">
        <v>17</v>
      </c>
      <c r="C13" s="8" t="s">
        <v>18</v>
      </c>
      <c r="D13" s="8" t="s">
        <v>31</v>
      </c>
      <c r="E13" s="8" t="s">
        <v>32</v>
      </c>
      <c r="F13" s="8" t="s">
        <v>26</v>
      </c>
      <c r="G13" s="8" t="s">
        <v>368</v>
      </c>
      <c r="H13" s="20">
        <v>0</v>
      </c>
      <c r="I13" s="21">
        <f>H13/H$655</f>
        <v>0</v>
      </c>
      <c r="J13" s="22">
        <f>I13*J$685</f>
        <v>0</v>
      </c>
      <c r="K13" s="2">
        <v>0</v>
      </c>
      <c r="L13" s="21">
        <f ca="1">K13/K$655</f>
        <v>0</v>
      </c>
      <c r="M13" s="22">
        <f ca="1">L13*M$685</f>
        <v>0</v>
      </c>
      <c r="N13" s="2">
        <v>30719352.705303013</v>
      </c>
      <c r="O13" s="21">
        <f ca="1">N13/N$655</f>
        <v>0.26557430051584702</v>
      </c>
      <c r="P13" s="22">
        <f ca="1">O13*P$685</f>
        <v>753952.76064738305</v>
      </c>
      <c r="Q13" s="2">
        <v>46921138.153906234</v>
      </c>
      <c r="R13" s="21">
        <f ca="1">Q13/Q$655</f>
        <v>0.33703494784574212</v>
      </c>
      <c r="S13" s="22">
        <f ca="1">R13*S$685</f>
        <v>978833.12713669252</v>
      </c>
      <c r="T13" s="2">
        <v>32463957.532348946</v>
      </c>
      <c r="U13" s="21">
        <f ca="1">T13/T$655</f>
        <v>0.32679643163410815</v>
      </c>
      <c r="V13" s="22">
        <f ca="1">U13*V$685</f>
        <v>969028.99146410765</v>
      </c>
      <c r="W13" s="2">
        <v>33351074.743254717</v>
      </c>
      <c r="X13" s="21">
        <f ca="1">W13/W$655</f>
        <v>0.31109705373575375</v>
      </c>
      <c r="Y13" s="22">
        <f ca="1">X13*Y$685</f>
        <v>940926.14243169059</v>
      </c>
      <c r="Z13" s="2">
        <v>34263031.23606585</v>
      </c>
      <c r="AA13" s="21">
        <f ca="1">Z13/Z$655</f>
        <v>0.29703386776642288</v>
      </c>
      <c r="AB13" s="22">
        <f ca="1">AA13*AB$685</f>
        <v>914562.49066686758</v>
      </c>
      <c r="AC13" s="2">
        <v>34865704.198315032</v>
      </c>
      <c r="AD13" s="21">
        <f ca="1">AC13/AC$655</f>
        <v>0.30947698875974938</v>
      </c>
      <c r="AE13" s="22">
        <f ca="1">AD13*AE$685</f>
        <v>970979.2770037771</v>
      </c>
      <c r="AF13" s="2">
        <v>35383788.662129425</v>
      </c>
      <c r="AG13" s="21">
        <f ca="1">AF13/AF$655</f>
        <v>0.29376206776923081</v>
      </c>
      <c r="AH13" s="22">
        <f ca="1">AG13*AH$685</f>
        <v>938264.08833876497</v>
      </c>
      <c r="AI13" s="2">
        <v>53474022.014690697</v>
      </c>
      <c r="AJ13" s="21">
        <f ca="1">AI13/AI$655</f>
        <v>0.28879555817119779</v>
      </c>
      <c r="AK13" s="22">
        <f ca="1">AJ13*AK$685</f>
        <v>939004.47934125364</v>
      </c>
      <c r="AL13" s="2">
        <v>360513553.43739253</v>
      </c>
    </row>
    <row r="14" spans="1:46" ht="12.75" x14ac:dyDescent="0.2">
      <c r="A14" s="8" t="s">
        <v>16</v>
      </c>
      <c r="B14" s="8" t="s">
        <v>17</v>
      </c>
      <c r="C14" s="8" t="s">
        <v>18</v>
      </c>
      <c r="D14" s="8" t="s">
        <v>31</v>
      </c>
      <c r="E14" s="8" t="s">
        <v>33</v>
      </c>
      <c r="F14" s="8" t="s">
        <v>24</v>
      </c>
      <c r="G14" s="8" t="s">
        <v>369</v>
      </c>
      <c r="H14" s="20">
        <v>2693284.6388328811</v>
      </c>
      <c r="I14" s="21">
        <f>H14/H$646</f>
        <v>3.2801293206520095E-2</v>
      </c>
      <c r="J14" s="22">
        <f>I14*J$676</f>
        <v>70576.574514876891</v>
      </c>
      <c r="K14" s="2">
        <v>2707074.5379621354</v>
      </c>
      <c r="L14" s="21">
        <f ca="1">K14/K$646</f>
        <v>4.2863111510965585E-2</v>
      </c>
      <c r="M14" s="22">
        <f ca="1">L14*M$676</f>
        <v>166652.34763401729</v>
      </c>
      <c r="N14" s="2">
        <v>12562712.052775618</v>
      </c>
      <c r="O14" s="21">
        <f ca="1">N14/N$646</f>
        <v>0.13401682956835606</v>
      </c>
      <c r="P14" s="22">
        <f ca="1">O14*P$676</f>
        <v>2276825.5403475263</v>
      </c>
      <c r="Q14" s="2">
        <v>17250756.885189041</v>
      </c>
      <c r="R14" s="21">
        <f ca="1">Q14/Q$646</f>
        <v>0.15510125228012875</v>
      </c>
      <c r="S14" s="22">
        <f ca="1">R14*S$676</f>
        <v>2695636.651440023</v>
      </c>
      <c r="T14" s="2">
        <v>13067519.727829807</v>
      </c>
      <c r="U14" s="21">
        <f ca="1">T14/T$646</f>
        <v>0.15575652035778575</v>
      </c>
      <c r="V14" s="22">
        <f ca="1">U14*V$676</f>
        <v>2763872.640263929</v>
      </c>
      <c r="W14" s="2">
        <v>13324210.280209042</v>
      </c>
      <c r="X14" s="21">
        <f ca="1">W14/W$646</f>
        <v>0.15243896677237542</v>
      </c>
      <c r="Y14" s="22">
        <f ca="1">X14*Y$676</f>
        <v>2759103.2879251423</v>
      </c>
      <c r="Z14" s="2">
        <v>13588088.168054895</v>
      </c>
      <c r="AA14" s="21">
        <f ca="1">Z14/Z$646</f>
        <v>0.11707238313449941</v>
      </c>
      <c r="AB14" s="22">
        <f ca="1">AA14*AB$676</f>
        <v>2157119.4725025706</v>
      </c>
      <c r="AC14" s="2">
        <v>13762473.755079884</v>
      </c>
      <c r="AD14" s="21">
        <f ca="1">AC14/AC$646</f>
        <v>0.13227321842779968</v>
      </c>
      <c r="AE14" s="22">
        <f ca="1">AD14*AE$676</f>
        <v>2483509.6113332994</v>
      </c>
      <c r="AF14" s="2">
        <v>13912383.3561571</v>
      </c>
      <c r="AG14" s="21">
        <f ca="1">AF14/AF$646</f>
        <v>0.14779381816710876</v>
      </c>
      <c r="AH14" s="22">
        <f ca="1">AG14*AH$676</f>
        <v>2824866.7796939779</v>
      </c>
      <c r="AI14" s="2">
        <v>19146857.374756034</v>
      </c>
      <c r="AJ14" s="21">
        <f ca="1">AI14/AI$646</f>
        <v>0.15497400590625507</v>
      </c>
      <c r="AK14" s="22">
        <f ca="1">AJ14*AK$676</f>
        <v>3015423.6694279839</v>
      </c>
      <c r="AL14" s="2">
        <v>141055461.74041602</v>
      </c>
    </row>
    <row r="15" spans="1:46" ht="12.75" x14ac:dyDescent="0.2">
      <c r="A15" s="8" t="s">
        <v>16</v>
      </c>
      <c r="B15" s="8" t="s">
        <v>17</v>
      </c>
      <c r="C15" s="8" t="s">
        <v>18</v>
      </c>
      <c r="D15" s="8" t="s">
        <v>31</v>
      </c>
      <c r="E15" s="8" t="s">
        <v>33</v>
      </c>
      <c r="F15" s="8" t="s">
        <v>25</v>
      </c>
      <c r="G15" s="8" t="s">
        <v>370</v>
      </c>
      <c r="H15" s="20">
        <v>0</v>
      </c>
      <c r="I15" s="21">
        <f>H15/H$652</f>
        <v>0</v>
      </c>
      <c r="J15" s="22">
        <f>I15*J$682</f>
        <v>0</v>
      </c>
      <c r="K15" s="2">
        <v>38111.700134188432</v>
      </c>
      <c r="L15" s="21">
        <f ca="1">K15/K$652</f>
        <v>1.6964814634123633E-3</v>
      </c>
      <c r="M15" s="22">
        <f ca="1">L15*M$682</f>
        <v>61188.868159947851</v>
      </c>
      <c r="N15" s="2">
        <v>10859007.082016492</v>
      </c>
      <c r="O15" s="21">
        <f ca="1">N15/N$652</f>
        <v>0.21759534659633334</v>
      </c>
      <c r="P15" s="22">
        <f ca="1">O15*P$682</f>
        <v>8052305.9094997291</v>
      </c>
      <c r="Q15" s="2">
        <v>16605851.189179093</v>
      </c>
      <c r="R15" s="21">
        <f ca="1">Q15/Q$652</f>
        <v>0.33456246013069446</v>
      </c>
      <c r="S15" s="22">
        <f ca="1">R15*S$682</f>
        <v>12665533.987280477</v>
      </c>
      <c r="T15" s="2">
        <v>11291978.808641784</v>
      </c>
      <c r="U15" s="21">
        <f ca="1">T15/T$652</f>
        <v>0.25736863271769006</v>
      </c>
      <c r="V15" s="22">
        <f ca="1">U15*V$682</f>
        <v>9947813.9257212076</v>
      </c>
      <c r="W15" s="2">
        <v>11517818.38481462</v>
      </c>
      <c r="X15" s="21">
        <f ca="1">W15/W$652</f>
        <v>0.25001944855794783</v>
      </c>
      <c r="Y15" s="22">
        <f ca="1">X15*Y$682</f>
        <v>9857028.2802932821</v>
      </c>
      <c r="Z15" s="2">
        <v>11725139.115741283</v>
      </c>
      <c r="AA15" s="21">
        <f ca="1">Z15/Z$652</f>
        <v>0.25377406258447344</v>
      </c>
      <c r="AB15" s="22">
        <f ca="1">AA15*AB$682</f>
        <v>10185145.085447211</v>
      </c>
      <c r="AC15" s="2">
        <v>11936191.619824626</v>
      </c>
      <c r="AD15" s="21">
        <f ca="1">AC15/AC$652</f>
        <v>0.19161252418224584</v>
      </c>
      <c r="AE15" s="22">
        <f ca="1">AD15*AE$682</f>
        <v>7836426.4830293767</v>
      </c>
      <c r="AF15" s="2">
        <v>12117621.732445961</v>
      </c>
      <c r="AG15" s="21">
        <f ca="1">AF15/AF$652</f>
        <v>0.18104502456723193</v>
      </c>
      <c r="AH15" s="22">
        <f ca="1">AG15*AH$682</f>
        <v>7537521.1496817591</v>
      </c>
      <c r="AI15" s="2">
        <v>18452714.374168713</v>
      </c>
      <c r="AJ15" s="21">
        <f ca="1">AI15/AI$652</f>
        <v>0.24634493985550596</v>
      </c>
      <c r="AK15" s="22">
        <f ca="1">AJ15*AK$682</f>
        <v>10440790.307375051</v>
      </c>
      <c r="AL15" s="2">
        <v>125365710.61517818</v>
      </c>
    </row>
    <row r="16" spans="1:46" ht="12.75" x14ac:dyDescent="0.2">
      <c r="A16" s="8" t="s">
        <v>16</v>
      </c>
      <c r="B16" s="8" t="s">
        <v>17</v>
      </c>
      <c r="C16" s="8" t="s">
        <v>18</v>
      </c>
      <c r="D16" s="8" t="s">
        <v>31</v>
      </c>
      <c r="E16" s="8" t="s">
        <v>33</v>
      </c>
      <c r="F16" s="8" t="s">
        <v>26</v>
      </c>
      <c r="G16" s="8" t="s">
        <v>371</v>
      </c>
      <c r="H16" s="20">
        <v>60000</v>
      </c>
      <c r="I16" s="21">
        <f>H16/H$655</f>
        <v>1.5127764240248081E-3</v>
      </c>
      <c r="J16" s="22">
        <f>I16*J$685</f>
        <v>3651.0526183025459</v>
      </c>
      <c r="K16" s="2">
        <v>121532.40680433871</v>
      </c>
      <c r="L16" s="21">
        <f ca="1">K16/K$655</f>
        <v>3.0611867496088728E-3</v>
      </c>
      <c r="M16" s="22">
        <f ca="1">L16*M$685</f>
        <v>8470.3343480352469</v>
      </c>
      <c r="N16" s="2">
        <v>11595967.109063752</v>
      </c>
      <c r="O16" s="21">
        <f ca="1">N16/N$655</f>
        <v>0.10024921043543836</v>
      </c>
      <c r="P16" s="22">
        <f ca="1">O16*P$685</f>
        <v>284602.72252890328</v>
      </c>
      <c r="Q16" s="2">
        <v>17707041.775540348</v>
      </c>
      <c r="R16" s="21">
        <f ca="1">Q16/Q$655</f>
        <v>0.12718983673725709</v>
      </c>
      <c r="S16" s="22">
        <f ca="1">R16*S$685</f>
        <v>369390.84931487933</v>
      </c>
      <c r="T16" s="2">
        <v>12014291.788373385</v>
      </c>
      <c r="U16" s="21">
        <f ca="1">T16/T$655</f>
        <v>0.12094112928588795</v>
      </c>
      <c r="V16" s="22">
        <f ca="1">U16*V$685</f>
        <v>358619.15612851636</v>
      </c>
      <c r="W16" s="2">
        <v>12254577.624140853</v>
      </c>
      <c r="X16" s="21">
        <f ca="1">W16/W$655</f>
        <v>0.11431004916617765</v>
      </c>
      <c r="Y16" s="22">
        <f ca="1">X16*Y$685</f>
        <v>345735.55844237522</v>
      </c>
      <c r="Z16" s="2">
        <v>12475160.021375388</v>
      </c>
      <c r="AA16" s="21">
        <f ca="1">Z16/Z$655</f>
        <v>0.10814994758121875</v>
      </c>
      <c r="AB16" s="22">
        <f ca="1">AA16*AB$685</f>
        <v>332991.9452254175</v>
      </c>
      <c r="AC16" s="2">
        <v>12699712.901760144</v>
      </c>
      <c r="AD16" s="21">
        <f ca="1">AC16/AC$655</f>
        <v>0.11272592931422873</v>
      </c>
      <c r="AE16" s="22">
        <f ca="1">AD16*AE$685</f>
        <v>353675.86386230332</v>
      </c>
      <c r="AF16" s="2">
        <v>12892748.5378669</v>
      </c>
      <c r="AG16" s="21">
        <f ca="1">AF16/AF$655</f>
        <v>0.10703773148425137</v>
      </c>
      <c r="AH16" s="22">
        <f ca="1">AG16*AH$685</f>
        <v>341874.15792502748</v>
      </c>
      <c r="AI16" s="2">
        <v>19633077.473463718</v>
      </c>
      <c r="AJ16" s="21">
        <f ca="1">AI16/AI$655</f>
        <v>0.10603177681322799</v>
      </c>
      <c r="AK16" s="22">
        <f ca="1">AJ16*AK$685</f>
        <v>344757.08009716519</v>
      </c>
      <c r="AL16" s="2">
        <v>133547613.88197476</v>
      </c>
    </row>
    <row r="17" spans="1:38" ht="12.75" x14ac:dyDescent="0.2">
      <c r="A17" s="8" t="s">
        <v>16</v>
      </c>
      <c r="B17" s="8" t="s">
        <v>17</v>
      </c>
      <c r="C17" s="8" t="s">
        <v>18</v>
      </c>
      <c r="D17" s="8" t="s">
        <v>31</v>
      </c>
      <c r="E17" s="8" t="s">
        <v>33</v>
      </c>
      <c r="F17" s="8" t="s">
        <v>27</v>
      </c>
      <c r="G17" s="8" t="s">
        <v>372</v>
      </c>
      <c r="H17" s="20">
        <v>264231.94164405949</v>
      </c>
      <c r="I17" s="21">
        <f>H17/H$657</f>
        <v>5.1806888808963378E-3</v>
      </c>
      <c r="J17" s="22">
        <f>I17*J$687</f>
        <v>53739.187328448977</v>
      </c>
      <c r="K17" s="2">
        <v>0</v>
      </c>
      <c r="L17" s="21">
        <f ca="1">K17/K$657</f>
        <v>0</v>
      </c>
      <c r="M17" s="22">
        <f ca="1">L17*M$687</f>
        <v>0</v>
      </c>
      <c r="N17" s="2">
        <v>706892.2</v>
      </c>
      <c r="O17" s="21">
        <f ca="1">N17/N$657</f>
        <v>1.278069945663694E-2</v>
      </c>
      <c r="P17" s="22">
        <f ca="1">O17*P$687</f>
        <v>205959.93995783714</v>
      </c>
      <c r="Q17" s="2">
        <v>706892.2</v>
      </c>
      <c r="R17" s="21">
        <f ca="1">Q17/Q$657</f>
        <v>1.2798686599725275E-2</v>
      </c>
      <c r="S17" s="22">
        <f ca="1">R17*S$687</f>
        <v>210993.54683378857</v>
      </c>
      <c r="T17" s="2">
        <v>706892.2</v>
      </c>
      <c r="U17" s="21">
        <f ca="1">T17/T$657</f>
        <v>1.8272763357066762E-2</v>
      </c>
      <c r="V17" s="22">
        <f ca="1">U17*V$687</f>
        <v>307562.75329291425</v>
      </c>
      <c r="W17" s="2">
        <v>706892.2</v>
      </c>
      <c r="X17" s="21">
        <f ca="1">W17/W$657</f>
        <v>1.8039292577318886E-2</v>
      </c>
      <c r="Y17" s="22">
        <f ca="1">X17*Y$687</f>
        <v>309705.68984479603</v>
      </c>
      <c r="Z17" s="2">
        <v>706892.2</v>
      </c>
      <c r="AA17" s="21">
        <f ca="1">Z17/Z$657</f>
        <v>1.4573665891871136E-2</v>
      </c>
      <c r="AB17" s="22">
        <f ca="1">AA17*AB$687</f>
        <v>254710.16003280552</v>
      </c>
      <c r="AC17" s="2">
        <v>706892.2</v>
      </c>
      <c r="AD17" s="21">
        <f ca="1">AC17/AC$657</f>
        <v>1.2869635096806685E-2</v>
      </c>
      <c r="AE17" s="22">
        <f ca="1">AD17*AE$687</f>
        <v>229201.72249981936</v>
      </c>
      <c r="AF17" s="2">
        <v>706892.2</v>
      </c>
      <c r="AG17" s="21">
        <f ca="1">AF17/AF$657</f>
        <v>1.4144210672258902E-2</v>
      </c>
      <c r="AH17" s="22">
        <f ca="1">AG17*AH$687</f>
        <v>256435.49478804268</v>
      </c>
      <c r="AI17" s="2">
        <v>706892.2</v>
      </c>
      <c r="AJ17" s="21">
        <f ca="1">AI17/AI$657</f>
        <v>1.2738325247211666E-2</v>
      </c>
      <c r="AK17" s="22">
        <f ca="1">AJ17*AK$687</f>
        <v>235103.73755298331</v>
      </c>
      <c r="AL17" s="2">
        <v>7068922</v>
      </c>
    </row>
    <row r="18" spans="1:38" ht="12.75" x14ac:dyDescent="0.2">
      <c r="A18" s="8" t="s">
        <v>16</v>
      </c>
      <c r="B18" s="8" t="s">
        <v>17</v>
      </c>
      <c r="C18" s="8" t="s">
        <v>18</v>
      </c>
      <c r="D18" s="8" t="s">
        <v>31</v>
      </c>
      <c r="E18" s="8" t="s">
        <v>33</v>
      </c>
      <c r="F18" s="8" t="s">
        <v>28</v>
      </c>
      <c r="G18" s="8" t="s">
        <v>373</v>
      </c>
      <c r="H18" s="20">
        <v>650000</v>
      </c>
      <c r="I18" s="21">
        <f>H18/H$669</f>
        <v>7.6502720717963685E-2</v>
      </c>
      <c r="J18" s="22">
        <f>I18*J$699</f>
        <v>852620.22130920086</v>
      </c>
      <c r="K18" s="2">
        <v>670206.53379493277</v>
      </c>
      <c r="L18" s="21">
        <f ca="1">K18/K$669</f>
        <v>9.2386749198294524E-2</v>
      </c>
      <c r="M18" s="22">
        <f ca="1">L18*M$699</f>
        <v>437887.60007038811</v>
      </c>
      <c r="N18" s="2">
        <v>8294699.7616508594</v>
      </c>
      <c r="O18" s="21">
        <f ca="1">N18/N$669</f>
        <v>0.29409204049689114</v>
      </c>
      <c r="P18" s="22">
        <f ca="1">O18*P$699</f>
        <v>1430156.5940681915</v>
      </c>
      <c r="Q18" s="2">
        <v>12567115.397260517</v>
      </c>
      <c r="R18" s="21">
        <f ca="1">Q18/Q$669</f>
        <v>0.33245648382928727</v>
      </c>
      <c r="S18" s="22">
        <f ca="1">R18*S$699</f>
        <v>1653905.7724394472</v>
      </c>
      <c r="T18" s="2">
        <v>8754752.5727855545</v>
      </c>
      <c r="U18" s="21">
        <f ca="1">T18/T$669</f>
        <v>0.30667619880325048</v>
      </c>
      <c r="V18" s="22">
        <f ca="1">U18*V$699</f>
        <v>1557692.6454064725</v>
      </c>
      <c r="W18" s="2">
        <v>8988685.6448235493</v>
      </c>
      <c r="X18" s="21">
        <f ca="1">W18/W$669</f>
        <v>0.32224684377823393</v>
      </c>
      <c r="Y18" s="22">
        <f ca="1">X18*Y$699</f>
        <v>1669515.8313939278</v>
      </c>
      <c r="Z18" s="2">
        <v>9229168.842878608</v>
      </c>
      <c r="AA18" s="21">
        <f ca="1">Z18/Z$669</f>
        <v>0.31371182682726229</v>
      </c>
      <c r="AB18" s="22">
        <f ca="1">AA18*AB$699</f>
        <v>1654552.4523226356</v>
      </c>
      <c r="AC18" s="2">
        <v>9388093.882050423</v>
      </c>
      <c r="AD18" s="21">
        <f ca="1">AC18/AC$669</f>
        <v>0.29768805737022414</v>
      </c>
      <c r="AE18" s="22">
        <f ca="1">AD18*AE$699</f>
        <v>1599872.0206312027</v>
      </c>
      <c r="AF18" s="2">
        <v>9524712.9090575911</v>
      </c>
      <c r="AG18" s="21">
        <f ca="1">AF18/AF$669</f>
        <v>0.23729139665751839</v>
      </c>
      <c r="AH18" s="22">
        <f ca="1">AG18*AH$699</f>
        <v>1298235.862500801</v>
      </c>
      <c r="AI18" s="2">
        <v>14295112.817912901</v>
      </c>
      <c r="AJ18" s="21">
        <f ca="1">AI18/AI$669</f>
        <v>0.32676047029132416</v>
      </c>
      <c r="AK18" s="22">
        <f ca="1">AJ18*AK$699</f>
        <v>1819905.7613119036</v>
      </c>
      <c r="AL18" s="2">
        <v>97007504.413017794</v>
      </c>
    </row>
    <row r="19" spans="1:38" ht="12.75" x14ac:dyDescent="0.2">
      <c r="A19" s="8" t="s">
        <v>16</v>
      </c>
      <c r="B19" s="8" t="s">
        <v>17</v>
      </c>
      <c r="C19" s="8" t="s">
        <v>18</v>
      </c>
      <c r="D19" s="8" t="s">
        <v>31</v>
      </c>
      <c r="E19" s="8" t="s">
        <v>33</v>
      </c>
      <c r="F19" s="8" t="s">
        <v>34</v>
      </c>
      <c r="G19" s="8" t="s">
        <v>374</v>
      </c>
      <c r="H19" s="20">
        <v>160000</v>
      </c>
      <c r="I19" s="21">
        <f>H19/H$653</f>
        <v>7.1510872928299565E-2</v>
      </c>
      <c r="J19" s="22">
        <f>I19*J$683</f>
        <v>150685.28006483329</v>
      </c>
      <c r="K19" s="2">
        <v>160000</v>
      </c>
      <c r="L19" s="21">
        <f ca="1">K19/K$653</f>
        <v>4.7976735906188478E-2</v>
      </c>
      <c r="M19" s="22">
        <f ca="1">L19*M$683</f>
        <v>73918.90845232633</v>
      </c>
      <c r="N19" s="2">
        <v>4438028.9792656507</v>
      </c>
      <c r="O19" s="21">
        <f ca="1">N19/N$653</f>
        <v>0.39738210397642337</v>
      </c>
      <c r="P19" s="22">
        <f ca="1">O19*P$683</f>
        <v>628174.80294138379</v>
      </c>
      <c r="Q19" s="2">
        <v>6786739.1784833781</v>
      </c>
      <c r="R19" s="21">
        <f ca="1">Q19/Q$653</f>
        <v>0.51877876807357659</v>
      </c>
      <c r="S19" s="22">
        <f ca="1">R19*S$683</f>
        <v>838938.32758888113</v>
      </c>
      <c r="T19" s="2">
        <v>4614982.6413686965</v>
      </c>
      <c r="U19" s="21">
        <f ca="1">T19/T$653</f>
        <v>0.34996381775621482</v>
      </c>
      <c r="V19" s="22">
        <f ca="1">U19*V$683</f>
        <v>577825.53596870229</v>
      </c>
      <c r="W19" s="2">
        <v>4707282.2941960702</v>
      </c>
      <c r="X19" s="21">
        <f ca="1">W19/W$653</f>
        <v>0.42324672718961831</v>
      </c>
      <c r="Y19" s="22">
        <f ca="1">X19*Y$683</f>
        <v>712799.46328541613</v>
      </c>
      <c r="Z19" s="2">
        <v>4792013.3754915996</v>
      </c>
      <c r="AA19" s="21">
        <f ca="1">Z19/Z$653</f>
        <v>0.428818050996714</v>
      </c>
      <c r="AB19" s="22">
        <f ca="1">AA19*AB$683</f>
        <v>735181.5371848339</v>
      </c>
      <c r="AC19" s="2">
        <v>4878269.6162504489</v>
      </c>
      <c r="AD19" s="21">
        <f ca="1">AC19/AC$653</f>
        <v>0.37579849963769335</v>
      </c>
      <c r="AE19" s="22">
        <f ca="1">AD19*AE$683</f>
        <v>656524.23290606623</v>
      </c>
      <c r="AF19" s="2">
        <v>4952419.3144174563</v>
      </c>
      <c r="AG19" s="21">
        <f ca="1">AF19/AF$653</f>
        <v>0.41418603806374388</v>
      </c>
      <c r="AH19" s="22">
        <f ca="1">AG19*AH$683</f>
        <v>736612.27407347155</v>
      </c>
      <c r="AI19" s="2">
        <v>7541544.1319949031</v>
      </c>
      <c r="AJ19" s="21">
        <f ca="1">AI19/AI$653</f>
        <v>0.55476616095874787</v>
      </c>
      <c r="AK19" s="22">
        <f ca="1">AJ19*AK$683</f>
        <v>1004387.352739444</v>
      </c>
      <c r="AL19" s="2">
        <v>51236420.836100452</v>
      </c>
    </row>
    <row r="20" spans="1:38" ht="12.75" x14ac:dyDescent="0.2">
      <c r="A20" s="8" t="s">
        <v>16</v>
      </c>
      <c r="B20" s="8" t="s">
        <v>17</v>
      </c>
      <c r="C20" s="8" t="s">
        <v>18</v>
      </c>
      <c r="D20" s="8" t="s">
        <v>31</v>
      </c>
      <c r="E20" s="8" t="s">
        <v>35</v>
      </c>
      <c r="F20" s="8" t="s">
        <v>21</v>
      </c>
      <c r="G20" s="8" t="s">
        <v>375</v>
      </c>
      <c r="H20" s="20">
        <v>360000</v>
      </c>
      <c r="I20" s="21">
        <f>H20/H$645</f>
        <v>2.3826587926745878E-2</v>
      </c>
      <c r="J20" s="22">
        <f>I20*J$675</f>
        <v>3364.3142152565179</v>
      </c>
      <c r="K20" s="2">
        <v>360000</v>
      </c>
      <c r="L20" s="21">
        <f ca="1">K20/K$645</f>
        <v>2.3531049951043496E-2</v>
      </c>
      <c r="M20" s="22">
        <f ca="1">L20*M$675</f>
        <v>10152.706811877226</v>
      </c>
      <c r="N20" s="2">
        <v>240000</v>
      </c>
      <c r="O20" s="21">
        <f ca="1">N20/N$645</f>
        <v>1.1047527905337761E-2</v>
      </c>
      <c r="P20" s="22">
        <f ca="1">O20*P$675</f>
        <v>4890.4971161779931</v>
      </c>
      <c r="Q20" s="2">
        <v>240000</v>
      </c>
      <c r="R20" s="21">
        <f ca="1">Q20/Q$645</f>
        <v>9.5059999954156607E-3</v>
      </c>
      <c r="S20" s="22">
        <f ca="1">R20*S$675</f>
        <v>4304.8828802239377</v>
      </c>
      <c r="T20" s="2">
        <v>240000</v>
      </c>
      <c r="U20" s="21">
        <f ca="1">T20/T$645</f>
        <v>1.1627256504959932E-2</v>
      </c>
      <c r="V20" s="22">
        <f ca="1">U20*V$675</f>
        <v>5376.0899392957217</v>
      </c>
      <c r="W20" s="2">
        <v>240000</v>
      </c>
      <c r="X20" s="21">
        <f ca="1">W20/W$645</f>
        <v>1.1610821741587576E-2</v>
      </c>
      <c r="Y20" s="22">
        <f ca="1">X20*Y$675</f>
        <v>5475.8609173023078</v>
      </c>
      <c r="Z20" s="2">
        <v>240000</v>
      </c>
      <c r="AA20" s="21">
        <f ca="1">Z20/Z$645</f>
        <v>1.166565435647015E-2</v>
      </c>
      <c r="AB20" s="22">
        <f ca="1">AA20*AB$675</f>
        <v>5600.7518170328931</v>
      </c>
      <c r="AC20" s="2">
        <v>240000</v>
      </c>
      <c r="AD20" s="21">
        <f ca="1">AC20/AC$645</f>
        <v>1.0105966527528444E-2</v>
      </c>
      <c r="AE20" s="22">
        <f ca="1">AD20*AE$675</f>
        <v>4944.1230050456688</v>
      </c>
      <c r="AF20" s="2">
        <v>240000</v>
      </c>
      <c r="AG20" s="21">
        <f ca="1">AF20/AF$645</f>
        <v>1.1002829362580202E-2</v>
      </c>
      <c r="AH20" s="22">
        <f ca="1">AG20*AH$675</f>
        <v>5479.785539385728</v>
      </c>
      <c r="AI20" s="2">
        <v>240000</v>
      </c>
      <c r="AJ20" s="21">
        <f ca="1">AI20/AI$645</f>
        <v>9.4131456764415655E-3</v>
      </c>
      <c r="AK20" s="22">
        <f ca="1">AJ20*AK$675</f>
        <v>4772.4539387068889</v>
      </c>
      <c r="AL20" s="2">
        <v>2400000</v>
      </c>
    </row>
    <row r="21" spans="1:38" ht="12.75" x14ac:dyDescent="0.2">
      <c r="A21" s="8" t="s">
        <v>16</v>
      </c>
      <c r="B21" s="8" t="s">
        <v>17</v>
      </c>
      <c r="C21" s="8" t="s">
        <v>18</v>
      </c>
      <c r="D21" s="8" t="s">
        <v>31</v>
      </c>
      <c r="E21" s="8" t="s">
        <v>35</v>
      </c>
      <c r="F21" s="8" t="s">
        <v>24</v>
      </c>
      <c r="G21" s="8" t="s">
        <v>376</v>
      </c>
      <c r="H21" s="20">
        <v>0</v>
      </c>
      <c r="I21" s="21">
        <f>H21/H$646</f>
        <v>0</v>
      </c>
      <c r="J21" s="22">
        <f>I21*J$676</f>
        <v>0</v>
      </c>
      <c r="K21" s="2">
        <v>0</v>
      </c>
      <c r="L21" s="21">
        <f ca="1">K21/K$646</f>
        <v>0</v>
      </c>
      <c r="M21" s="22">
        <f ca="1">L21*M$676</f>
        <v>0</v>
      </c>
      <c r="N21" s="2">
        <v>4432042.3444216019</v>
      </c>
      <c r="O21" s="21">
        <f ca="1">N21/N$646</f>
        <v>4.7280257719578556E-2</v>
      </c>
      <c r="P21" s="22">
        <f ca="1">O21*P$676</f>
        <v>803249.10443611722</v>
      </c>
      <c r="Q21" s="2">
        <v>6777584.27448586</v>
      </c>
      <c r="R21" s="21">
        <f ca="1">Q21/Q$646</f>
        <v>6.093714121665017E-2</v>
      </c>
      <c r="S21" s="22">
        <f ca="1">R21*S$676</f>
        <v>1059078.4334925958</v>
      </c>
      <c r="T21" s="2">
        <v>4608757.3066503843</v>
      </c>
      <c r="U21" s="21">
        <f ca="1">T21/T$646</f>
        <v>5.4933454565872737E-2</v>
      </c>
      <c r="V21" s="22">
        <f ca="1">U21*V$676</f>
        <v>974784.69447720831</v>
      </c>
      <c r="W21" s="2">
        <v>4700932.4527833918</v>
      </c>
      <c r="X21" s="21">
        <f ca="1">W21/W$646</f>
        <v>5.3782195784873643E-2</v>
      </c>
      <c r="Y21" s="22">
        <f ca="1">X21*Y$676</f>
        <v>973442.92187087657</v>
      </c>
      <c r="Z21" s="2">
        <v>4785549.2369334931</v>
      </c>
      <c r="AA21" s="21">
        <f ca="1">Z21/Z$646</f>
        <v>4.1231381990325174E-2</v>
      </c>
      <c r="AB21" s="22">
        <f ca="1">AA21*AB$676</f>
        <v>759709.63081311621</v>
      </c>
      <c r="AC21" s="2">
        <v>4871689.1231982959</v>
      </c>
      <c r="AD21" s="21">
        <f ca="1">AC21/AC$646</f>
        <v>4.6822541570136766E-2</v>
      </c>
      <c r="AE21" s="22">
        <f ca="1">AD21*AE$676</f>
        <v>879121.51377763948</v>
      </c>
      <c r="AF21" s="2">
        <v>4945738.7978709107</v>
      </c>
      <c r="AG21" s="21">
        <f ca="1">AF21/AF$646</f>
        <v>5.2539496783709422E-2</v>
      </c>
      <c r="AH21" s="22">
        <f ca="1">AG21*AH$676</f>
        <v>1004217.0973506203</v>
      </c>
      <c r="AI21" s="2">
        <v>7531371.041397823</v>
      </c>
      <c r="AJ21" s="21">
        <f ca="1">AI21/AI$646</f>
        <v>6.0958658510227533E-2</v>
      </c>
      <c r="AK21" s="22">
        <f ca="1">AJ21*AK$676</f>
        <v>1186109.7650112335</v>
      </c>
      <c r="AL21" s="2">
        <v>51167305.978199616</v>
      </c>
    </row>
    <row r="22" spans="1:38" ht="12.75" x14ac:dyDescent="0.2">
      <c r="A22" s="8" t="s">
        <v>16</v>
      </c>
      <c r="B22" s="8" t="s">
        <v>17</v>
      </c>
      <c r="C22" s="8" t="s">
        <v>18</v>
      </c>
      <c r="D22" s="8" t="s">
        <v>31</v>
      </c>
      <c r="E22" s="8" t="s">
        <v>35</v>
      </c>
      <c r="F22" s="23" t="s">
        <v>37</v>
      </c>
      <c r="G22" s="8" t="s">
        <v>377</v>
      </c>
      <c r="H22" s="20">
        <v>9231016.7870092969</v>
      </c>
      <c r="I22" s="21">
        <f>H22/H$649</f>
        <v>0.13028704962890897</v>
      </c>
      <c r="J22" s="22">
        <f>I22*J$679</f>
        <v>6273778.3563150158</v>
      </c>
      <c r="K22" s="2">
        <v>9494933.3286851849</v>
      </c>
      <c r="L22" s="21">
        <f ca="1">K22/K$649</f>
        <v>0.11320010320261446</v>
      </c>
      <c r="M22" s="22">
        <f ca="1">L22*M$679</f>
        <v>10338832.238138027</v>
      </c>
      <c r="N22" s="2">
        <v>0</v>
      </c>
      <c r="O22" s="21">
        <f ca="1">N22/N$649</f>
        <v>0</v>
      </c>
      <c r="P22" s="22">
        <f ca="1">O22*P$679</f>
        <v>0</v>
      </c>
      <c r="Q22" s="2">
        <v>0</v>
      </c>
      <c r="R22" s="21">
        <f ca="1">Q22/Q$649</f>
        <v>0</v>
      </c>
      <c r="S22" s="22">
        <f ca="1">R22*S$679</f>
        <v>0</v>
      </c>
      <c r="T22" s="2">
        <v>0</v>
      </c>
      <c r="U22" s="21">
        <f ca="1">T22/T$649</f>
        <v>0</v>
      </c>
      <c r="V22" s="22">
        <f ca="1">U22*V$679</f>
        <v>0</v>
      </c>
      <c r="W22" s="2">
        <v>0</v>
      </c>
      <c r="X22" s="21">
        <f ca="1">W22/W$649</f>
        <v>0</v>
      </c>
      <c r="Y22" s="22">
        <f ca="1">X22*Y$679</f>
        <v>0</v>
      </c>
      <c r="Z22" s="2">
        <v>0</v>
      </c>
      <c r="AA22" s="21">
        <f ca="1">Z22/Z$649</f>
        <v>0</v>
      </c>
      <c r="AB22" s="22">
        <f ca="1">AA22*AB$679</f>
        <v>0</v>
      </c>
      <c r="AC22" s="2">
        <v>0</v>
      </c>
      <c r="AD22" s="21">
        <f ca="1">AC22/AC$649</f>
        <v>0</v>
      </c>
      <c r="AE22" s="22">
        <f ca="1">AD22*AE$679</f>
        <v>0</v>
      </c>
      <c r="AF22" s="2">
        <v>0</v>
      </c>
      <c r="AG22" s="21">
        <f ca="1">AF22/AF$649</f>
        <v>0</v>
      </c>
      <c r="AH22" s="22">
        <f ca="1">AG22*AH$679</f>
        <v>0</v>
      </c>
      <c r="AI22" s="2">
        <v>0</v>
      </c>
      <c r="AJ22" s="21">
        <f ca="1">AI22/AI$649</f>
        <v>0</v>
      </c>
      <c r="AK22" s="22">
        <f ca="1">AJ22*AK$679</f>
        <v>0</v>
      </c>
      <c r="AL22" s="2">
        <v>0</v>
      </c>
    </row>
    <row r="23" spans="1:38" ht="12.75" x14ac:dyDescent="0.2">
      <c r="A23" s="8" t="s">
        <v>16</v>
      </c>
      <c r="B23" s="8" t="s">
        <v>17</v>
      </c>
      <c r="C23" s="8" t="s">
        <v>18</v>
      </c>
      <c r="D23" s="8" t="s">
        <v>31</v>
      </c>
      <c r="E23" s="8" t="s">
        <v>35</v>
      </c>
      <c r="F23" s="8" t="s">
        <v>25</v>
      </c>
      <c r="G23" s="8" t="s">
        <v>378</v>
      </c>
      <c r="H23" s="20">
        <v>0</v>
      </c>
      <c r="I23" s="21">
        <f>H23/H$652</f>
        <v>0</v>
      </c>
      <c r="J23" s="22">
        <f>I23*J$682</f>
        <v>0</v>
      </c>
      <c r="K23" s="2">
        <v>0</v>
      </c>
      <c r="L23" s="21">
        <f ca="1">K23/K$652</f>
        <v>0</v>
      </c>
      <c r="M23" s="22">
        <f ca="1">L23*M$682</f>
        <v>0</v>
      </c>
      <c r="N23" s="2">
        <v>584748.25986012025</v>
      </c>
      <c r="O23" s="21">
        <f ca="1">N23/N$652</f>
        <v>1.1717323629577904E-2</v>
      </c>
      <c r="P23" s="22">
        <f ca="1">O23*P$682</f>
        <v>433609.79810383898</v>
      </c>
      <c r="Q23" s="2">
        <v>892910.59280640376</v>
      </c>
      <c r="R23" s="21">
        <f ca="1">Q23/Q$652</f>
        <v>1.7989705026426599E-2</v>
      </c>
      <c r="S23" s="22">
        <f ca="1">R23*S$682</f>
        <v>681036.42095514492</v>
      </c>
      <c r="T23" s="2">
        <v>605843.06169787771</v>
      </c>
      <c r="U23" s="21">
        <f ca="1">T23/T$652</f>
        <v>1.3808474411176903E-2</v>
      </c>
      <c r="V23" s="22">
        <f ca="1">U23*V$682</f>
        <v>533725.23523931718</v>
      </c>
      <c r="W23" s="2">
        <v>617959.92293183529</v>
      </c>
      <c r="X23" s="21">
        <f ca="1">W23/W$652</f>
        <v>1.341417219827226E-2</v>
      </c>
      <c r="Y23" s="22">
        <f ca="1">X23*Y$682</f>
        <v>528854.3570419387</v>
      </c>
      <c r="Z23" s="2">
        <v>629083.20154460834</v>
      </c>
      <c r="AA23" s="21">
        <f ca="1">Z23/Z$652</f>
        <v>1.3615616683412744E-2</v>
      </c>
      <c r="AB23" s="22">
        <f ca="1">AA23*AB$682</f>
        <v>546458.64883150987</v>
      </c>
      <c r="AC23" s="2">
        <v>640406.69917241135</v>
      </c>
      <c r="AD23" s="21">
        <f ca="1">AC23/AC$652</f>
        <v>1.0280493815786182E-2</v>
      </c>
      <c r="AE23" s="22">
        <f ca="1">AD23*AE$682</f>
        <v>420443.98893269838</v>
      </c>
      <c r="AF23" s="2">
        <v>650140.88099983206</v>
      </c>
      <c r="AG23" s="21">
        <f ca="1">AF23/AF$652</f>
        <v>9.7135208848458995E-3</v>
      </c>
      <c r="AH23" s="22">
        <f ca="1">AG23*AH$682</f>
        <v>404406.96607054444</v>
      </c>
      <c r="AI23" s="2">
        <v>990034.53358654445</v>
      </c>
      <c r="AJ23" s="21">
        <f ca="1">AI23/AI$652</f>
        <v>1.321702556522871E-2</v>
      </c>
      <c r="AK23" s="22">
        <f ca="1">AJ23*AK$682</f>
        <v>560174.65791954193</v>
      </c>
      <c r="AL23" s="2">
        <v>6734387.4030926824</v>
      </c>
    </row>
    <row r="24" spans="1:38" ht="12.75" x14ac:dyDescent="0.2">
      <c r="A24" s="8" t="s">
        <v>16</v>
      </c>
      <c r="B24" s="8" t="s">
        <v>17</v>
      </c>
      <c r="C24" s="8" t="s">
        <v>18</v>
      </c>
      <c r="D24" s="8" t="s">
        <v>31</v>
      </c>
      <c r="E24" s="8" t="s">
        <v>35</v>
      </c>
      <c r="F24" s="8" t="s">
        <v>26</v>
      </c>
      <c r="G24" s="8" t="s">
        <v>379</v>
      </c>
      <c r="H24" s="20">
        <v>1240579.8541101487</v>
      </c>
      <c r="I24" s="21">
        <f>H24/H$655</f>
        <v>3.1278665923632813E-2</v>
      </c>
      <c r="J24" s="22">
        <f>I24*J$685</f>
        <v>75490.372076037471</v>
      </c>
      <c r="K24" s="2">
        <v>580000</v>
      </c>
      <c r="L24" s="21">
        <f ca="1">K24/K$655</f>
        <v>1.4609175951164996E-2</v>
      </c>
      <c r="M24" s="22">
        <f ca="1">L24*M$685</f>
        <v>40423.735948633053</v>
      </c>
      <c r="N24" s="2">
        <v>1300000</v>
      </c>
      <c r="O24" s="21">
        <f ca="1">N24/N$655</f>
        <v>1.1238732599043403E-2</v>
      </c>
      <c r="P24" s="22">
        <f ca="1">O24*P$685</f>
        <v>31906.22531158994</v>
      </c>
      <c r="Q24" s="2">
        <v>1300000</v>
      </c>
      <c r="R24" s="21">
        <f ca="1">Q24/Q$655</f>
        <v>9.33791142836949E-3</v>
      </c>
      <c r="S24" s="22">
        <f ca="1">R24*S$685</f>
        <v>27119.612084085064</v>
      </c>
      <c r="T24" s="2">
        <v>1300000</v>
      </c>
      <c r="U24" s="21">
        <f ca="1">T24/T$655</f>
        <v>1.308637003670949E-2</v>
      </c>
      <c r="V24" s="22">
        <f ca="1">U24*V$685</f>
        <v>38804.193470499253</v>
      </c>
      <c r="W24" s="2">
        <v>1300000</v>
      </c>
      <c r="X24" s="21">
        <f ca="1">W24/W$655</f>
        <v>1.2126330949447902E-2</v>
      </c>
      <c r="Y24" s="22">
        <f ca="1">X24*Y$685</f>
        <v>36676.598717664769</v>
      </c>
      <c r="Z24" s="2">
        <v>1300000</v>
      </c>
      <c r="AA24" s="21">
        <f ca="1">Z24/Z$655</f>
        <v>1.1269990253807082E-2</v>
      </c>
      <c r="AB24" s="22">
        <f ca="1">AA24*AB$685</f>
        <v>34700.118319229114</v>
      </c>
      <c r="AC24" s="2">
        <v>1300000</v>
      </c>
      <c r="AD24" s="21">
        <f ca="1">AC24/AC$655</f>
        <v>1.1539135509763123E-2</v>
      </c>
      <c r="AE24" s="22">
        <f ca="1">AD24*AE$685</f>
        <v>36203.859613020883</v>
      </c>
      <c r="AF24" s="2">
        <v>1300000</v>
      </c>
      <c r="AG24" s="21">
        <f ca="1">AF24/AF$655</f>
        <v>1.0792815086778148E-2</v>
      </c>
      <c r="AH24" s="22">
        <f ca="1">AG24*AH$685</f>
        <v>34471.812119595372</v>
      </c>
      <c r="AI24" s="2">
        <v>1300000</v>
      </c>
      <c r="AJ24" s="21">
        <f ca="1">AI24/AI$655</f>
        <v>7.0208712843671207E-3</v>
      </c>
      <c r="AK24" s="22">
        <f ca="1">AJ24*AK$685</f>
        <v>22828.015869243394</v>
      </c>
      <c r="AL24" s="2">
        <v>13000000</v>
      </c>
    </row>
    <row r="25" spans="1:38" ht="12.75" x14ac:dyDescent="0.2">
      <c r="A25" s="8" t="s">
        <v>16</v>
      </c>
      <c r="B25" s="8" t="s">
        <v>17</v>
      </c>
      <c r="C25" s="8" t="s">
        <v>18</v>
      </c>
      <c r="D25" s="8" t="s">
        <v>31</v>
      </c>
      <c r="E25" s="8" t="s">
        <v>35</v>
      </c>
      <c r="F25" s="8" t="s">
        <v>38</v>
      </c>
      <c r="G25" s="8" t="s">
        <v>380</v>
      </c>
      <c r="H25" s="20">
        <v>1321159.7082202975</v>
      </c>
      <c r="I25" s="21">
        <f>H25/H$656</f>
        <v>6.1721249566714827E-2</v>
      </c>
      <c r="J25" s="22">
        <f>I25*J$686</f>
        <v>2411585.4393693418</v>
      </c>
      <c r="K25" s="2">
        <v>0</v>
      </c>
      <c r="L25" s="21">
        <f ca="1">K25/K$656</f>
        <v>0</v>
      </c>
      <c r="M25" s="22">
        <f ca="1">L25*M$686</f>
        <v>0</v>
      </c>
      <c r="N25" s="2">
        <v>0</v>
      </c>
      <c r="O25" s="21">
        <f ca="1">N25/N$656</f>
        <v>0</v>
      </c>
      <c r="P25" s="22">
        <f ca="1">O25*P$686</f>
        <v>0</v>
      </c>
      <c r="Q25" s="2">
        <v>0</v>
      </c>
      <c r="R25" s="21">
        <f ca="1">Q25/Q$656</f>
        <v>0</v>
      </c>
      <c r="S25" s="22">
        <f ca="1">R25*S$686</f>
        <v>0</v>
      </c>
      <c r="T25" s="2">
        <v>0</v>
      </c>
      <c r="U25" s="21">
        <f ca="1">T25/T$656</f>
        <v>0</v>
      </c>
      <c r="V25" s="22">
        <f ca="1">U25*V$686</f>
        <v>0</v>
      </c>
      <c r="W25" s="2">
        <v>0</v>
      </c>
      <c r="X25" s="21">
        <f ca="1">W25/W$656</f>
        <v>0</v>
      </c>
      <c r="Y25" s="22">
        <f ca="1">X25*Y$686</f>
        <v>0</v>
      </c>
      <c r="Z25" s="2">
        <v>0</v>
      </c>
      <c r="AA25" s="21">
        <f ca="1">Z25/Z$656</f>
        <v>0</v>
      </c>
      <c r="AB25" s="22">
        <f ca="1">AA25*AB$686</f>
        <v>0</v>
      </c>
      <c r="AC25" s="2">
        <v>0</v>
      </c>
      <c r="AD25" s="21">
        <f ca="1">AC25/AC$656</f>
        <v>0</v>
      </c>
      <c r="AE25" s="22">
        <f ca="1">AD25*AE$686</f>
        <v>0</v>
      </c>
      <c r="AF25" s="2">
        <v>0</v>
      </c>
      <c r="AG25" s="21">
        <f ca="1">AF25/AF$656</f>
        <v>0</v>
      </c>
      <c r="AH25" s="22">
        <f ca="1">AG25*AH$686</f>
        <v>0</v>
      </c>
      <c r="AI25" s="2">
        <v>0</v>
      </c>
      <c r="AJ25" s="21">
        <f ca="1">AI25/AI$656</f>
        <v>0</v>
      </c>
      <c r="AK25" s="22">
        <f ca="1">AJ25*AK$686</f>
        <v>0</v>
      </c>
      <c r="AL25" s="2">
        <v>0</v>
      </c>
    </row>
    <row r="26" spans="1:38" ht="12.75" x14ac:dyDescent="0.2">
      <c r="A26" s="8" t="s">
        <v>16</v>
      </c>
      <c r="B26" s="8" t="s">
        <v>17</v>
      </c>
      <c r="C26" s="8" t="s">
        <v>18</v>
      </c>
      <c r="D26" s="8" t="s">
        <v>31</v>
      </c>
      <c r="E26" s="8" t="s">
        <v>35</v>
      </c>
      <c r="F26" s="8" t="s">
        <v>27</v>
      </c>
      <c r="G26" s="8" t="s">
        <v>381</v>
      </c>
      <c r="H26" s="20">
        <v>1815391.649864357</v>
      </c>
      <c r="I26" s="21">
        <f t="shared" ref="I26:I27" si="0">H26/H$657</f>
        <v>3.5593650322539562E-2</v>
      </c>
      <c r="J26" s="22">
        <f t="shared" ref="J26:J27" si="1">I26*J$687</f>
        <v>369212.25851634674</v>
      </c>
      <c r="K26" s="2">
        <v>230000</v>
      </c>
      <c r="L26" s="21">
        <f t="shared" ref="L26:L27" ca="1" si="2">K26/K$657</f>
        <v>5.8886285269862974E-3</v>
      </c>
      <c r="M26" s="22">
        <f t="shared" ref="M26:M27" ca="1" si="3">L26*M$687</f>
        <v>92490.032501908106</v>
      </c>
      <c r="N26" s="2">
        <v>0</v>
      </c>
      <c r="O26" s="21">
        <f t="shared" ref="O26:O27" ca="1" si="4">N26/N$657</f>
        <v>0</v>
      </c>
      <c r="P26" s="22">
        <f t="shared" ref="P26:P27" ca="1" si="5">O26*P$687</f>
        <v>0</v>
      </c>
      <c r="Q26" s="2">
        <v>0</v>
      </c>
      <c r="R26" s="21">
        <f t="shared" ref="R26:R27" ca="1" si="6">Q26/Q$657</f>
        <v>0</v>
      </c>
      <c r="S26" s="22">
        <f t="shared" ref="S26:S27" ca="1" si="7">R26*S$687</f>
        <v>0</v>
      </c>
      <c r="T26" s="2">
        <v>0</v>
      </c>
      <c r="U26" s="21">
        <f t="shared" ref="U26:U27" ca="1" si="8">T26/T$657</f>
        <v>0</v>
      </c>
      <c r="V26" s="22">
        <f t="shared" ref="V26:V27" ca="1" si="9">U26*V$687</f>
        <v>0</v>
      </c>
      <c r="W26" s="2">
        <v>0</v>
      </c>
      <c r="X26" s="21">
        <f t="shared" ref="X26:X27" ca="1" si="10">W26/W$657</f>
        <v>0</v>
      </c>
      <c r="Y26" s="22">
        <f t="shared" ref="Y26:Y27" ca="1" si="11">X26*Y$687</f>
        <v>0</v>
      </c>
      <c r="Z26" s="2">
        <v>0</v>
      </c>
      <c r="AA26" s="21">
        <f t="shared" ref="AA26:AA27" ca="1" si="12">Z26/Z$657</f>
        <v>0</v>
      </c>
      <c r="AB26" s="22">
        <f t="shared" ref="AB26:AB27" ca="1" si="13">AA26*AB$687</f>
        <v>0</v>
      </c>
      <c r="AC26" s="2">
        <v>0</v>
      </c>
      <c r="AD26" s="21">
        <f t="shared" ref="AD26:AD27" ca="1" si="14">AC26/AC$657</f>
        <v>0</v>
      </c>
      <c r="AE26" s="22">
        <f t="shared" ref="AE26:AE27" ca="1" si="15">AD26*AE$687</f>
        <v>0</v>
      </c>
      <c r="AF26" s="2">
        <v>0</v>
      </c>
      <c r="AG26" s="21">
        <f t="shared" ref="AG26:AG27" ca="1" si="16">AF26/AF$657</f>
        <v>0</v>
      </c>
      <c r="AH26" s="22">
        <f t="shared" ref="AH26:AH27" ca="1" si="17">AG26*AH$687</f>
        <v>0</v>
      </c>
      <c r="AI26" s="2">
        <v>0</v>
      </c>
      <c r="AJ26" s="21">
        <f t="shared" ref="AJ26:AJ27" ca="1" si="18">AI26/AI$657</f>
        <v>0</v>
      </c>
      <c r="AK26" s="22">
        <f t="shared" ref="AK26:AK27" ca="1" si="19">AJ26*AK$687</f>
        <v>0</v>
      </c>
      <c r="AL26" s="2">
        <v>0</v>
      </c>
    </row>
    <row r="27" spans="1:38" ht="12.75" x14ac:dyDescent="0.2">
      <c r="A27" s="8" t="s">
        <v>16</v>
      </c>
      <c r="B27" s="8" t="s">
        <v>17</v>
      </c>
      <c r="C27" s="8" t="s">
        <v>18</v>
      </c>
      <c r="D27" s="8" t="s">
        <v>31</v>
      </c>
      <c r="E27" s="8" t="s">
        <v>35</v>
      </c>
      <c r="F27" s="8" t="s">
        <v>27</v>
      </c>
      <c r="G27" s="8" t="s">
        <v>382</v>
      </c>
      <c r="H27" s="20">
        <v>230000</v>
      </c>
      <c r="I27" s="21">
        <f t="shared" si="0"/>
        <v>4.509517037161531E-3</v>
      </c>
      <c r="J27" s="22">
        <f t="shared" si="1"/>
        <v>46777.134545652858</v>
      </c>
      <c r="K27" s="2">
        <v>230000</v>
      </c>
      <c r="L27" s="21">
        <f t="shared" ca="1" si="2"/>
        <v>5.8886285269862974E-3</v>
      </c>
      <c r="M27" s="22">
        <f t="shared" ca="1" si="3"/>
        <v>92490.032501908106</v>
      </c>
      <c r="N27" s="2">
        <v>13832153.711920397</v>
      </c>
      <c r="O27" s="21">
        <f t="shared" ca="1" si="4"/>
        <v>0.2500870704614645</v>
      </c>
      <c r="P27" s="22">
        <f t="shared" ca="1" si="5"/>
        <v>4030132.950957302</v>
      </c>
      <c r="Q27" s="2">
        <v>21317772.111245967</v>
      </c>
      <c r="R27" s="21">
        <f t="shared" ca="1" si="6"/>
        <v>0.38597042697062012</v>
      </c>
      <c r="S27" s="22">
        <f t="shared" ca="1" si="7"/>
        <v>6362939.5660982095</v>
      </c>
      <c r="T27" s="2">
        <v>14638203.516388897</v>
      </c>
      <c r="U27" s="21">
        <f t="shared" ca="1" si="8"/>
        <v>0.37838927749882778</v>
      </c>
      <c r="V27" s="22">
        <f t="shared" ca="1" si="9"/>
        <v>6368957.2140739262</v>
      </c>
      <c r="W27" s="2">
        <v>15048073.214847786</v>
      </c>
      <c r="X27" s="21">
        <f t="shared" ca="1" si="10"/>
        <v>0.38401413319818051</v>
      </c>
      <c r="Y27" s="22">
        <f t="shared" ca="1" si="11"/>
        <v>6592906.0977606373</v>
      </c>
      <c r="Z27" s="2">
        <v>15469419.264863525</v>
      </c>
      <c r="AA27" s="21">
        <f t="shared" ca="1" si="12"/>
        <v>0.31892578232918095</v>
      </c>
      <c r="AB27" s="22">
        <f t="shared" ca="1" si="13"/>
        <v>5574001.6038767351</v>
      </c>
      <c r="AC27" s="2">
        <v>15747868.811631069</v>
      </c>
      <c r="AD27" s="21">
        <f t="shared" ca="1" si="14"/>
        <v>0.28670471276677634</v>
      </c>
      <c r="AE27" s="22">
        <f t="shared" ca="1" si="15"/>
        <v>5106066.6072238805</v>
      </c>
      <c r="AF27" s="2">
        <v>15987236.417567862</v>
      </c>
      <c r="AG27" s="21">
        <f t="shared" ca="1" si="16"/>
        <v>0.31988871847403261</v>
      </c>
      <c r="AH27" s="22">
        <f t="shared" ca="1" si="17"/>
        <v>5799604.0712182568</v>
      </c>
      <c r="AI27" s="2">
        <v>24345363.616672345</v>
      </c>
      <c r="AJ27" s="21">
        <f t="shared" ca="1" si="18"/>
        <v>0.43870785391436723</v>
      </c>
      <c r="AK27" s="22">
        <f t="shared" ca="1" si="19"/>
        <v>8096971.4736788487</v>
      </c>
      <c r="AL27" s="2">
        <v>162956684.38871172</v>
      </c>
    </row>
    <row r="28" spans="1:38" ht="12.75" x14ac:dyDescent="0.2">
      <c r="A28" s="8" t="s">
        <v>16</v>
      </c>
      <c r="B28" s="8" t="s">
        <v>17</v>
      </c>
      <c r="C28" s="8" t="s">
        <v>18</v>
      </c>
      <c r="D28" s="8" t="s">
        <v>31</v>
      </c>
      <c r="E28" s="8" t="s">
        <v>35</v>
      </c>
      <c r="F28" s="8" t="s">
        <v>28</v>
      </c>
      <c r="G28" s="8" t="s">
        <v>383</v>
      </c>
      <c r="H28" s="20">
        <v>5000</v>
      </c>
      <c r="I28" s="21">
        <f>H28/H$669</f>
        <v>5.8848246706125912E-4</v>
      </c>
      <c r="J28" s="22">
        <f>I28*J$699</f>
        <v>6558.6170869938524</v>
      </c>
      <c r="K28" s="2">
        <v>5000</v>
      </c>
      <c r="L28" s="21">
        <f ca="1">K28/K$669</f>
        <v>6.8924088724687572E-4</v>
      </c>
      <c r="M28" s="22">
        <f ca="1">L28*M$699</f>
        <v>3266.8108858244236</v>
      </c>
      <c r="N28" s="2">
        <v>3372911.1811425886</v>
      </c>
      <c r="O28" s="21">
        <f ca="1">N28/N$669</f>
        <v>0.1195879730648117</v>
      </c>
      <c r="P28" s="22">
        <f ca="1">O28*P$699</f>
        <v>581551.02722576982</v>
      </c>
      <c r="Q28" s="2">
        <v>5157935.778597096</v>
      </c>
      <c r="R28" s="21">
        <f ca="1">Q28/Q$669</f>
        <v>0.13645050105479825</v>
      </c>
      <c r="S28" s="22">
        <f ca="1">R28*S$699</f>
        <v>678814.46843030432</v>
      </c>
      <c r="T28" s="2">
        <v>3507396.3294460252</v>
      </c>
      <c r="U28" s="21">
        <f ca="1">T28/T$669</f>
        <v>0.12286297814453695</v>
      </c>
      <c r="V28" s="22">
        <f ca="1">U28*V$699</f>
        <v>624054.81154168036</v>
      </c>
      <c r="W28" s="2">
        <v>3577544.2560349456</v>
      </c>
      <c r="X28" s="21">
        <f ca="1">W28/W$669</f>
        <v>0.12825594202953597</v>
      </c>
      <c r="Y28" s="22">
        <f ca="1">X28*Y$699</f>
        <v>664476.09906153311</v>
      </c>
      <c r="Z28" s="2">
        <v>3641940.0526435748</v>
      </c>
      <c r="AA28" s="21">
        <f ca="1">Z28/Z$669</f>
        <v>0.12379442683961517</v>
      </c>
      <c r="AB28" s="22">
        <f ca="1">AA28*AB$699</f>
        <v>652906.12273965008</v>
      </c>
      <c r="AC28" s="2">
        <v>3707494.9735911591</v>
      </c>
      <c r="AD28" s="21">
        <f ca="1">AC28/AC$669</f>
        <v>0.11756134847654209</v>
      </c>
      <c r="AE28" s="22">
        <f ca="1">AD28*AE$699</f>
        <v>631812.75660441443</v>
      </c>
      <c r="AF28" s="2">
        <v>3763848.8971897452</v>
      </c>
      <c r="AG28" s="21">
        <f ca="1">AF28/AF$669</f>
        <v>9.3769646408206994E-2</v>
      </c>
      <c r="AH28" s="22">
        <f ca="1">AG28*AH$699</f>
        <v>513019.51733569801</v>
      </c>
      <c r="AI28" s="2">
        <v>5731589.1006405447</v>
      </c>
      <c r="AJ28" s="21">
        <f ca="1">AI28/AI$669</f>
        <v>0.13101377889757507</v>
      </c>
      <c r="AK28" s="22">
        <f ca="1">AJ28*AK$699</f>
        <v>729686.58300180989</v>
      </c>
      <c r="AL28" s="2">
        <v>38939785.550567925</v>
      </c>
    </row>
    <row r="29" spans="1:38" ht="12.75" x14ac:dyDescent="0.2">
      <c r="A29" s="8" t="s">
        <v>16</v>
      </c>
      <c r="B29" s="8" t="s">
        <v>17</v>
      </c>
      <c r="C29" s="8" t="s">
        <v>18</v>
      </c>
      <c r="D29" s="8" t="s">
        <v>19</v>
      </c>
      <c r="E29" s="8" t="s">
        <v>39</v>
      </c>
      <c r="F29" s="8" t="s">
        <v>24</v>
      </c>
      <c r="G29" s="8" t="s">
        <v>384</v>
      </c>
      <c r="H29" s="20">
        <v>38313.631538388625</v>
      </c>
      <c r="I29" s="21">
        <f>H29/H$646</f>
        <v>4.6661858304061776E-4</v>
      </c>
      <c r="J29" s="22">
        <f>I29*J$676</f>
        <v>1003.9952080135148</v>
      </c>
      <c r="K29" s="2">
        <v>5275.3408726124208</v>
      </c>
      <c r="L29" s="21">
        <f ca="1">K29/K$646</f>
        <v>8.3528370168691466E-5</v>
      </c>
      <c r="M29" s="22">
        <f ca="1">L29*M$676</f>
        <v>324.75941414319567</v>
      </c>
      <c r="N29" s="2">
        <v>0</v>
      </c>
      <c r="O29" s="21">
        <f ca="1">N29/N$646</f>
        <v>0</v>
      </c>
      <c r="P29" s="22">
        <f ca="1">O29*P$676</f>
        <v>0</v>
      </c>
      <c r="Q29" s="2">
        <v>0</v>
      </c>
      <c r="R29" s="21">
        <f ca="1">Q29/Q$646</f>
        <v>0</v>
      </c>
      <c r="S29" s="22">
        <f ca="1">R29*S$676</f>
        <v>0</v>
      </c>
      <c r="T29" s="2">
        <v>0</v>
      </c>
      <c r="U29" s="21">
        <f ca="1">T29/T$646</f>
        <v>0</v>
      </c>
      <c r="V29" s="22">
        <f ca="1">U29*V$676</f>
        <v>0</v>
      </c>
      <c r="W29" s="2">
        <v>0</v>
      </c>
      <c r="X29" s="21">
        <f ca="1">W29/W$646</f>
        <v>0</v>
      </c>
      <c r="Y29" s="22">
        <f ca="1">X29*Y$676</f>
        <v>0</v>
      </c>
      <c r="Z29" s="2">
        <v>0</v>
      </c>
      <c r="AA29" s="21">
        <f ca="1">Z29/Z$646</f>
        <v>0</v>
      </c>
      <c r="AB29" s="22">
        <f ca="1">AA29*AB$676</f>
        <v>0</v>
      </c>
      <c r="AC29" s="2">
        <v>104459.78301385978</v>
      </c>
      <c r="AD29" s="21">
        <f ca="1">AC29/AC$646</f>
        <v>1.0039787861838964E-3</v>
      </c>
      <c r="AE29" s="22">
        <f ca="1">AD29*AE$676</f>
        <v>18850.308435062721</v>
      </c>
      <c r="AF29" s="2">
        <v>19618.805297821673</v>
      </c>
      <c r="AG29" s="21">
        <f ca="1">AF29/AF$646</f>
        <v>2.0841419249412353E-4</v>
      </c>
      <c r="AH29" s="22">
        <f ca="1">AG29*AH$676</f>
        <v>3983.5382568417808</v>
      </c>
      <c r="AI29" s="2">
        <v>0</v>
      </c>
      <c r="AJ29" s="21">
        <f ca="1">AI29/AI$646</f>
        <v>0</v>
      </c>
      <c r="AK29" s="22">
        <f ca="1">AJ29*AK$676</f>
        <v>0</v>
      </c>
      <c r="AL29" s="2">
        <v>124078.58831168145</v>
      </c>
    </row>
    <row r="30" spans="1:38" ht="12.75" x14ac:dyDescent="0.2">
      <c r="A30" s="8" t="s">
        <v>16</v>
      </c>
      <c r="B30" s="8" t="s">
        <v>17</v>
      </c>
      <c r="C30" s="8" t="s">
        <v>18</v>
      </c>
      <c r="D30" s="8" t="s">
        <v>19</v>
      </c>
      <c r="E30" s="8" t="s">
        <v>39</v>
      </c>
      <c r="F30" s="8" t="s">
        <v>25</v>
      </c>
      <c r="G30" s="8" t="s">
        <v>385</v>
      </c>
      <c r="H30" s="20">
        <v>0</v>
      </c>
      <c r="I30" s="21">
        <f>H30/H$652</f>
        <v>0</v>
      </c>
      <c r="J30" s="22">
        <f>I30*J$682</f>
        <v>0</v>
      </c>
      <c r="K30" s="2">
        <v>13188.352181531051</v>
      </c>
      <c r="L30" s="21">
        <f ca="1">K30/K$652</f>
        <v>5.8705843429038794E-4</v>
      </c>
      <c r="M30" s="22">
        <f ca="1">L30*M$682</f>
        <v>21174.084075004444</v>
      </c>
      <c r="N30" s="2">
        <v>0</v>
      </c>
      <c r="O30" s="21">
        <f ca="1">N30/N$652</f>
        <v>0</v>
      </c>
      <c r="P30" s="22">
        <f ca="1">O30*P$682</f>
        <v>0</v>
      </c>
      <c r="Q30" s="2">
        <v>181517.91984787912</v>
      </c>
      <c r="R30" s="21">
        <f ca="1">Q30/Q$652</f>
        <v>3.657089367492687E-3</v>
      </c>
      <c r="S30" s="22">
        <f ca="1">R30*S$682</f>
        <v>138446.4642578444</v>
      </c>
      <c r="T30" s="2">
        <v>0</v>
      </c>
      <c r="U30" s="21">
        <f ca="1">T30/T$652</f>
        <v>0</v>
      </c>
      <c r="V30" s="22">
        <f ca="1">U30*V$682</f>
        <v>0</v>
      </c>
      <c r="W30" s="2">
        <v>0</v>
      </c>
      <c r="X30" s="21">
        <f ca="1">W30/W$652</f>
        <v>0</v>
      </c>
      <c r="Y30" s="22">
        <f ca="1">X30*Y$682</f>
        <v>0</v>
      </c>
      <c r="Z30" s="2">
        <v>0</v>
      </c>
      <c r="AA30" s="21">
        <f ca="1">Z30/Z$652</f>
        <v>0</v>
      </c>
      <c r="AB30" s="22">
        <f ca="1">AA30*AB$682</f>
        <v>0</v>
      </c>
      <c r="AC30" s="2">
        <v>0</v>
      </c>
      <c r="AD30" s="21">
        <f ca="1">AC30/AC$652</f>
        <v>0</v>
      </c>
      <c r="AE30" s="22">
        <f ca="1">AD30*AE$682</f>
        <v>0</v>
      </c>
      <c r="AF30" s="2">
        <v>0</v>
      </c>
      <c r="AG30" s="21">
        <f ca="1">AF30/AF$652</f>
        <v>0</v>
      </c>
      <c r="AH30" s="22">
        <f ca="1">AG30*AH$682</f>
        <v>0</v>
      </c>
      <c r="AI30" s="2">
        <v>0</v>
      </c>
      <c r="AJ30" s="21">
        <f ca="1">AI30/AI$652</f>
        <v>0</v>
      </c>
      <c r="AK30" s="22">
        <f ca="1">AJ30*AK$682</f>
        <v>0</v>
      </c>
      <c r="AL30" s="2">
        <v>181517.91984787912</v>
      </c>
    </row>
    <row r="31" spans="1:38" ht="12.75" x14ac:dyDescent="0.2">
      <c r="A31" s="8" t="s">
        <v>16</v>
      </c>
      <c r="B31" s="8" t="s">
        <v>17</v>
      </c>
      <c r="C31" s="8" t="s">
        <v>18</v>
      </c>
      <c r="D31" s="8" t="s">
        <v>19</v>
      </c>
      <c r="E31" s="8" t="s">
        <v>39</v>
      </c>
      <c r="F31" s="8" t="s">
        <v>28</v>
      </c>
      <c r="G31" s="8" t="s">
        <v>386</v>
      </c>
      <c r="H31" s="20">
        <v>0</v>
      </c>
      <c r="I31" s="21">
        <f>H31/H$669</f>
        <v>0</v>
      </c>
      <c r="J31" s="22">
        <f>I31*J$699</f>
        <v>0</v>
      </c>
      <c r="K31" s="2">
        <v>0</v>
      </c>
      <c r="L31" s="21">
        <f ca="1">K31/K$669</f>
        <v>0</v>
      </c>
      <c r="M31" s="22">
        <f ca="1">L31*M$699</f>
        <v>0</v>
      </c>
      <c r="N31" s="2">
        <v>0</v>
      </c>
      <c r="O31" s="21">
        <f ca="1">N31/N$669</f>
        <v>0</v>
      </c>
      <c r="P31" s="22">
        <f ca="1">O31*P$699</f>
        <v>0</v>
      </c>
      <c r="Q31" s="2">
        <v>0</v>
      </c>
      <c r="R31" s="21">
        <f ca="1">Q31/Q$669</f>
        <v>0</v>
      </c>
      <c r="S31" s="22">
        <f ca="1">R31*S$699</f>
        <v>0</v>
      </c>
      <c r="T31" s="2">
        <v>0</v>
      </c>
      <c r="U31" s="21">
        <f ca="1">T31/T$669</f>
        <v>0</v>
      </c>
      <c r="V31" s="22">
        <f ca="1">U31*V$699</f>
        <v>0</v>
      </c>
      <c r="W31" s="2">
        <v>0</v>
      </c>
      <c r="X31" s="21">
        <f ca="1">W31/W$669</f>
        <v>0</v>
      </c>
      <c r="Y31" s="22">
        <f ca="1">X31*Y$699</f>
        <v>0</v>
      </c>
      <c r="Z31" s="2">
        <v>0</v>
      </c>
      <c r="AA31" s="21">
        <f ca="1">Z31/Z$669</f>
        <v>0</v>
      </c>
      <c r="AB31" s="22">
        <f ca="1">AA31*AB$699</f>
        <v>0</v>
      </c>
      <c r="AC31" s="2">
        <v>0</v>
      </c>
      <c r="AD31" s="21">
        <f ca="1">AC31/AC$669</f>
        <v>0</v>
      </c>
      <c r="AE31" s="22">
        <f ca="1">AD31*AE$699</f>
        <v>0</v>
      </c>
      <c r="AF31" s="2">
        <v>0</v>
      </c>
      <c r="AG31" s="21">
        <f ca="1">AF31/AF$669</f>
        <v>0</v>
      </c>
      <c r="AH31" s="22">
        <f ca="1">AG31*AH$699</f>
        <v>0</v>
      </c>
      <c r="AI31" s="2">
        <v>0</v>
      </c>
      <c r="AJ31" s="21">
        <f ca="1">AI31/AI$669</f>
        <v>0</v>
      </c>
      <c r="AK31" s="22">
        <f ca="1">AJ31*AK$699</f>
        <v>0</v>
      </c>
      <c r="AL31" s="2">
        <v>0</v>
      </c>
    </row>
    <row r="32" spans="1:38" ht="12.75" x14ac:dyDescent="0.2">
      <c r="A32" s="8" t="s">
        <v>16</v>
      </c>
      <c r="B32" s="8" t="s">
        <v>17</v>
      </c>
      <c r="C32" s="8" t="s">
        <v>18</v>
      </c>
      <c r="D32" s="8" t="s">
        <v>19</v>
      </c>
      <c r="E32" s="8" t="s">
        <v>40</v>
      </c>
      <c r="F32" s="8" t="s">
        <v>24</v>
      </c>
      <c r="G32" s="8" t="s">
        <v>387</v>
      </c>
      <c r="H32" s="20">
        <v>50000</v>
      </c>
      <c r="I32" s="21">
        <f>H32/H$646</f>
        <v>6.0894590815945731E-4</v>
      </c>
      <c r="J32" s="22">
        <f>I32*J$676</f>
        <v>1310.2323738322148</v>
      </c>
      <c r="K32" s="2">
        <v>50000</v>
      </c>
      <c r="L32" s="21">
        <f ca="1">K32/K$646</f>
        <v>7.916869467368379E-4</v>
      </c>
      <c r="M32" s="22">
        <f ca="1">L32*M$676</f>
        <v>3078.089378349217</v>
      </c>
      <c r="N32" s="2">
        <v>0</v>
      </c>
      <c r="O32" s="21">
        <f ca="1">N32/N$646</f>
        <v>0</v>
      </c>
      <c r="P32" s="22">
        <f ca="1">O32*P$676</f>
        <v>0</v>
      </c>
      <c r="Q32" s="2">
        <v>29335.710749548281</v>
      </c>
      <c r="R32" s="21">
        <f ca="1">Q32/Q$646</f>
        <v>2.637568602968989E-4</v>
      </c>
      <c r="S32" s="22">
        <f ca="1">R32*S$676</f>
        <v>4584.0549269127814</v>
      </c>
      <c r="T32" s="2">
        <v>0</v>
      </c>
      <c r="U32" s="21">
        <f ca="1">T32/T$646</f>
        <v>0</v>
      </c>
      <c r="V32" s="22">
        <f ca="1">U32*V$676</f>
        <v>0</v>
      </c>
      <c r="W32" s="2">
        <v>0</v>
      </c>
      <c r="X32" s="21">
        <f ca="1">W32/W$646</f>
        <v>0</v>
      </c>
      <c r="Y32" s="22">
        <f ca="1">X32*Y$676</f>
        <v>0</v>
      </c>
      <c r="Z32" s="2">
        <v>0</v>
      </c>
      <c r="AA32" s="21">
        <f ca="1">Z32/Z$646</f>
        <v>0</v>
      </c>
      <c r="AB32" s="22">
        <f ca="1">AA32*AB$676</f>
        <v>0</v>
      </c>
      <c r="AC32" s="2">
        <v>0</v>
      </c>
      <c r="AD32" s="21">
        <f ca="1">AC32/AC$646</f>
        <v>0</v>
      </c>
      <c r="AE32" s="22">
        <f ca="1">AD32*AE$676</f>
        <v>0</v>
      </c>
      <c r="AF32" s="2">
        <v>0</v>
      </c>
      <c r="AG32" s="21">
        <f ca="1">AF32/AF$646</f>
        <v>0</v>
      </c>
      <c r="AH32" s="22">
        <f ca="1">AG32*AH$676</f>
        <v>0</v>
      </c>
      <c r="AI32" s="2">
        <v>0</v>
      </c>
      <c r="AJ32" s="21">
        <f ca="1">AI32/AI$646</f>
        <v>0</v>
      </c>
      <c r="AK32" s="22">
        <f ca="1">AJ32*AK$676</f>
        <v>0</v>
      </c>
      <c r="AL32" s="2">
        <v>29335.710749548281</v>
      </c>
    </row>
    <row r="33" spans="1:38" ht="12.75" x14ac:dyDescent="0.2">
      <c r="A33" s="8" t="s">
        <v>16</v>
      </c>
      <c r="B33" s="8" t="s">
        <v>17</v>
      </c>
      <c r="C33" s="8" t="s">
        <v>18</v>
      </c>
      <c r="D33" s="8" t="s">
        <v>19</v>
      </c>
      <c r="E33" s="8" t="s">
        <v>41</v>
      </c>
      <c r="F33" s="8" t="s">
        <v>21</v>
      </c>
      <c r="G33" s="8" t="s">
        <v>388</v>
      </c>
      <c r="H33" s="20">
        <v>0</v>
      </c>
      <c r="I33" s="21">
        <f>H33/H$645</f>
        <v>0</v>
      </c>
      <c r="J33" s="22">
        <f>I33*J$675</f>
        <v>0</v>
      </c>
      <c r="K33" s="2">
        <v>0</v>
      </c>
      <c r="L33" s="21">
        <f ca="1">K33/K$645</f>
        <v>0</v>
      </c>
      <c r="M33" s="22">
        <f ca="1">L33*M$675</f>
        <v>0</v>
      </c>
      <c r="N33" s="2">
        <v>34772.263144822246</v>
      </c>
      <c r="O33" s="21">
        <f ca="1">N33/N$645</f>
        <v>1.6006147809340481E-3</v>
      </c>
      <c r="P33" s="22">
        <f ca="1">O33*P$675</f>
        <v>708.5568859697313</v>
      </c>
      <c r="Q33" s="2">
        <v>0</v>
      </c>
      <c r="R33" s="21">
        <f ca="1">Q33/Q$645</f>
        <v>0</v>
      </c>
      <c r="S33" s="22">
        <f ca="1">R33*S$675</f>
        <v>0</v>
      </c>
      <c r="T33" s="2">
        <v>0</v>
      </c>
      <c r="U33" s="21">
        <f ca="1">T33/T$645</f>
        <v>0</v>
      </c>
      <c r="V33" s="22">
        <f ca="1">U33*V$675</f>
        <v>0</v>
      </c>
      <c r="W33" s="2">
        <v>0</v>
      </c>
      <c r="X33" s="21">
        <f ca="1">W33/W$645</f>
        <v>0</v>
      </c>
      <c r="Y33" s="22">
        <f ca="1">X33*Y$675</f>
        <v>0</v>
      </c>
      <c r="Z33" s="2">
        <v>0</v>
      </c>
      <c r="AA33" s="21">
        <f ca="1">Z33/Z$645</f>
        <v>0</v>
      </c>
      <c r="AB33" s="22">
        <f ca="1">AA33*AB$675</f>
        <v>0</v>
      </c>
      <c r="AC33" s="2">
        <v>24687.687187680684</v>
      </c>
      <c r="AD33" s="21">
        <f ca="1">AC33/AC$645</f>
        <v>1.0395539181699742E-3</v>
      </c>
      <c r="AE33" s="22">
        <f ca="1">AD33*AE$675</f>
        <v>508.57900902493031</v>
      </c>
      <c r="AF33" s="2">
        <v>0</v>
      </c>
      <c r="AG33" s="21">
        <f ca="1">AF33/AF$645</f>
        <v>0</v>
      </c>
      <c r="AH33" s="22">
        <f ca="1">AG33*AH$675</f>
        <v>0</v>
      </c>
      <c r="AI33" s="2">
        <v>45501.039971661849</v>
      </c>
      <c r="AJ33" s="21">
        <f ca="1">AI33/AI$645</f>
        <v>1.7846163236785149E-3</v>
      </c>
      <c r="AK33" s="22">
        <f ca="1">AJ33*AK$675</f>
        <v>904.7984059500717</v>
      </c>
      <c r="AL33" s="2">
        <v>104960.99030416478</v>
      </c>
    </row>
    <row r="34" spans="1:38" ht="12.75" x14ac:dyDescent="0.2">
      <c r="A34" s="8" t="s">
        <v>16</v>
      </c>
      <c r="B34" s="8" t="s">
        <v>17</v>
      </c>
      <c r="C34" s="8" t="s">
        <v>18</v>
      </c>
      <c r="D34" s="8" t="s">
        <v>19</v>
      </c>
      <c r="E34" s="8" t="s">
        <v>41</v>
      </c>
      <c r="F34" s="8" t="s">
        <v>24</v>
      </c>
      <c r="G34" s="8" t="s">
        <v>389</v>
      </c>
      <c r="H34" s="20">
        <v>71275.245098776824</v>
      </c>
      <c r="I34" s="21">
        <f>H34/H$646</f>
        <v>8.6805537711925126E-4</v>
      </c>
      <c r="J34" s="22">
        <f>I34*J$676</f>
        <v>1867.7426716248658</v>
      </c>
      <c r="K34" s="2">
        <v>77037.912899108225</v>
      </c>
      <c r="L34" s="21">
        <f ca="1">K34/K$646</f>
        <v>1.2197982009214689E-3</v>
      </c>
      <c r="M34" s="22">
        <f ca="1">L34*M$676</f>
        <v>4742.5916284987434</v>
      </c>
      <c r="N34" s="2">
        <v>500000</v>
      </c>
      <c r="O34" s="21">
        <f ca="1">N34/N$646</f>
        <v>5.3339131313905365E-3</v>
      </c>
      <c r="P34" s="22">
        <f ca="1">O34*P$676</f>
        <v>90618.392381463622</v>
      </c>
      <c r="Q34" s="2">
        <v>500000</v>
      </c>
      <c r="R34" s="21">
        <f ca="1">Q34/Q$646</f>
        <v>4.4954912214110968E-3</v>
      </c>
      <c r="S34" s="22">
        <f ca="1">R34*S$676</f>
        <v>78130.967510023052</v>
      </c>
      <c r="T34" s="2">
        <v>500000</v>
      </c>
      <c r="U34" s="21">
        <f ca="1">T34/T$646</f>
        <v>5.9596818524816214E-3</v>
      </c>
      <c r="V34" s="22">
        <f ca="1">U34*V$676</f>
        <v>105753.52851305547</v>
      </c>
      <c r="W34" s="2">
        <v>500000</v>
      </c>
      <c r="X34" s="21">
        <f ca="1">W34/W$646</f>
        <v>5.7203753005459108E-3</v>
      </c>
      <c r="Y34" s="22">
        <f ca="1">X34*Y$676</f>
        <v>103537.21646165191</v>
      </c>
      <c r="Z34" s="2">
        <v>500000</v>
      </c>
      <c r="AA34" s="21">
        <f ca="1">Z34/Z$646</f>
        <v>4.3079048975312199E-3</v>
      </c>
      <c r="AB34" s="22">
        <f ca="1">AA34*AB$676</f>
        <v>79375.385478211741</v>
      </c>
      <c r="AC34" s="2">
        <v>500000</v>
      </c>
      <c r="AD34" s="21">
        <f ca="1">AC34/AC$646</f>
        <v>4.8055756828955312E-3</v>
      </c>
      <c r="AE34" s="22">
        <f ca="1">AD34*AE$676</f>
        <v>90227.587551860284</v>
      </c>
      <c r="AF34" s="2">
        <v>500000</v>
      </c>
      <c r="AG34" s="21">
        <f ca="1">AF34/AF$646</f>
        <v>5.311592355658484E-3</v>
      </c>
      <c r="AH34" s="22">
        <f ca="1">AG34*AH$676</f>
        <v>101523.46680570002</v>
      </c>
      <c r="AI34" s="2">
        <v>500000</v>
      </c>
      <c r="AJ34" s="21">
        <f ca="1">AI34/AI$646</f>
        <v>4.0469828252488807E-3</v>
      </c>
      <c r="AK34" s="22">
        <f ca="1">AJ34*AK$676</f>
        <v>78744.610940791696</v>
      </c>
      <c r="AL34" s="2">
        <v>5000000</v>
      </c>
    </row>
    <row r="35" spans="1:38" ht="12.75" x14ac:dyDescent="0.2">
      <c r="A35" s="8" t="s">
        <v>16</v>
      </c>
      <c r="B35" s="8" t="s">
        <v>17</v>
      </c>
      <c r="C35" s="8" t="s">
        <v>18</v>
      </c>
      <c r="D35" s="8" t="s">
        <v>19</v>
      </c>
      <c r="E35" s="8" t="s">
        <v>41</v>
      </c>
      <c r="F35" s="8" t="s">
        <v>25</v>
      </c>
      <c r="G35" s="8" t="s">
        <v>390</v>
      </c>
      <c r="H35" s="20">
        <v>387337.97318074515</v>
      </c>
      <c r="I35" s="21">
        <f>H35/H$652</f>
        <v>2.7765773328437632E-2</v>
      </c>
      <c r="J35" s="22">
        <f>I35*J$682</f>
        <v>1998428.0411484609</v>
      </c>
      <c r="K35" s="2">
        <v>4018534.6027232883</v>
      </c>
      <c r="L35" s="21">
        <f ca="1">K35/K$652</f>
        <v>0.17887864985287402</v>
      </c>
      <c r="M35" s="22">
        <f ca="1">L35*M$682</f>
        <v>6451813.5673943954</v>
      </c>
      <c r="N35" s="2">
        <v>7059747.8361681644</v>
      </c>
      <c r="O35" s="21">
        <f ca="1">N35/N$652</f>
        <v>0.14146489321641212</v>
      </c>
      <c r="P35" s="22">
        <f ca="1">O35*P$682</f>
        <v>5235031.9685212355</v>
      </c>
      <c r="Q35" s="2">
        <v>7094019.9316888573</v>
      </c>
      <c r="R35" s="21">
        <f ca="1">Q35/Q$652</f>
        <v>0.14292508908598339</v>
      </c>
      <c r="S35" s="22">
        <f ca="1">R35*S$682</f>
        <v>5410716.3509811051</v>
      </c>
      <c r="T35" s="2">
        <v>7032738.6037854319</v>
      </c>
      <c r="U35" s="21">
        <f ca="1">T35/T$652</f>
        <v>0.1602913315186148</v>
      </c>
      <c r="V35" s="22">
        <f ca="1">U35*V$682</f>
        <v>6195581.5011938354</v>
      </c>
      <c r="W35" s="2">
        <v>7097000.694388153</v>
      </c>
      <c r="X35" s="21">
        <f ca="1">W35/W$652</f>
        <v>0.15405592801894641</v>
      </c>
      <c r="Y35" s="22">
        <f ca="1">X35*Y$682</f>
        <v>6073662.0610441249</v>
      </c>
      <c r="Z35" s="2">
        <v>7105920.6232476272</v>
      </c>
      <c r="AA35" s="21">
        <f ca="1">Z35/Z$652</f>
        <v>0.15379760761587657</v>
      </c>
      <c r="AB35" s="22">
        <f ca="1">AA35*AB$682</f>
        <v>6172620.3671463132</v>
      </c>
      <c r="AC35" s="2">
        <v>7069472.2079038741</v>
      </c>
      <c r="AD35" s="21">
        <f ca="1">AC35/AC$652</f>
        <v>0.11348673492664645</v>
      </c>
      <c r="AE35" s="22">
        <f ca="1">AD35*AE$682</f>
        <v>4641296.0679222113</v>
      </c>
      <c r="AF35" s="2">
        <v>7087897.2178315828</v>
      </c>
      <c r="AG35" s="21">
        <f ca="1">AF35/AF$652</f>
        <v>0.10589772104342722</v>
      </c>
      <c r="AH35" s="22">
        <f ca="1">AG35*AH$682</f>
        <v>4408882.8951580171</v>
      </c>
      <c r="AI35" s="2">
        <v>7168085.0439989632</v>
      </c>
      <c r="AJ35" s="21">
        <f ca="1">AI35/AI$652</f>
        <v>9.5694402635689513E-2</v>
      </c>
      <c r="AK35" s="22">
        <f ca="1">AJ35*AK$682</f>
        <v>4055797.5012386744</v>
      </c>
      <c r="AL35" s="2">
        <v>70946027.341967866</v>
      </c>
    </row>
    <row r="36" spans="1:38" ht="12.75" x14ac:dyDescent="0.2">
      <c r="A36" s="8" t="s">
        <v>16</v>
      </c>
      <c r="B36" s="8" t="s">
        <v>17</v>
      </c>
      <c r="C36" s="8" t="s">
        <v>18</v>
      </c>
      <c r="D36" s="8" t="s">
        <v>19</v>
      </c>
      <c r="E36" s="8" t="s">
        <v>41</v>
      </c>
      <c r="F36" s="8" t="s">
        <v>26</v>
      </c>
      <c r="G36" s="8" t="s">
        <v>391</v>
      </c>
      <c r="H36" s="20">
        <v>3189200.6227744264</v>
      </c>
      <c r="I36" s="21">
        <f>H36/H$655</f>
        <v>8.0409125226973133E-2</v>
      </c>
      <c r="J36" s="22">
        <f>I36*J$685</f>
        <v>194065.65473454466</v>
      </c>
      <c r="K36" s="2">
        <v>3626896.9495140966</v>
      </c>
      <c r="L36" s="21">
        <f ca="1">K36/K$655</f>
        <v>9.1355130503784535E-2</v>
      </c>
      <c r="M36" s="22">
        <f ca="1">L36*M$685</f>
        <v>252780.55965527685</v>
      </c>
      <c r="N36" s="2">
        <v>0</v>
      </c>
      <c r="O36" s="21">
        <f ca="1">N36/N$655</f>
        <v>0</v>
      </c>
      <c r="P36" s="22">
        <f ca="1">O36*P$685</f>
        <v>0</v>
      </c>
      <c r="Q36" s="2">
        <v>0</v>
      </c>
      <c r="R36" s="21">
        <f ca="1">Q36/Q$655</f>
        <v>0</v>
      </c>
      <c r="S36" s="22">
        <f ca="1">R36*S$685</f>
        <v>0</v>
      </c>
      <c r="T36" s="2">
        <v>0</v>
      </c>
      <c r="U36" s="21">
        <f ca="1">T36/T$655</f>
        <v>0</v>
      </c>
      <c r="V36" s="22">
        <f ca="1">U36*V$685</f>
        <v>0</v>
      </c>
      <c r="W36" s="2">
        <v>0</v>
      </c>
      <c r="X36" s="21">
        <f ca="1">W36/W$655</f>
        <v>0</v>
      </c>
      <c r="Y36" s="22">
        <f ca="1">X36*Y$685</f>
        <v>0</v>
      </c>
      <c r="Z36" s="2">
        <v>0</v>
      </c>
      <c r="AA36" s="21">
        <f ca="1">Z36/Z$655</f>
        <v>0</v>
      </c>
      <c r="AB36" s="22">
        <f ca="1">AA36*AB$685</f>
        <v>0</v>
      </c>
      <c r="AC36" s="2">
        <v>0</v>
      </c>
      <c r="AD36" s="21">
        <f ca="1">AC36/AC$655</f>
        <v>0</v>
      </c>
      <c r="AE36" s="22">
        <f ca="1">AD36*AE$685</f>
        <v>0</v>
      </c>
      <c r="AF36" s="2">
        <v>0</v>
      </c>
      <c r="AG36" s="21">
        <f ca="1">AF36/AF$655</f>
        <v>0</v>
      </c>
      <c r="AH36" s="22">
        <f ca="1">AG36*AH$685</f>
        <v>0</v>
      </c>
      <c r="AI36" s="2">
        <v>0</v>
      </c>
      <c r="AJ36" s="21">
        <f ca="1">AI36/AI$655</f>
        <v>0</v>
      </c>
      <c r="AK36" s="22">
        <f ca="1">AJ36*AK$685</f>
        <v>0</v>
      </c>
      <c r="AL36" s="2">
        <v>0</v>
      </c>
    </row>
    <row r="37" spans="1:38" ht="12.75" x14ac:dyDescent="0.2">
      <c r="A37" s="8" t="s">
        <v>16</v>
      </c>
      <c r="B37" s="8" t="s">
        <v>17</v>
      </c>
      <c r="C37" s="8" t="s">
        <v>18</v>
      </c>
      <c r="D37" s="8" t="s">
        <v>19</v>
      </c>
      <c r="E37" s="8" t="s">
        <v>41</v>
      </c>
      <c r="F37" s="8" t="s">
        <v>27</v>
      </c>
      <c r="G37" s="8" t="s">
        <v>392</v>
      </c>
      <c r="H37" s="20">
        <v>1056927.766576238</v>
      </c>
      <c r="I37" s="21">
        <f>H37/H$657</f>
        <v>2.0722755523585351E-2</v>
      </c>
      <c r="J37" s="22">
        <f>I37*J$687</f>
        <v>214956.74931379591</v>
      </c>
      <c r="K37" s="2">
        <v>0</v>
      </c>
      <c r="L37" s="21">
        <f ca="1">K37/K$657</f>
        <v>0</v>
      </c>
      <c r="M37" s="22">
        <f ca="1">L37*M$687</f>
        <v>0</v>
      </c>
      <c r="N37" s="2">
        <v>0</v>
      </c>
      <c r="O37" s="21">
        <f ca="1">N37/N$657</f>
        <v>0</v>
      </c>
      <c r="P37" s="22">
        <f ca="1">O37*P$687</f>
        <v>0</v>
      </c>
      <c r="Q37" s="2">
        <v>33870.656795582392</v>
      </c>
      <c r="R37" s="21">
        <f ca="1">Q37/Q$657</f>
        <v>6.1324756625340357E-4</v>
      </c>
      <c r="S37" s="22">
        <f ca="1">R37*S$687</f>
        <v>10109.73103238357</v>
      </c>
      <c r="T37" s="2">
        <v>143709.12041897135</v>
      </c>
      <c r="U37" s="21">
        <f ca="1">T37/T$657</f>
        <v>3.7147994413689591E-3</v>
      </c>
      <c r="V37" s="22">
        <f ca="1">U37*V$687</f>
        <v>62526.609784860826</v>
      </c>
      <c r="W37" s="2">
        <v>60947.664190414333</v>
      </c>
      <c r="X37" s="21">
        <f ca="1">W37/W$657</f>
        <v>1.5553329718945342E-3</v>
      </c>
      <c r="Y37" s="22">
        <f ca="1">X37*Y$687</f>
        <v>26702.569900362811</v>
      </c>
      <c r="Z37" s="2">
        <v>0</v>
      </c>
      <c r="AA37" s="21">
        <f ca="1">Z37/Z$657</f>
        <v>0</v>
      </c>
      <c r="AB37" s="22">
        <f ca="1">AA37*AB$687</f>
        <v>0</v>
      </c>
      <c r="AC37" s="2">
        <v>0</v>
      </c>
      <c r="AD37" s="21">
        <f ca="1">AC37/AC$657</f>
        <v>0</v>
      </c>
      <c r="AE37" s="22">
        <f ca="1">AD37*AE$687</f>
        <v>0</v>
      </c>
      <c r="AF37" s="2">
        <v>0</v>
      </c>
      <c r="AG37" s="21">
        <f ca="1">AF37/AF$657</f>
        <v>0</v>
      </c>
      <c r="AH37" s="22">
        <f ca="1">AG37*AH$687</f>
        <v>0</v>
      </c>
      <c r="AI37" s="2">
        <v>0</v>
      </c>
      <c r="AJ37" s="21">
        <f ca="1">AI37/AI$657</f>
        <v>0</v>
      </c>
      <c r="AK37" s="22">
        <f ca="1">AJ37*AK$687</f>
        <v>0</v>
      </c>
      <c r="AL37" s="2">
        <v>238527.44140496806</v>
      </c>
    </row>
    <row r="38" spans="1:38" ht="12.75" x14ac:dyDescent="0.2">
      <c r="A38" s="8" t="s">
        <v>16</v>
      </c>
      <c r="B38" s="8" t="s">
        <v>17</v>
      </c>
      <c r="C38" s="8" t="s">
        <v>18</v>
      </c>
      <c r="D38" s="8" t="s">
        <v>19</v>
      </c>
      <c r="E38" s="8" t="s">
        <v>41</v>
      </c>
      <c r="F38" s="8" t="s">
        <v>28</v>
      </c>
      <c r="G38" s="8" t="s">
        <v>393</v>
      </c>
      <c r="H38" s="20">
        <v>0</v>
      </c>
      <c r="I38" s="21">
        <f>H38/H$669</f>
        <v>0</v>
      </c>
      <c r="J38" s="22">
        <f>I38*J$699</f>
        <v>0</v>
      </c>
      <c r="K38" s="2">
        <v>26376.704363062101</v>
      </c>
      <c r="L38" s="21">
        <f ca="1">K38/K$669</f>
        <v>3.6359806235690918E-3</v>
      </c>
      <c r="M38" s="22">
        <f ca="1">L38*M$699</f>
        <v>17233.540989084766</v>
      </c>
      <c r="N38" s="2">
        <v>142377.26578455628</v>
      </c>
      <c r="O38" s="21">
        <f ca="1">N38/N$669</f>
        <v>5.0480453564499773E-3</v>
      </c>
      <c r="P38" s="22">
        <f ca="1">O38*P$699</f>
        <v>24548.421444811484</v>
      </c>
      <c r="Q38" s="2">
        <v>142911.18634535067</v>
      </c>
      <c r="R38" s="21">
        <f ca="1">Q38/Q$669</f>
        <v>3.7806409036877575E-3</v>
      </c>
      <c r="S38" s="22">
        <f ca="1">R38*S$699</f>
        <v>18807.946658488472</v>
      </c>
      <c r="T38" s="2">
        <v>0</v>
      </c>
      <c r="U38" s="21">
        <f ca="1">T38/T$669</f>
        <v>0</v>
      </c>
      <c r="V38" s="22">
        <f ca="1">U38*V$699</f>
        <v>0</v>
      </c>
      <c r="W38" s="2">
        <v>294461.85163351253</v>
      </c>
      <c r="X38" s="21">
        <f ca="1">W38/W$669</f>
        <v>1.0556538080363219E-2</v>
      </c>
      <c r="Y38" s="22">
        <f ca="1">X38*Y$699</f>
        <v>54691.9474625113</v>
      </c>
      <c r="Z38" s="2">
        <v>151109.57890124974</v>
      </c>
      <c r="AA38" s="21">
        <f ca="1">Z38/Z$669</f>
        <v>5.136417250052568E-3</v>
      </c>
      <c r="AB38" s="22">
        <f ca="1">AA38*AB$699</f>
        <v>27090.058552068036</v>
      </c>
      <c r="AC38" s="2">
        <v>158477.24790078233</v>
      </c>
      <c r="AD38" s="21">
        <f ca="1">AC38/AC$669</f>
        <v>5.0251717396183086E-3</v>
      </c>
      <c r="AE38" s="22">
        <f ca="1">AD38*AE$699</f>
        <v>27006.900230073232</v>
      </c>
      <c r="AF38" s="2">
        <v>148502.04857398657</v>
      </c>
      <c r="AG38" s="21">
        <f ca="1">AF38/AF$669</f>
        <v>3.6996662103184071E-3</v>
      </c>
      <c r="AH38" s="22">
        <f ca="1">AG38*AH$699</f>
        <v>20241.101958070532</v>
      </c>
      <c r="AI38" s="2">
        <v>146588.43997050391</v>
      </c>
      <c r="AJ38" s="21">
        <f ca="1">AI38/AI$669</f>
        <v>3.3507470835775284E-3</v>
      </c>
      <c r="AK38" s="22">
        <f ca="1">AJ38*AK$699</f>
        <v>18662.122491943639</v>
      </c>
      <c r="AL38" s="2">
        <v>1472760.900732968</v>
      </c>
    </row>
    <row r="39" spans="1:38" ht="12.75" x14ac:dyDescent="0.2">
      <c r="A39" s="8" t="s">
        <v>16</v>
      </c>
      <c r="B39" s="8" t="s">
        <v>17</v>
      </c>
      <c r="C39" s="8" t="s">
        <v>18</v>
      </c>
      <c r="D39" s="8" t="s">
        <v>19</v>
      </c>
      <c r="E39" s="8" t="s">
        <v>42</v>
      </c>
      <c r="F39" s="8" t="s">
        <v>24</v>
      </c>
      <c r="G39" s="8" t="s">
        <v>394</v>
      </c>
      <c r="H39" s="20">
        <v>1176889.0680826411</v>
      </c>
      <c r="I39" s="21">
        <f>H39/H$646</f>
        <v>1.4333235647330427E-2</v>
      </c>
      <c r="J39" s="22">
        <f>I39*J$676</f>
        <v>30839.963148222039</v>
      </c>
      <c r="K39" s="2">
        <v>1019857.9118682325</v>
      </c>
      <c r="L39" s="21">
        <f ca="1">K39/K$646</f>
        <v>1.6148163927047363E-2</v>
      </c>
      <c r="M39" s="22">
        <f ca="1">L39*M$676</f>
        <v>62784.276118940375</v>
      </c>
      <c r="N39" s="2">
        <v>1096930.3264644886</v>
      </c>
      <c r="O39" s="21">
        <f ca="1">N39/N$646</f>
        <v>1.1701862145098886E-2</v>
      </c>
      <c r="P39" s="22">
        <f ca="1">O39*P$676</f>
        <v>198804.125477372</v>
      </c>
      <c r="Q39" s="2">
        <v>10769449.739088209</v>
      </c>
      <c r="R39" s="21">
        <f ca="1">Q39/Q$646</f>
        <v>9.682793352299815E-2</v>
      </c>
      <c r="S39" s="22">
        <f ca="1">R39*S$676</f>
        <v>1682855.0553310544</v>
      </c>
      <c r="T39" s="2">
        <v>1806146.6903043359</v>
      </c>
      <c r="U39" s="21">
        <f ca="1">T39/T$646</f>
        <v>2.1528119306252987E-2</v>
      </c>
      <c r="V39" s="22">
        <f ca="1">U39*V$676</f>
        <v>382012.77102372074</v>
      </c>
      <c r="W39" s="2">
        <v>888355.52991497808</v>
      </c>
      <c r="X39" s="21">
        <f ca="1">W39/W$646</f>
        <v>1.0163454062858028E-2</v>
      </c>
      <c r="Y39" s="22">
        <f ca="1">X39*Y$676</f>
        <v>183955.71759142514</v>
      </c>
      <c r="Z39" s="2">
        <v>0</v>
      </c>
      <c r="AA39" s="21">
        <f ca="1">Z39/Z$646</f>
        <v>0</v>
      </c>
      <c r="AB39" s="22">
        <f ca="1">AA39*AB$676</f>
        <v>0</v>
      </c>
      <c r="AC39" s="2">
        <v>1164513.0690758838</v>
      </c>
      <c r="AD39" s="21">
        <f ca="1">AC39/AC$646</f>
        <v>1.1192311374330223E-2</v>
      </c>
      <c r="AE39" s="22">
        <f ca="1">AD39*AE$676</f>
        <v>210142.40979065967</v>
      </c>
      <c r="AF39" s="2">
        <v>610152.83615561202</v>
      </c>
      <c r="AG39" s="21">
        <f ca="1">AF39/AF$646</f>
        <v>6.4817662806149852E-3</v>
      </c>
      <c r="AH39" s="22">
        <f ca="1">AG39*AH$676</f>
        <v>123889.66241569602</v>
      </c>
      <c r="AI39" s="2">
        <v>1404075.0092897958</v>
      </c>
      <c r="AJ39" s="21">
        <f ca="1">AI39/AI$646</f>
        <v>1.1364534895913931E-2</v>
      </c>
      <c r="AK39" s="22">
        <f ca="1">AJ39*AK$676</f>
        <v>221126.68067642688</v>
      </c>
      <c r="AL39" s="2">
        <v>22145495.776197337</v>
      </c>
    </row>
    <row r="40" spans="1:38" ht="12.75" x14ac:dyDescent="0.2">
      <c r="A40" s="8" t="s">
        <v>16</v>
      </c>
      <c r="B40" s="8" t="s">
        <v>17</v>
      </c>
      <c r="C40" s="8" t="s">
        <v>18</v>
      </c>
      <c r="D40" s="8" t="s">
        <v>19</v>
      </c>
      <c r="E40" s="8" t="s">
        <v>42</v>
      </c>
      <c r="F40" s="23" t="s">
        <v>22</v>
      </c>
      <c r="G40" s="8" t="s">
        <v>395</v>
      </c>
      <c r="H40" s="20">
        <v>1406914.8637211688</v>
      </c>
      <c r="I40" s="21">
        <f>H40/H$650</f>
        <v>2.8143683829078701E-2</v>
      </c>
      <c r="J40" s="22">
        <f>I40*J$680</f>
        <v>482511.47004024312</v>
      </c>
      <c r="K40" s="2">
        <v>727949.56235266046</v>
      </c>
      <c r="L40" s="21">
        <f ca="1">K40/K$650</f>
        <v>1.7136354698009247E-2</v>
      </c>
      <c r="M40" s="22">
        <f ca="1">L40*M$680</f>
        <v>189294.37735461083</v>
      </c>
      <c r="N40" s="2">
        <v>3883640.228605818</v>
      </c>
      <c r="O40" s="21">
        <f ca="1">N40/N$650</f>
        <v>4.9013680119229623E-2</v>
      </c>
      <c r="P40" s="22">
        <f ca="1">O40*P$680</f>
        <v>555499.84764346574</v>
      </c>
      <c r="Q40" s="2">
        <v>4022194.2260478241</v>
      </c>
      <c r="R40" s="21">
        <f ca="1">Q40/Q$650</f>
        <v>6.388083471993318E-2</v>
      </c>
      <c r="S40" s="22">
        <f ca="1">R40*S$680</f>
        <v>740649.69464758737</v>
      </c>
      <c r="T40" s="2">
        <v>4476207.0054170396</v>
      </c>
      <c r="U40" s="21">
        <f ca="1">T40/T$650</f>
        <v>0.15711471016330644</v>
      </c>
      <c r="V40" s="22">
        <f ca="1">U40*V$680</f>
        <v>1859879.7095511637</v>
      </c>
      <c r="W40" s="2">
        <v>15156253.199919334</v>
      </c>
      <c r="X40" s="21">
        <f ca="1">W40/W$650</f>
        <v>0.38069305012748678</v>
      </c>
      <c r="Y40" s="22">
        <f ca="1">X40*Y$680</f>
        <v>4596667.9017549586</v>
      </c>
      <c r="Z40" s="2">
        <v>6108314.6328687379</v>
      </c>
      <c r="AA40" s="21">
        <f ca="1">Z40/Z$650</f>
        <v>0.18693064443918897</v>
      </c>
      <c r="AB40" s="22">
        <f ca="1">AA40*AB$680</f>
        <v>2297716.5945803388</v>
      </c>
      <c r="AC40" s="2">
        <v>5259481.4733419921</v>
      </c>
      <c r="AD40" s="21">
        <f ca="1">AC40/AC$650</f>
        <v>0.16481030756737849</v>
      </c>
      <c r="AE40" s="22">
        <f ca="1">AD40*AE$680</f>
        <v>2064308.0763537725</v>
      </c>
      <c r="AF40" s="2">
        <v>7405984.0598870441</v>
      </c>
      <c r="AG40" s="21">
        <f ca="1">AF40/AF$650</f>
        <v>0.21005919121343461</v>
      </c>
      <c r="AH40" s="22">
        <f ca="1">AG40*AH$680</f>
        <v>2678425.7328689205</v>
      </c>
      <c r="AI40" s="2">
        <v>12255828.766314294</v>
      </c>
      <c r="AJ40" s="21">
        <f ca="1">AI40/AI$650</f>
        <v>0.25856958330947416</v>
      </c>
      <c r="AK40" s="22">
        <f ca="1">AJ40*AK$680</f>
        <v>3356318.2400643169</v>
      </c>
      <c r="AL40" s="2">
        <v>65384001.164690614</v>
      </c>
    </row>
    <row r="41" spans="1:38" ht="12.75" x14ac:dyDescent="0.2">
      <c r="A41" s="8" t="s">
        <v>16</v>
      </c>
      <c r="B41" s="8" t="s">
        <v>17</v>
      </c>
      <c r="C41" s="8" t="s">
        <v>18</v>
      </c>
      <c r="D41" s="8" t="s">
        <v>19</v>
      </c>
      <c r="E41" s="8" t="s">
        <v>42</v>
      </c>
      <c r="F41" s="8" t="s">
        <v>25</v>
      </c>
      <c r="G41" s="8" t="s">
        <v>396</v>
      </c>
      <c r="H41" s="20">
        <v>1877229.9766727134</v>
      </c>
      <c r="I41" s="21">
        <f>H41/H$652</f>
        <v>0.13456656880197121</v>
      </c>
      <c r="J41" s="22">
        <f>I41*J$682</f>
        <v>9685363.3901694398</v>
      </c>
      <c r="K41" s="2">
        <v>2613741.9385120147</v>
      </c>
      <c r="L41" s="21">
        <f ca="1">K41/K$652</f>
        <v>0.1163465479948879</v>
      </c>
      <c r="M41" s="22">
        <f ca="1">L41*M$682</f>
        <v>4196399.27677406</v>
      </c>
      <c r="N41" s="2">
        <v>0</v>
      </c>
      <c r="O41" s="21">
        <f ca="1">N41/N$652</f>
        <v>0</v>
      </c>
      <c r="P41" s="22">
        <f ca="1">O41*P$682</f>
        <v>0</v>
      </c>
      <c r="Q41" s="2">
        <v>0</v>
      </c>
      <c r="R41" s="21">
        <f ca="1">Q41/Q$652</f>
        <v>0</v>
      </c>
      <c r="S41" s="22">
        <f ca="1">R41*S$682</f>
        <v>0</v>
      </c>
      <c r="T41" s="2">
        <v>0</v>
      </c>
      <c r="U41" s="21">
        <f ca="1">T41/T$652</f>
        <v>0</v>
      </c>
      <c r="V41" s="22">
        <f ca="1">U41*V$682</f>
        <v>0</v>
      </c>
      <c r="W41" s="2">
        <v>0</v>
      </c>
      <c r="X41" s="21">
        <f ca="1">W41/W$652</f>
        <v>0</v>
      </c>
      <c r="Y41" s="22">
        <f ca="1">X41*Y$682</f>
        <v>0</v>
      </c>
      <c r="Z41" s="2">
        <v>0</v>
      </c>
      <c r="AA41" s="21">
        <f ca="1">Z41/Z$652</f>
        <v>0</v>
      </c>
      <c r="AB41" s="22">
        <f ca="1">AA41*AB$682</f>
        <v>0</v>
      </c>
      <c r="AC41" s="2">
        <v>0</v>
      </c>
      <c r="AD41" s="21">
        <f ca="1">AC41/AC$652</f>
        <v>0</v>
      </c>
      <c r="AE41" s="22">
        <f ca="1">AD41*AE$682</f>
        <v>0</v>
      </c>
      <c r="AF41" s="2">
        <v>0</v>
      </c>
      <c r="AG41" s="21">
        <f ca="1">AF41/AF$652</f>
        <v>0</v>
      </c>
      <c r="AH41" s="22">
        <f ca="1">AG41*AH$682</f>
        <v>0</v>
      </c>
      <c r="AI41" s="2">
        <v>0</v>
      </c>
      <c r="AJ41" s="21">
        <f ca="1">AI41/AI$652</f>
        <v>0</v>
      </c>
      <c r="AK41" s="22">
        <f ca="1">AJ41*AK$682</f>
        <v>0</v>
      </c>
      <c r="AL41" s="2">
        <v>1056927.766576238</v>
      </c>
    </row>
    <row r="42" spans="1:38" ht="12.75" x14ac:dyDescent="0.2">
      <c r="A42" s="8" t="s">
        <v>16</v>
      </c>
      <c r="B42" s="8" t="s">
        <v>17</v>
      </c>
      <c r="C42" s="8" t="s">
        <v>18</v>
      </c>
      <c r="D42" s="8" t="s">
        <v>19</v>
      </c>
      <c r="E42" s="8" t="s">
        <v>42</v>
      </c>
      <c r="F42" s="8" t="s">
        <v>26</v>
      </c>
      <c r="G42" s="8" t="s">
        <v>397</v>
      </c>
      <c r="H42" s="20">
        <v>769689.5329095457</v>
      </c>
      <c r="I42" s="21">
        <f>H42/H$655</f>
        <v>1.9406136320070457E-2</v>
      </c>
      <c r="J42" s="22">
        <f>I42*J$685</f>
        <v>46836.283073491009</v>
      </c>
      <c r="K42" s="2">
        <v>952416.63531753712</v>
      </c>
      <c r="L42" s="21">
        <f ca="1">K42/K$655</f>
        <v>2.3989693455466286E-2</v>
      </c>
      <c r="M42" s="22">
        <f ca="1">L42*M$685</f>
        <v>66379.721688209771</v>
      </c>
      <c r="N42" s="2">
        <v>0</v>
      </c>
      <c r="O42" s="21">
        <f ca="1">N42/N$655</f>
        <v>0</v>
      </c>
      <c r="P42" s="22">
        <f ca="1">O42*P$685</f>
        <v>0</v>
      </c>
      <c r="Q42" s="2">
        <v>0</v>
      </c>
      <c r="R42" s="21">
        <f ca="1">Q42/Q$655</f>
        <v>0</v>
      </c>
      <c r="S42" s="22">
        <f ca="1">R42*S$685</f>
        <v>0</v>
      </c>
      <c r="T42" s="2">
        <v>0</v>
      </c>
      <c r="U42" s="21">
        <f ca="1">T42/T$655</f>
        <v>0</v>
      </c>
      <c r="V42" s="22">
        <f ca="1">U42*V$685</f>
        <v>0</v>
      </c>
      <c r="W42" s="2">
        <v>0</v>
      </c>
      <c r="X42" s="21">
        <f ca="1">W42/W$655</f>
        <v>0</v>
      </c>
      <c r="Y42" s="22">
        <f ca="1">X42*Y$685</f>
        <v>0</v>
      </c>
      <c r="Z42" s="2">
        <v>144647.30234002625</v>
      </c>
      <c r="AA42" s="21">
        <f ca="1">Z42/Z$655</f>
        <v>1.253979759701217E-3</v>
      </c>
      <c r="AB42" s="22">
        <f ca="1">AA42*AB$685</f>
        <v>3860.9834659663206</v>
      </c>
      <c r="AC42" s="2">
        <v>0</v>
      </c>
      <c r="AD42" s="21">
        <f ca="1">AC42/AC$655</f>
        <v>0</v>
      </c>
      <c r="AE42" s="22">
        <f ca="1">AD42*AE$685</f>
        <v>0</v>
      </c>
      <c r="AF42" s="2">
        <v>0</v>
      </c>
      <c r="AG42" s="21">
        <f ca="1">AF42/AF$655</f>
        <v>0</v>
      </c>
      <c r="AH42" s="22">
        <f ca="1">AG42*AH$685</f>
        <v>0</v>
      </c>
      <c r="AI42" s="2">
        <v>0</v>
      </c>
      <c r="AJ42" s="21">
        <f ca="1">AI42/AI$655</f>
        <v>0</v>
      </c>
      <c r="AK42" s="22">
        <f ca="1">AJ42*AK$685</f>
        <v>0</v>
      </c>
      <c r="AL42" s="2">
        <v>171024.00670308835</v>
      </c>
    </row>
    <row r="43" spans="1:38" ht="12.75" x14ac:dyDescent="0.2">
      <c r="A43" s="8" t="s">
        <v>16</v>
      </c>
      <c r="B43" s="8" t="s">
        <v>17</v>
      </c>
      <c r="C43" s="8" t="s">
        <v>18</v>
      </c>
      <c r="D43" s="8" t="s">
        <v>19</v>
      </c>
      <c r="E43" s="8" t="s">
        <v>42</v>
      </c>
      <c r="F43" s="8" t="s">
        <v>27</v>
      </c>
      <c r="G43" s="8" t="s">
        <v>398</v>
      </c>
      <c r="H43" s="20">
        <v>1321159.7082202975</v>
      </c>
      <c r="I43" s="21">
        <f>H43/H$657</f>
        <v>2.5903444404481692E-2</v>
      </c>
      <c r="J43" s="22">
        <f>I43*J$687</f>
        <v>268695.93664224492</v>
      </c>
      <c r="K43" s="2">
        <v>0</v>
      </c>
      <c r="L43" s="21">
        <f ca="1">K43/K$657</f>
        <v>0</v>
      </c>
      <c r="M43" s="22">
        <f ca="1">L43*M$687</f>
        <v>0</v>
      </c>
      <c r="N43" s="2">
        <v>0</v>
      </c>
      <c r="O43" s="21">
        <f ca="1">N43/N$657</f>
        <v>0</v>
      </c>
      <c r="P43" s="22">
        <f ca="1">O43*P$687</f>
        <v>0</v>
      </c>
      <c r="Q43" s="2">
        <v>0</v>
      </c>
      <c r="R43" s="21">
        <f ca="1">Q43/Q$657</f>
        <v>0</v>
      </c>
      <c r="S43" s="22">
        <f ca="1">R43*S$687</f>
        <v>0</v>
      </c>
      <c r="T43" s="2">
        <v>0</v>
      </c>
      <c r="U43" s="21">
        <f ca="1">T43/T$657</f>
        <v>0</v>
      </c>
      <c r="V43" s="22">
        <f ca="1">U43*V$687</f>
        <v>0</v>
      </c>
      <c r="W43" s="2">
        <v>0</v>
      </c>
      <c r="X43" s="21">
        <f ca="1">W43/W$657</f>
        <v>0</v>
      </c>
      <c r="Y43" s="22">
        <f ca="1">X43*Y$687</f>
        <v>0</v>
      </c>
      <c r="Z43" s="2">
        <v>0</v>
      </c>
      <c r="AA43" s="21">
        <f ca="1">Z43/Z$657</f>
        <v>0</v>
      </c>
      <c r="AB43" s="22">
        <f ca="1">AA43*AB$687</f>
        <v>0</v>
      </c>
      <c r="AC43" s="2">
        <v>0</v>
      </c>
      <c r="AD43" s="21">
        <f ca="1">AC43/AC$657</f>
        <v>0</v>
      </c>
      <c r="AE43" s="22">
        <f ca="1">AD43*AE$687</f>
        <v>0</v>
      </c>
      <c r="AF43" s="2">
        <v>79652.375667563058</v>
      </c>
      <c r="AG43" s="21">
        <f ca="1">AF43/AF$657</f>
        <v>1.5937649078429791E-3</v>
      </c>
      <c r="AH43" s="22">
        <f ca="1">AG43*AH$687</f>
        <v>28895.065422075084</v>
      </c>
      <c r="AI43" s="2">
        <v>0</v>
      </c>
      <c r="AJ43" s="21">
        <f ca="1">AI43/AI$657</f>
        <v>0</v>
      </c>
      <c r="AK43" s="22">
        <f ca="1">AJ43*AK$687</f>
        <v>0</v>
      </c>
      <c r="AL43" s="2">
        <v>123241.3480785641</v>
      </c>
    </row>
    <row r="44" spans="1:38" ht="12.75" x14ac:dyDescent="0.2">
      <c r="A44" s="8" t="s">
        <v>16</v>
      </c>
      <c r="B44" s="8" t="s">
        <v>17</v>
      </c>
      <c r="C44" s="8" t="s">
        <v>18</v>
      </c>
      <c r="D44" s="8" t="s">
        <v>19</v>
      </c>
      <c r="E44" s="8" t="s">
        <v>42</v>
      </c>
      <c r="F44" s="8" t="s">
        <v>28</v>
      </c>
      <c r="G44" s="8" t="s">
        <v>399</v>
      </c>
      <c r="H44" s="20">
        <v>0</v>
      </c>
      <c r="I44" s="21">
        <f>H44/H$669</f>
        <v>0</v>
      </c>
      <c r="J44" s="22">
        <f>I44*J$699</f>
        <v>0</v>
      </c>
      <c r="K44" s="2">
        <v>0</v>
      </c>
      <c r="L44" s="21">
        <f ca="1">K44/K$669</f>
        <v>0</v>
      </c>
      <c r="M44" s="22">
        <f ca="1">L44*M$699</f>
        <v>0</v>
      </c>
      <c r="N44" s="2">
        <v>0</v>
      </c>
      <c r="O44" s="21">
        <f ca="1">N44/N$669</f>
        <v>0</v>
      </c>
      <c r="P44" s="22">
        <f ca="1">O44*P$699</f>
        <v>0</v>
      </c>
      <c r="Q44" s="2">
        <v>0</v>
      </c>
      <c r="R44" s="21">
        <f ca="1">Q44/Q$669</f>
        <v>0</v>
      </c>
      <c r="S44" s="22">
        <f ca="1">R44*S$699</f>
        <v>0</v>
      </c>
      <c r="T44" s="2">
        <v>0</v>
      </c>
      <c r="U44" s="21">
        <f ca="1">T44/T$669</f>
        <v>0</v>
      </c>
      <c r="V44" s="22">
        <f ca="1">U44*V$699</f>
        <v>0</v>
      </c>
      <c r="W44" s="2">
        <v>0</v>
      </c>
      <c r="X44" s="21">
        <f ca="1">W44/W$669</f>
        <v>0</v>
      </c>
      <c r="Y44" s="22">
        <f ca="1">X44*Y$699</f>
        <v>0</v>
      </c>
      <c r="Z44" s="2">
        <v>0</v>
      </c>
      <c r="AA44" s="21">
        <f ca="1">Z44/Z$669</f>
        <v>0</v>
      </c>
      <c r="AB44" s="22">
        <f ca="1">AA44*AB$699</f>
        <v>0</v>
      </c>
      <c r="AC44" s="2">
        <v>0</v>
      </c>
      <c r="AD44" s="21">
        <f ca="1">AC44/AC$669</f>
        <v>0</v>
      </c>
      <c r="AE44" s="22">
        <f ca="1">AD44*AE$699</f>
        <v>0</v>
      </c>
      <c r="AF44" s="2">
        <v>0</v>
      </c>
      <c r="AG44" s="21">
        <f ca="1">AF44/AF$669</f>
        <v>0</v>
      </c>
      <c r="AH44" s="22">
        <f ca="1">AG44*AH$699</f>
        <v>0</v>
      </c>
      <c r="AI44" s="2">
        <v>0</v>
      </c>
      <c r="AJ44" s="21">
        <f ca="1">AI44/AI$669</f>
        <v>0</v>
      </c>
      <c r="AK44" s="22">
        <f ca="1">AJ44*AK$699</f>
        <v>0</v>
      </c>
      <c r="AL44" s="2">
        <v>13188.352181531051</v>
      </c>
    </row>
    <row r="45" spans="1:38" ht="12.75" x14ac:dyDescent="0.2">
      <c r="A45" s="8" t="s">
        <v>16</v>
      </c>
      <c r="B45" s="8" t="s">
        <v>17</v>
      </c>
      <c r="C45" s="8" t="s">
        <v>18</v>
      </c>
      <c r="D45" s="8" t="s">
        <v>19</v>
      </c>
      <c r="E45" s="8" t="s">
        <v>42</v>
      </c>
      <c r="F45" s="8" t="s">
        <v>43</v>
      </c>
      <c r="G45" s="8" t="s">
        <v>400</v>
      </c>
      <c r="H45" s="20">
        <v>751737.0466955736</v>
      </c>
      <c r="I45" s="21">
        <f>H45/H$659</f>
        <v>2.5731059212078963E-2</v>
      </c>
      <c r="J45" s="22">
        <f>I45*J$689</f>
        <v>1206793.1612734247</v>
      </c>
      <c r="K45" s="2">
        <v>2935204.040054475</v>
      </c>
      <c r="L45" s="21">
        <f ca="1">K45/K$659</f>
        <v>4.3751302399638252E-2</v>
      </c>
      <c r="M45" s="22">
        <f ca="1">L45*M$689</f>
        <v>2154023.8840180682</v>
      </c>
      <c r="N45" s="2">
        <v>0</v>
      </c>
      <c r="O45" s="21">
        <f ca="1">N45/N$659</f>
        <v>0</v>
      </c>
      <c r="P45" s="22">
        <f ca="1">O45*P$689</f>
        <v>0</v>
      </c>
      <c r="Q45" s="2">
        <v>0</v>
      </c>
      <c r="R45" s="21">
        <f ca="1">Q45/Q$659</f>
        <v>0</v>
      </c>
      <c r="S45" s="22">
        <f ca="1">R45*S$689</f>
        <v>0</v>
      </c>
      <c r="T45" s="2">
        <v>0</v>
      </c>
      <c r="U45" s="21">
        <f ca="1">T45/T$659</f>
        <v>0</v>
      </c>
      <c r="V45" s="22">
        <f ca="1">U45*V$689</f>
        <v>0</v>
      </c>
      <c r="W45" s="2">
        <v>0</v>
      </c>
      <c r="X45" s="21">
        <f ca="1">W45/W$659</f>
        <v>0</v>
      </c>
      <c r="Y45" s="22">
        <f ca="1">X45*Y$689</f>
        <v>0</v>
      </c>
      <c r="Z45" s="2">
        <v>50706.755673346554</v>
      </c>
      <c r="AA45" s="21">
        <f ca="1">Z45/Z$659</f>
        <v>8.5732669961865646E-4</v>
      </c>
      <c r="AB45" s="22">
        <f ca="1">AA45*AB$689</f>
        <v>46968.053732196167</v>
      </c>
      <c r="AC45" s="2">
        <v>0</v>
      </c>
      <c r="AD45" s="21">
        <f ca="1">AC45/AC$659</f>
        <v>0</v>
      </c>
      <c r="AE45" s="22">
        <f ca="1">AD45*AE$689</f>
        <v>0</v>
      </c>
      <c r="AF45" s="2">
        <v>0</v>
      </c>
      <c r="AG45" s="21">
        <f ca="1">AF45/AF$659</f>
        <v>0</v>
      </c>
      <c r="AH45" s="22">
        <f ca="1">AG45*AH$689</f>
        <v>0</v>
      </c>
      <c r="AI45" s="2">
        <v>0</v>
      </c>
      <c r="AJ45" s="21">
        <f ca="1">AI45/AI$659</f>
        <v>0</v>
      </c>
      <c r="AK45" s="22">
        <f ca="1">AJ45*AK$689</f>
        <v>0</v>
      </c>
      <c r="AL45" s="2">
        <v>50706.755673346554</v>
      </c>
    </row>
    <row r="46" spans="1:38" ht="12.75" x14ac:dyDescent="0.2">
      <c r="A46" s="8" t="s">
        <v>16</v>
      </c>
      <c r="B46" s="8" t="s">
        <v>17</v>
      </c>
      <c r="C46" s="8" t="s">
        <v>18</v>
      </c>
      <c r="D46" s="8" t="s">
        <v>19</v>
      </c>
      <c r="E46" s="8" t="s">
        <v>44</v>
      </c>
      <c r="F46" s="8" t="s">
        <v>21</v>
      </c>
      <c r="G46" s="8" t="s">
        <v>401</v>
      </c>
      <c r="H46" s="20">
        <v>500000</v>
      </c>
      <c r="I46" s="21">
        <f>H46/H$645</f>
        <v>3.3092483231591495E-2</v>
      </c>
      <c r="J46" s="22">
        <f>I46*J$675</f>
        <v>4672.6586323007186</v>
      </c>
      <c r="K46" s="2">
        <v>500000</v>
      </c>
      <c r="L46" s="21">
        <f ca="1">K46/K$645</f>
        <v>3.2682013820893745E-2</v>
      </c>
      <c r="M46" s="22">
        <f ca="1">L46*M$675</f>
        <v>14100.981683162816</v>
      </c>
      <c r="N46" s="2">
        <v>0</v>
      </c>
      <c r="O46" s="21">
        <f ca="1">N46/N$645</f>
        <v>0</v>
      </c>
      <c r="P46" s="22">
        <f ca="1">O46*P$675</f>
        <v>0</v>
      </c>
      <c r="Q46" s="2">
        <v>0</v>
      </c>
      <c r="R46" s="21">
        <f ca="1">Q46/Q$645</f>
        <v>0</v>
      </c>
      <c r="S46" s="22">
        <f ca="1">R46*S$675</f>
        <v>0</v>
      </c>
      <c r="T46" s="2">
        <v>0</v>
      </c>
      <c r="U46" s="21">
        <f ca="1">T46/T$645</f>
        <v>0</v>
      </c>
      <c r="V46" s="22">
        <f ca="1">U46*V$675</f>
        <v>0</v>
      </c>
      <c r="W46" s="2">
        <v>0</v>
      </c>
      <c r="X46" s="21">
        <f ca="1">W46/W$645</f>
        <v>0</v>
      </c>
      <c r="Y46" s="22">
        <f ca="1">X46*Y$675</f>
        <v>0</v>
      </c>
      <c r="Z46" s="2">
        <v>0</v>
      </c>
      <c r="AA46" s="21">
        <f ca="1">Z46/Z$645</f>
        <v>0</v>
      </c>
      <c r="AB46" s="22">
        <f ca="1">AA46*AB$675</f>
        <v>0</v>
      </c>
      <c r="AC46" s="2">
        <v>0</v>
      </c>
      <c r="AD46" s="21">
        <f ca="1">AC46/AC$645</f>
        <v>0</v>
      </c>
      <c r="AE46" s="22">
        <f ca="1">AD46*AE$675</f>
        <v>0</v>
      </c>
      <c r="AF46" s="2">
        <v>0</v>
      </c>
      <c r="AG46" s="21">
        <f ca="1">AF46/AF$645</f>
        <v>0</v>
      </c>
      <c r="AH46" s="22">
        <f ca="1">AG46*AH$675</f>
        <v>0</v>
      </c>
      <c r="AI46" s="2">
        <v>0</v>
      </c>
      <c r="AJ46" s="21">
        <f ca="1">AI46/AI$645</f>
        <v>0</v>
      </c>
      <c r="AK46" s="22">
        <f ca="1">AJ46*AK$675</f>
        <v>0</v>
      </c>
      <c r="AL46" s="2">
        <v>1321159.7082202975</v>
      </c>
    </row>
    <row r="47" spans="1:38" ht="12.75" x14ac:dyDescent="0.2">
      <c r="A47" s="8" t="s">
        <v>16</v>
      </c>
      <c r="B47" s="8" t="s">
        <v>17</v>
      </c>
      <c r="C47" s="8" t="s">
        <v>18</v>
      </c>
      <c r="D47" s="8" t="s">
        <v>19</v>
      </c>
      <c r="E47" s="8" t="s">
        <v>44</v>
      </c>
      <c r="F47" s="8" t="s">
        <v>24</v>
      </c>
      <c r="G47" s="8" t="s">
        <v>402</v>
      </c>
      <c r="H47" s="20">
        <v>7110332.5574369226</v>
      </c>
      <c r="I47" s="21">
        <f>H47/H$646</f>
        <v>8.6596158330083675E-2</v>
      </c>
      <c r="J47" s="22">
        <f>I47*J$676</f>
        <v>186323.75810934123</v>
      </c>
      <c r="K47" s="2">
        <v>7120812.6255182847</v>
      </c>
      <c r="L47" s="21">
        <f ca="1">K47/K$646</f>
        <v>0.11274908811563394</v>
      </c>
      <c r="M47" s="22">
        <f ca="1">L47*M$676</f>
        <v>438369.95415645669</v>
      </c>
      <c r="N47" s="2">
        <v>23738.445610290717</v>
      </c>
      <c r="O47" s="21">
        <f ca="1">N47/N$646</f>
        <v>2.5323761351905936E-4</v>
      </c>
      <c r="P47" s="22">
        <f ca="1">O47*P$676</f>
        <v>4302.279557678713</v>
      </c>
      <c r="Q47" s="2">
        <v>413899.14879524184</v>
      </c>
      <c r="R47" s="21">
        <f ca="1">Q47/Q$646</f>
        <v>3.7213599799170703E-3</v>
      </c>
      <c r="S47" s="22">
        <f ca="1">R47*S$676</f>
        <v>64676.681893894478</v>
      </c>
      <c r="T47" s="2">
        <v>346240.19421204983</v>
      </c>
      <c r="U47" s="21">
        <f ca="1">T47/T$646</f>
        <v>4.1269628040905308E-3</v>
      </c>
      <c r="V47" s="22">
        <f ca="1">U47*V$676</f>
        <v>73232.244501939756</v>
      </c>
      <c r="W47" s="2">
        <v>0</v>
      </c>
      <c r="X47" s="21">
        <f ca="1">W47/W$646</f>
        <v>0</v>
      </c>
      <c r="Y47" s="22">
        <f ca="1">X47*Y$676</f>
        <v>0</v>
      </c>
      <c r="Z47" s="2">
        <v>935196.27359151898</v>
      </c>
      <c r="AA47" s="21">
        <f ca="1">Z47/Z$646</f>
        <v>8.0574732143157031E-3</v>
      </c>
      <c r="AB47" s="22">
        <f ca="1">AA47*AB$676</f>
        <v>148463.12942822801</v>
      </c>
      <c r="AC47" s="2">
        <v>414512.18236450624</v>
      </c>
      <c r="AD47" s="21">
        <f ca="1">AC47/AC$646</f>
        <v>3.9839393276696585E-3</v>
      </c>
      <c r="AE47" s="22">
        <f ca="1">AD47*AE$676</f>
        <v>74800.868451212344</v>
      </c>
      <c r="AF47" s="2">
        <v>0</v>
      </c>
      <c r="AG47" s="21">
        <f ca="1">AF47/AF$646</f>
        <v>0</v>
      </c>
      <c r="AH47" s="22">
        <f ca="1">AG47*AH$676</f>
        <v>0</v>
      </c>
      <c r="AI47" s="2">
        <v>12757591.313890541</v>
      </c>
      <c r="AJ47" s="21">
        <f ca="1">AI47/AI$646</f>
        <v>0.10325950587771864</v>
      </c>
      <c r="AK47" s="22">
        <f ca="1">AJ47*AK$676</f>
        <v>2009183.1291078683</v>
      </c>
      <c r="AL47" s="2">
        <v>14891177.558464149</v>
      </c>
    </row>
    <row r="48" spans="1:38" ht="12.75" x14ac:dyDescent="0.2">
      <c r="A48" s="8" t="s">
        <v>16</v>
      </c>
      <c r="B48" s="8" t="s">
        <v>17</v>
      </c>
      <c r="C48" s="8" t="s">
        <v>18</v>
      </c>
      <c r="D48" s="8" t="s">
        <v>19</v>
      </c>
      <c r="E48" s="8" t="s">
        <v>44</v>
      </c>
      <c r="F48" s="23" t="s">
        <v>22</v>
      </c>
      <c r="G48" s="8" t="s">
        <v>403</v>
      </c>
      <c r="H48" s="20">
        <v>0</v>
      </c>
      <c r="I48" s="21">
        <f>H48/H$650</f>
        <v>0</v>
      </c>
      <c r="J48" s="22">
        <f>I48*J$680</f>
        <v>0</v>
      </c>
      <c r="K48" s="2">
        <v>0</v>
      </c>
      <c r="L48" s="21">
        <f ca="1">K48/K$650</f>
        <v>0</v>
      </c>
      <c r="M48" s="22">
        <f ca="1">L48*M$680</f>
        <v>0</v>
      </c>
      <c r="N48" s="2">
        <v>24742123.58997947</v>
      </c>
      <c r="O48" s="21">
        <f ca="1">N48/N$650</f>
        <v>0.31225923610978901</v>
      </c>
      <c r="P48" s="22">
        <f ca="1">O48*P$680</f>
        <v>3539011.1018453999</v>
      </c>
      <c r="Q48" s="2">
        <v>0</v>
      </c>
      <c r="R48" s="21">
        <f ca="1">Q48/Q$650</f>
        <v>0</v>
      </c>
      <c r="S48" s="22">
        <f ca="1">R48*S$680</f>
        <v>0</v>
      </c>
      <c r="T48" s="2">
        <v>783081.71845524607</v>
      </c>
      <c r="U48" s="21">
        <f ca="1">T48/T$650</f>
        <v>2.7486141074437892E-2</v>
      </c>
      <c r="V48" s="22">
        <f ca="1">U48*V$680</f>
        <v>325373.20041562192</v>
      </c>
      <c r="W48" s="2">
        <v>196068.17263123067</v>
      </c>
      <c r="X48" s="21">
        <f ca="1">W48/W$650</f>
        <v>4.9248181385821068E-3</v>
      </c>
      <c r="Y48" s="22">
        <f ca="1">X48*Y$680</f>
        <v>59464.582954745361</v>
      </c>
      <c r="Z48" s="2">
        <v>1576171.4151956765</v>
      </c>
      <c r="AA48" s="21">
        <f ca="1">Z48/Z$650</f>
        <v>4.8235029807359914E-2</v>
      </c>
      <c r="AB48" s="22">
        <f ca="1">AA48*AB$680</f>
        <v>592895.9842884551</v>
      </c>
      <c r="AC48" s="2">
        <v>279042.56512941007</v>
      </c>
      <c r="AD48" s="21">
        <f ca="1">AC48/AC$650</f>
        <v>8.7440351708560782E-3</v>
      </c>
      <c r="AE48" s="22">
        <f ca="1">AD48*AE$680</f>
        <v>109522.16939307757</v>
      </c>
      <c r="AF48" s="2">
        <v>1719626.0570938697</v>
      </c>
      <c r="AG48" s="21">
        <f ca="1">AF48/AF$650</f>
        <v>4.877451204616759E-2</v>
      </c>
      <c r="AH48" s="22">
        <f ca="1">AG48*AH$680</f>
        <v>621914.74421056057</v>
      </c>
      <c r="AI48" s="2">
        <v>0</v>
      </c>
      <c r="AJ48" s="21">
        <f ca="1">AI48/AI$650</f>
        <v>0</v>
      </c>
      <c r="AK48" s="22">
        <f ca="1">AJ48*AK$680</f>
        <v>0</v>
      </c>
      <c r="AL48" s="2">
        <v>32983054.605234955</v>
      </c>
    </row>
    <row r="49" spans="1:38" ht="12.75" x14ac:dyDescent="0.2">
      <c r="A49" s="8" t="s">
        <v>16</v>
      </c>
      <c r="B49" s="8" t="s">
        <v>17</v>
      </c>
      <c r="C49" s="8" t="s">
        <v>18</v>
      </c>
      <c r="D49" s="8" t="s">
        <v>19</v>
      </c>
      <c r="E49" s="8" t="s">
        <v>44</v>
      </c>
      <c r="F49" s="8" t="s">
        <v>25</v>
      </c>
      <c r="G49" s="8" t="s">
        <v>404</v>
      </c>
      <c r="H49" s="20">
        <v>0</v>
      </c>
      <c r="I49" s="21">
        <f>H49/H$652</f>
        <v>0</v>
      </c>
      <c r="J49" s="22">
        <f>I49*J$682</f>
        <v>0</v>
      </c>
      <c r="K49" s="2">
        <v>0</v>
      </c>
      <c r="L49" s="21">
        <f ca="1">K49/K$652</f>
        <v>0</v>
      </c>
      <c r="M49" s="22">
        <f ca="1">L49*M$682</f>
        <v>0</v>
      </c>
      <c r="N49" s="2">
        <v>66580.455566484234</v>
      </c>
      <c r="O49" s="21">
        <f ca="1">N49/N$652</f>
        <v>1.3341548813909231E-3</v>
      </c>
      <c r="P49" s="22">
        <f ca="1">O49*P$682</f>
        <v>49371.567010307881</v>
      </c>
      <c r="Q49" s="2">
        <v>0</v>
      </c>
      <c r="R49" s="21">
        <f ca="1">Q49/Q$652</f>
        <v>0</v>
      </c>
      <c r="S49" s="22">
        <f ca="1">R49*S$682</f>
        <v>0</v>
      </c>
      <c r="T49" s="2">
        <v>54621.431725670285</v>
      </c>
      <c r="U49" s="21">
        <f ca="1">T49/T$652</f>
        <v>1.2449406289675208E-3</v>
      </c>
      <c r="V49" s="22">
        <f ca="1">U49*V$682</f>
        <v>48119.452610698761</v>
      </c>
      <c r="W49" s="2">
        <v>35897.881954022152</v>
      </c>
      <c r="X49" s="21">
        <f ca="1">W49/W$652</f>
        <v>7.7924207090954059E-4</v>
      </c>
      <c r="Y49" s="22">
        <f ca="1">X49*Y$682</f>
        <v>30721.654553083263</v>
      </c>
      <c r="Z49" s="2">
        <v>0</v>
      </c>
      <c r="AA49" s="21">
        <f ca="1">Z49/Z$652</f>
        <v>0</v>
      </c>
      <c r="AB49" s="22">
        <f ca="1">AA49*AB$682</f>
        <v>0</v>
      </c>
      <c r="AC49" s="2">
        <v>0</v>
      </c>
      <c r="AD49" s="21">
        <f ca="1">AC49/AC$652</f>
        <v>0</v>
      </c>
      <c r="AE49" s="22">
        <f ca="1">AD49*AE$682</f>
        <v>0</v>
      </c>
      <c r="AF49" s="2">
        <v>0</v>
      </c>
      <c r="AG49" s="21">
        <f ca="1">AF49/AF$652</f>
        <v>0</v>
      </c>
      <c r="AH49" s="22">
        <f ca="1">AG49*AH$682</f>
        <v>0</v>
      </c>
      <c r="AI49" s="2">
        <v>51384.442434428573</v>
      </c>
      <c r="AJ49" s="21">
        <f ca="1">AI49/AI$652</f>
        <v>6.8598565632912556E-4</v>
      </c>
      <c r="AK49" s="22">
        <f ca="1">AJ49*AK$682</f>
        <v>29073.998417830164</v>
      </c>
      <c r="AL49" s="2">
        <v>244683.98768584142</v>
      </c>
    </row>
    <row r="50" spans="1:38" ht="12.75" x14ac:dyDescent="0.2">
      <c r="A50" s="8" t="s">
        <v>16</v>
      </c>
      <c r="B50" s="8" t="s">
        <v>17</v>
      </c>
      <c r="C50" s="8" t="s">
        <v>18</v>
      </c>
      <c r="D50" s="8" t="s">
        <v>19</v>
      </c>
      <c r="E50" s="8" t="s">
        <v>44</v>
      </c>
      <c r="F50" s="8" t="s">
        <v>26</v>
      </c>
      <c r="G50" s="8" t="s">
        <v>405</v>
      </c>
      <c r="H50" s="20">
        <v>129829.7171585516</v>
      </c>
      <c r="I50" s="21">
        <f>H50/H$655</f>
        <v>3.2733889209210993E-3</v>
      </c>
      <c r="J50" s="22">
        <f>I50*J$685</f>
        <v>7900.2521460868129</v>
      </c>
      <c r="K50" s="2">
        <v>158503.56446447404</v>
      </c>
      <c r="L50" s="21">
        <f ca="1">K50/K$655</f>
        <v>3.9924249347384911E-3</v>
      </c>
      <c r="M50" s="22">
        <f ca="1">L50*M$685</f>
        <v>11047.079718670751</v>
      </c>
      <c r="N50" s="2">
        <v>0</v>
      </c>
      <c r="O50" s="21">
        <f ca="1">N50/N$655</f>
        <v>0</v>
      </c>
      <c r="P50" s="22">
        <f ca="1">O50*P$685</f>
        <v>0</v>
      </c>
      <c r="Q50" s="2">
        <v>346892.01881990861</v>
      </c>
      <c r="R50" s="21">
        <f ca="1">Q50/Q$655</f>
        <v>2.4917284207296841E-3</v>
      </c>
      <c r="S50" s="22">
        <f ca="1">R50*S$685</f>
        <v>7236.5976811238916</v>
      </c>
      <c r="T50" s="2">
        <v>0</v>
      </c>
      <c r="U50" s="21">
        <f ca="1">T50/T$655</f>
        <v>0</v>
      </c>
      <c r="V50" s="22">
        <f ca="1">U50*V$685</f>
        <v>0</v>
      </c>
      <c r="W50" s="2">
        <v>7740.063767038233</v>
      </c>
      <c r="X50" s="21">
        <f ca="1">W50/W$655</f>
        <v>7.2198903699181556E-5</v>
      </c>
      <c r="Y50" s="22">
        <f ca="1">X50*Y$685</f>
        <v>218.36862525599844</v>
      </c>
      <c r="Z50" s="2">
        <v>0</v>
      </c>
      <c r="AA50" s="21">
        <f ca="1">Z50/Z$655</f>
        <v>0</v>
      </c>
      <c r="AB50" s="22">
        <f ca="1">AA50*AB$685</f>
        <v>0</v>
      </c>
      <c r="AC50" s="2">
        <v>0</v>
      </c>
      <c r="AD50" s="21">
        <f ca="1">AC50/AC$655</f>
        <v>0</v>
      </c>
      <c r="AE50" s="22">
        <f ca="1">AD50*AE$685</f>
        <v>0</v>
      </c>
      <c r="AF50" s="2">
        <v>0</v>
      </c>
      <c r="AG50" s="21">
        <f ca="1">AF50/AF$655</f>
        <v>0</v>
      </c>
      <c r="AH50" s="22">
        <f ca="1">AG50*AH$685</f>
        <v>0</v>
      </c>
      <c r="AI50" s="2">
        <v>0</v>
      </c>
      <c r="AJ50" s="21">
        <f ca="1">AI50/AI$655</f>
        <v>0</v>
      </c>
      <c r="AK50" s="22">
        <f ca="1">AJ50*AK$685</f>
        <v>0</v>
      </c>
      <c r="AL50" s="2">
        <v>483841.50205089193</v>
      </c>
    </row>
    <row r="51" spans="1:38" ht="12.75" x14ac:dyDescent="0.2">
      <c r="A51" s="8" t="s">
        <v>16</v>
      </c>
      <c r="B51" s="8" t="s">
        <v>17</v>
      </c>
      <c r="C51" s="8" t="s">
        <v>18</v>
      </c>
      <c r="D51" s="8" t="s">
        <v>19</v>
      </c>
      <c r="E51" s="8" t="s">
        <v>44</v>
      </c>
      <c r="F51" s="8" t="s">
        <v>27</v>
      </c>
      <c r="G51" s="8" t="s">
        <v>406</v>
      </c>
      <c r="H51" s="20">
        <v>1056927.766576238</v>
      </c>
      <c r="I51" s="21">
        <f>H51/H$657</f>
        <v>2.0722755523585351E-2</v>
      </c>
      <c r="J51" s="22">
        <f>I51*J$687</f>
        <v>214956.74931379591</v>
      </c>
      <c r="K51" s="2">
        <v>0</v>
      </c>
      <c r="L51" s="21">
        <f ca="1">K51/K$657</f>
        <v>0</v>
      </c>
      <c r="M51" s="22">
        <f ca="1">L51*M$687</f>
        <v>0</v>
      </c>
      <c r="N51" s="2">
        <v>0</v>
      </c>
      <c r="O51" s="21">
        <f ca="1">N51/N$657</f>
        <v>0</v>
      </c>
      <c r="P51" s="22">
        <f ca="1">O51*P$687</f>
        <v>0</v>
      </c>
      <c r="Q51" s="2">
        <v>0</v>
      </c>
      <c r="R51" s="21">
        <f ca="1">Q51/Q$657</f>
        <v>0</v>
      </c>
      <c r="S51" s="22">
        <f ca="1">R51*S$687</f>
        <v>0</v>
      </c>
      <c r="T51" s="2">
        <v>0</v>
      </c>
      <c r="U51" s="21">
        <f ca="1">T51/T$657</f>
        <v>0</v>
      </c>
      <c r="V51" s="22">
        <f ca="1">U51*V$687</f>
        <v>0</v>
      </c>
      <c r="W51" s="2">
        <v>0</v>
      </c>
      <c r="X51" s="21">
        <f ca="1">W51/W$657</f>
        <v>0</v>
      </c>
      <c r="Y51" s="22">
        <f ca="1">X51*Y$687</f>
        <v>0</v>
      </c>
      <c r="Z51" s="2">
        <v>0</v>
      </c>
      <c r="AA51" s="21">
        <f ca="1">Z51/Z$657</f>
        <v>0</v>
      </c>
      <c r="AB51" s="22">
        <f ca="1">AA51*AB$687</f>
        <v>0</v>
      </c>
      <c r="AC51" s="2">
        <v>0</v>
      </c>
      <c r="AD51" s="21">
        <f ca="1">AC51/AC$657</f>
        <v>0</v>
      </c>
      <c r="AE51" s="22">
        <f ca="1">AD51*AE$687</f>
        <v>0</v>
      </c>
      <c r="AF51" s="2">
        <v>0</v>
      </c>
      <c r="AG51" s="21">
        <f ca="1">AF51/AF$657</f>
        <v>0</v>
      </c>
      <c r="AH51" s="22">
        <f ca="1">AG51*AH$687</f>
        <v>0</v>
      </c>
      <c r="AI51" s="2">
        <v>5796.8881037835245</v>
      </c>
      <c r="AJ51" s="21">
        <f ca="1">AI51/AI$657</f>
        <v>1.0446097168378239E-4</v>
      </c>
      <c r="AK51" s="22">
        <f ca="1">AJ51*AK$687</f>
        <v>1927.9743918180634</v>
      </c>
      <c r="AL51" s="2">
        <v>61249.950960108232</v>
      </c>
    </row>
    <row r="52" spans="1:38" ht="12.75" x14ac:dyDescent="0.2">
      <c r="A52" s="8" t="s">
        <v>16</v>
      </c>
      <c r="B52" s="8" t="s">
        <v>17</v>
      </c>
      <c r="C52" s="8" t="s">
        <v>18</v>
      </c>
      <c r="D52" s="8" t="s">
        <v>19</v>
      </c>
      <c r="E52" s="8" t="s">
        <v>44</v>
      </c>
      <c r="F52" s="8" t="s">
        <v>28</v>
      </c>
      <c r="G52" s="8" t="s">
        <v>407</v>
      </c>
      <c r="H52" s="20">
        <v>0</v>
      </c>
      <c r="I52" s="21">
        <f>H52/H$669</f>
        <v>0</v>
      </c>
      <c r="J52" s="22">
        <f>I52*J$699</f>
        <v>0</v>
      </c>
      <c r="K52" s="2">
        <v>0</v>
      </c>
      <c r="L52" s="21">
        <f ca="1">K52/K$669</f>
        <v>0</v>
      </c>
      <c r="M52" s="22">
        <f ca="1">L52*M$699</f>
        <v>0</v>
      </c>
      <c r="N52" s="2">
        <v>0</v>
      </c>
      <c r="O52" s="21">
        <f ca="1">N52/N$669</f>
        <v>0</v>
      </c>
      <c r="P52" s="22">
        <f ca="1">O52*P$699</f>
        <v>0</v>
      </c>
      <c r="Q52" s="2">
        <v>0</v>
      </c>
      <c r="R52" s="21">
        <f ca="1">Q52/Q$669</f>
        <v>0</v>
      </c>
      <c r="S52" s="22">
        <f ca="1">R52*S$699</f>
        <v>0</v>
      </c>
      <c r="T52" s="2">
        <v>0</v>
      </c>
      <c r="U52" s="21">
        <f ca="1">T52/T$669</f>
        <v>0</v>
      </c>
      <c r="V52" s="22">
        <f ca="1">U52*V$699</f>
        <v>0</v>
      </c>
      <c r="W52" s="2">
        <v>0</v>
      </c>
      <c r="X52" s="21">
        <f ca="1">W52/W$669</f>
        <v>0</v>
      </c>
      <c r="Y52" s="22">
        <f ca="1">X52*Y$699</f>
        <v>0</v>
      </c>
      <c r="Z52" s="2">
        <v>0</v>
      </c>
      <c r="AA52" s="21">
        <f ca="1">Z52/Z$669</f>
        <v>0</v>
      </c>
      <c r="AB52" s="22">
        <f ca="1">AA52*AB$699</f>
        <v>0</v>
      </c>
      <c r="AC52" s="2">
        <v>0</v>
      </c>
      <c r="AD52" s="21">
        <f ca="1">AC52/AC$669</f>
        <v>0</v>
      </c>
      <c r="AE52" s="22">
        <f ca="1">AD52*AE$699</f>
        <v>0</v>
      </c>
      <c r="AF52" s="2">
        <v>0</v>
      </c>
      <c r="AG52" s="21">
        <f ca="1">AF52/AF$669</f>
        <v>0</v>
      </c>
      <c r="AH52" s="22">
        <f ca="1">AG52*AH$699</f>
        <v>0</v>
      </c>
      <c r="AI52" s="2">
        <v>0</v>
      </c>
      <c r="AJ52" s="21">
        <f ca="1">AI52/AI$669</f>
        <v>0</v>
      </c>
      <c r="AK52" s="22">
        <f ca="1">AJ52*AK$699</f>
        <v>0</v>
      </c>
      <c r="AL52" s="2">
        <v>528463.88328811899</v>
      </c>
    </row>
    <row r="53" spans="1:38" ht="12.75" x14ac:dyDescent="0.2">
      <c r="A53" s="8" t="s">
        <v>16</v>
      </c>
      <c r="B53" s="8" t="s">
        <v>17</v>
      </c>
      <c r="C53" s="8" t="s">
        <v>18</v>
      </c>
      <c r="D53" s="8" t="s">
        <v>45</v>
      </c>
      <c r="E53" s="8" t="s">
        <v>46</v>
      </c>
      <c r="F53" s="8" t="s">
        <v>21</v>
      </c>
      <c r="G53" s="8" t="s">
        <v>408</v>
      </c>
      <c r="H53" s="20">
        <v>0</v>
      </c>
      <c r="I53" s="21">
        <f>H53/H$645</f>
        <v>0</v>
      </c>
      <c r="J53" s="22">
        <f>I53*J$675</f>
        <v>0</v>
      </c>
      <c r="K53" s="2">
        <v>0</v>
      </c>
      <c r="L53" s="21">
        <f ca="1">K53/K$645</f>
        <v>0</v>
      </c>
      <c r="M53" s="22">
        <f ca="1">L53*M$675</f>
        <v>0</v>
      </c>
      <c r="N53" s="2">
        <v>0</v>
      </c>
      <c r="O53" s="21">
        <f ca="1">N53/N$645</f>
        <v>0</v>
      </c>
      <c r="P53" s="22">
        <f ca="1">O53*P$675</f>
        <v>0</v>
      </c>
      <c r="Q53" s="2">
        <v>0</v>
      </c>
      <c r="R53" s="21">
        <f ca="1">Q53/Q$645</f>
        <v>0</v>
      </c>
      <c r="S53" s="22">
        <f ca="1">R53*S$675</f>
        <v>0</v>
      </c>
      <c r="T53" s="2">
        <v>0</v>
      </c>
      <c r="U53" s="21">
        <f ca="1">T53/T$645</f>
        <v>0</v>
      </c>
      <c r="V53" s="22">
        <f ca="1">U53*V$675</f>
        <v>0</v>
      </c>
      <c r="W53" s="2">
        <v>0</v>
      </c>
      <c r="X53" s="21">
        <f ca="1">W53/W$645</f>
        <v>0</v>
      </c>
      <c r="Y53" s="22">
        <f ca="1">X53*Y$675</f>
        <v>0</v>
      </c>
      <c r="Z53" s="2">
        <v>0</v>
      </c>
      <c r="AA53" s="21">
        <f ca="1">Z53/Z$645</f>
        <v>0</v>
      </c>
      <c r="AB53" s="22">
        <f ca="1">AA53*AB$675</f>
        <v>0</v>
      </c>
      <c r="AC53" s="2">
        <v>0</v>
      </c>
      <c r="AD53" s="21">
        <f ca="1">AC53/AC$645</f>
        <v>0</v>
      </c>
      <c r="AE53" s="22">
        <f ca="1">AD53*AE$675</f>
        <v>0</v>
      </c>
      <c r="AF53" s="2">
        <v>0</v>
      </c>
      <c r="AG53" s="21">
        <f ca="1">AF53/AF$645</f>
        <v>0</v>
      </c>
      <c r="AH53" s="22">
        <f ca="1">AG53*AH$675</f>
        <v>0</v>
      </c>
      <c r="AI53" s="2">
        <v>0</v>
      </c>
      <c r="AJ53" s="21">
        <f ca="1">AI53/AI$645</f>
        <v>0</v>
      </c>
      <c r="AK53" s="22">
        <f ca="1">AJ53*AK$675</f>
        <v>0</v>
      </c>
      <c r="AL53" s="2">
        <v>0</v>
      </c>
    </row>
    <row r="54" spans="1:38" ht="12.75" x14ac:dyDescent="0.2">
      <c r="A54" s="8" t="s">
        <v>16</v>
      </c>
      <c r="B54" s="8" t="s">
        <v>17</v>
      </c>
      <c r="C54" s="8" t="s">
        <v>18</v>
      </c>
      <c r="D54" s="8" t="s">
        <v>45</v>
      </c>
      <c r="E54" s="8" t="s">
        <v>46</v>
      </c>
      <c r="F54" s="8" t="s">
        <v>24</v>
      </c>
      <c r="G54" s="8" t="s">
        <v>409</v>
      </c>
      <c r="H54" s="20">
        <v>168844.21071055401</v>
      </c>
      <c r="I54" s="21">
        <f t="shared" ref="I54:I55" si="20">H54/H$646</f>
        <v>2.0563398245721015E-3</v>
      </c>
      <c r="J54" s="22">
        <f t="shared" ref="J54:J55" si="21">I54*J$676</f>
        <v>4424.503020142316</v>
      </c>
      <c r="K54" s="2">
        <v>89021.377225334596</v>
      </c>
      <c r="L54" s="21">
        <f t="shared" ref="L54:L55" ca="1" si="22">K54/K$646</f>
        <v>1.4095412465966685E-3</v>
      </c>
      <c r="M54" s="22">
        <f t="shared" ref="M54:M55" ca="1" si="23">L54*M$676</f>
        <v>5480.3151136664264</v>
      </c>
      <c r="N54" s="2">
        <v>64466.949816260581</v>
      </c>
      <c r="O54" s="21">
        <f t="shared" ref="O54:O55" ca="1" si="24">N54/N$646</f>
        <v>6.8772222033129399E-4</v>
      </c>
      <c r="P54" s="22">
        <f t="shared" ref="P54:P55" ca="1" si="25">O54*P$676</f>
        <v>11683.78270817205</v>
      </c>
      <c r="Q54" s="2">
        <v>117409.60636981523</v>
      </c>
      <c r="R54" s="21">
        <f t="shared" ref="R54:R55" ca="1" si="26">Q54/Q$646</f>
        <v>1.0556277094896736E-3</v>
      </c>
      <c r="S54" s="22">
        <f t="shared" ref="S54:S55" ca="1" si="27">R54*S$676</f>
        <v>18346.652281289258</v>
      </c>
      <c r="T54" s="2">
        <v>343140.23431595543</v>
      </c>
      <c r="U54" s="21">
        <f t="shared" ref="U54:U55" ca="1" si="28">T54/T$646</f>
        <v>4.0900132546181816E-3</v>
      </c>
      <c r="V54" s="22">
        <f t="shared" ref="V54:V55" ca="1" si="29">U54*V$676</f>
        <v>72576.581107417849</v>
      </c>
      <c r="W54" s="2">
        <v>54180.446369267629</v>
      </c>
      <c r="X54" s="21">
        <f t="shared" ref="X54:X55" ca="1" si="30">W54/W$646</f>
        <v>6.1986497436662181E-4</v>
      </c>
      <c r="Y54" s="22">
        <f t="shared" ref="Y54:Y55" ca="1" si="31">X54*Y$676</f>
        <v>11219.385207447569</v>
      </c>
      <c r="Z54" s="2">
        <v>153318.06439815022</v>
      </c>
      <c r="AA54" s="21">
        <f t="shared" ref="AA54:AA55" ca="1" si="32">Z54/Z$646</f>
        <v>1.3209592810015968E-3</v>
      </c>
      <c r="AB54" s="22">
        <f t="shared" ref="AB54:AB55" ca="1" si="33">AA54*AB$676</f>
        <v>24339.360924752935</v>
      </c>
      <c r="AC54" s="2">
        <v>1411554.8203779778</v>
      </c>
      <c r="AD54" s="21">
        <f t="shared" ref="AD54:AD55" ca="1" si="34">AC54/AC$646</f>
        <v>1.3566667039764758E-2</v>
      </c>
      <c r="AE54" s="22">
        <f t="shared" ref="AE54:AE55" ca="1" si="35">AD54*AE$676</f>
        <v>254722.37227980883</v>
      </c>
      <c r="AF54" s="2">
        <v>1762291.8838856616</v>
      </c>
      <c r="AG54" s="21">
        <f t="shared" ref="AG54:AG55" ca="1" si="36">AF54/AF$646</f>
        <v>1.8721152197772137E-2</v>
      </c>
      <c r="AH54" s="22">
        <f t="shared" ref="AH54:AH55" ca="1" si="37">AG54*AH$676</f>
        <v>357827.96315124101</v>
      </c>
      <c r="AI54" s="2">
        <v>91523.025232828528</v>
      </c>
      <c r="AJ54" s="21">
        <f t="shared" ref="AJ54:AJ55" ca="1" si="38">AI54/AI$646</f>
        <v>7.4078422246415395E-4</v>
      </c>
      <c r="AK54" s="22">
        <f t="shared" ref="AK54:AK55" ca="1" si="39">AJ54*AK$676</f>
        <v>14413.890028166687</v>
      </c>
      <c r="AL54" s="2">
        <v>4255750.6187018054</v>
      </c>
    </row>
    <row r="55" spans="1:38" ht="12.75" x14ac:dyDescent="0.2">
      <c r="A55" s="8" t="s">
        <v>16</v>
      </c>
      <c r="B55" s="8" t="s">
        <v>17</v>
      </c>
      <c r="C55" s="8" t="s">
        <v>18</v>
      </c>
      <c r="D55" s="8" t="s">
        <v>45</v>
      </c>
      <c r="E55" s="8" t="s">
        <v>46</v>
      </c>
      <c r="F55" s="8" t="s">
        <v>24</v>
      </c>
      <c r="G55" s="8" t="s">
        <v>410</v>
      </c>
      <c r="H55" s="20">
        <v>0</v>
      </c>
      <c r="I55" s="21">
        <f t="shared" si="20"/>
        <v>0</v>
      </c>
      <c r="J55" s="22">
        <f t="shared" si="21"/>
        <v>0</v>
      </c>
      <c r="K55" s="2">
        <v>0</v>
      </c>
      <c r="L55" s="21">
        <f t="shared" ca="1" si="22"/>
        <v>0</v>
      </c>
      <c r="M55" s="22">
        <f t="shared" ca="1" si="23"/>
        <v>0</v>
      </c>
      <c r="N55" s="2">
        <v>0</v>
      </c>
      <c r="O55" s="21">
        <f t="shared" ca="1" si="24"/>
        <v>0</v>
      </c>
      <c r="P55" s="22">
        <f t="shared" ca="1" si="25"/>
        <v>0</v>
      </c>
      <c r="Q55" s="2">
        <v>0</v>
      </c>
      <c r="R55" s="21">
        <f t="shared" ca="1" si="26"/>
        <v>0</v>
      </c>
      <c r="S55" s="22">
        <f t="shared" ca="1" si="27"/>
        <v>0</v>
      </c>
      <c r="T55" s="2">
        <v>0</v>
      </c>
      <c r="U55" s="21">
        <f t="shared" ca="1" si="28"/>
        <v>0</v>
      </c>
      <c r="V55" s="22">
        <f t="shared" ca="1" si="29"/>
        <v>0</v>
      </c>
      <c r="W55" s="2">
        <v>0</v>
      </c>
      <c r="X55" s="21">
        <f t="shared" ca="1" si="30"/>
        <v>0</v>
      </c>
      <c r="Y55" s="22">
        <f t="shared" ca="1" si="31"/>
        <v>0</v>
      </c>
      <c r="Z55" s="2">
        <v>0</v>
      </c>
      <c r="AA55" s="21">
        <f t="shared" ca="1" si="32"/>
        <v>0</v>
      </c>
      <c r="AB55" s="22">
        <f t="shared" ca="1" si="33"/>
        <v>0</v>
      </c>
      <c r="AC55" s="2">
        <v>146209.64569384512</v>
      </c>
      <c r="AD55" s="21">
        <f t="shared" ca="1" si="34"/>
        <v>1.4052430359022268E-3</v>
      </c>
      <c r="AE55" s="22">
        <f t="shared" ca="1" si="35"/>
        <v>26384.287215535765</v>
      </c>
      <c r="AF55" s="2">
        <v>0</v>
      </c>
      <c r="AG55" s="21">
        <f t="shared" ca="1" si="36"/>
        <v>0</v>
      </c>
      <c r="AH55" s="22">
        <f t="shared" ca="1" si="37"/>
        <v>0</v>
      </c>
      <c r="AI55" s="2">
        <v>0</v>
      </c>
      <c r="AJ55" s="21">
        <f t="shared" ca="1" si="38"/>
        <v>0</v>
      </c>
      <c r="AK55" s="22">
        <f t="shared" ca="1" si="39"/>
        <v>0</v>
      </c>
      <c r="AL55" s="2">
        <v>146209.64569384512</v>
      </c>
    </row>
    <row r="56" spans="1:38" ht="12.75" x14ac:dyDescent="0.2">
      <c r="A56" s="8" t="s">
        <v>16</v>
      </c>
      <c r="B56" s="8" t="s">
        <v>17</v>
      </c>
      <c r="C56" s="8" t="s">
        <v>18</v>
      </c>
      <c r="D56" s="8" t="s">
        <v>45</v>
      </c>
      <c r="E56" s="8" t="s">
        <v>46</v>
      </c>
      <c r="F56" s="23" t="s">
        <v>22</v>
      </c>
      <c r="G56" s="8" t="s">
        <v>411</v>
      </c>
      <c r="H56" s="20">
        <v>0</v>
      </c>
      <c r="I56" s="21">
        <f>H56/H$650</f>
        <v>0</v>
      </c>
      <c r="J56" s="22">
        <f>I56*J$680</f>
        <v>0</v>
      </c>
      <c r="K56" s="2">
        <v>0</v>
      </c>
      <c r="L56" s="21">
        <f ca="1">K56/K$650</f>
        <v>0</v>
      </c>
      <c r="M56" s="22">
        <f ca="1">L56*M$680</f>
        <v>0</v>
      </c>
      <c r="N56" s="2">
        <v>0</v>
      </c>
      <c r="O56" s="21">
        <f ca="1">N56/N$650</f>
        <v>0</v>
      </c>
      <c r="P56" s="22">
        <f ca="1">O56*P$680</f>
        <v>0</v>
      </c>
      <c r="Q56" s="2">
        <v>0</v>
      </c>
      <c r="R56" s="21">
        <f ca="1">Q56/Q$650</f>
        <v>0</v>
      </c>
      <c r="S56" s="22">
        <f ca="1">R56*S$680</f>
        <v>0</v>
      </c>
      <c r="T56" s="2">
        <v>0</v>
      </c>
      <c r="U56" s="21">
        <f ca="1">T56/T$650</f>
        <v>0</v>
      </c>
      <c r="V56" s="22">
        <f ca="1">U56*V$680</f>
        <v>0</v>
      </c>
      <c r="W56" s="2">
        <v>0</v>
      </c>
      <c r="X56" s="21">
        <f ca="1">W56/W$650</f>
        <v>0</v>
      </c>
      <c r="Y56" s="22">
        <f ca="1">X56*Y$680</f>
        <v>0</v>
      </c>
      <c r="Z56" s="2">
        <v>0</v>
      </c>
      <c r="AA56" s="21">
        <f ca="1">Z56/Z$650</f>
        <v>0</v>
      </c>
      <c r="AB56" s="22">
        <f ca="1">AA56*AB$680</f>
        <v>0</v>
      </c>
      <c r="AC56" s="2">
        <v>0</v>
      </c>
      <c r="AD56" s="21">
        <f ca="1">AC56/AC$650</f>
        <v>0</v>
      </c>
      <c r="AE56" s="22">
        <f ca="1">AD56*AE$680</f>
        <v>0</v>
      </c>
      <c r="AF56" s="2">
        <v>0</v>
      </c>
      <c r="AG56" s="21">
        <f ca="1">AF56/AF$650</f>
        <v>0</v>
      </c>
      <c r="AH56" s="22">
        <f ca="1">AG56*AH$680</f>
        <v>0</v>
      </c>
      <c r="AI56" s="2">
        <v>0</v>
      </c>
      <c r="AJ56" s="21">
        <f ca="1">AI56/AI$650</f>
        <v>0</v>
      </c>
      <c r="AK56" s="22">
        <f ca="1">AJ56*AK$680</f>
        <v>0</v>
      </c>
      <c r="AL56" s="2">
        <v>0</v>
      </c>
    </row>
    <row r="57" spans="1:38" ht="12.75" x14ac:dyDescent="0.2">
      <c r="A57" s="8" t="s">
        <v>16</v>
      </c>
      <c r="B57" s="8" t="s">
        <v>17</v>
      </c>
      <c r="C57" s="8" t="s">
        <v>18</v>
      </c>
      <c r="D57" s="8" t="s">
        <v>45</v>
      </c>
      <c r="E57" s="8" t="s">
        <v>46</v>
      </c>
      <c r="F57" s="8" t="s">
        <v>25</v>
      </c>
      <c r="G57" s="8" t="s">
        <v>412</v>
      </c>
      <c r="H57" s="20">
        <v>2740297.1620776923</v>
      </c>
      <c r="I57" s="21">
        <f>H57/H$652</f>
        <v>0.19643431608319378</v>
      </c>
      <c r="J57" s="22">
        <f>I57*J$682</f>
        <v>14138264.433010256</v>
      </c>
      <c r="K57" s="2">
        <v>7636463.0507266745</v>
      </c>
      <c r="L57" s="21">
        <f ca="1">K57/K$652</f>
        <v>0.33992495653505966</v>
      </c>
      <c r="M57" s="22">
        <f ca="1">L57*M$682</f>
        <v>12260448.344577055</v>
      </c>
      <c r="N57" s="2">
        <v>3627589.3472453807</v>
      </c>
      <c r="O57" s="21">
        <f ca="1">N57/N$652</f>
        <v>7.2690491438232432E-2</v>
      </c>
      <c r="P57" s="22">
        <f ca="1">O57*P$682</f>
        <v>2689975.1439003507</v>
      </c>
      <c r="Q57" s="2">
        <v>3576731.4525121632</v>
      </c>
      <c r="R57" s="21">
        <f ca="1">Q57/Q$652</f>
        <v>7.2061351167537299E-2</v>
      </c>
      <c r="S57" s="22">
        <f ca="1">R57*S$682</f>
        <v>2728027.2031275094</v>
      </c>
      <c r="T57" s="2">
        <v>4546689.3123321226</v>
      </c>
      <c r="U57" s="21">
        <f ca="1">T57/T$652</f>
        <v>0.10362888839390261</v>
      </c>
      <c r="V57" s="22">
        <f ca="1">U57*V$682</f>
        <v>4005464.4118292984</v>
      </c>
      <c r="W57" s="2">
        <v>4999818.5384462457</v>
      </c>
      <c r="X57" s="21">
        <f ca="1">W57/W$652</f>
        <v>0.10853200077544499</v>
      </c>
      <c r="Y57" s="22">
        <f ca="1">X57*Y$682</f>
        <v>4278879.1317265145</v>
      </c>
      <c r="Z57" s="2">
        <v>8008266.0377918547</v>
      </c>
      <c r="AA57" s="21">
        <f ca="1">Z57/Z$652</f>
        <v>0.17332759864139305</v>
      </c>
      <c r="AB57" s="22">
        <f ca="1">AA57*AB$682</f>
        <v>6956450.6376104373</v>
      </c>
      <c r="AC57" s="2">
        <v>8878394.6443855334</v>
      </c>
      <c r="AD57" s="21">
        <f ca="1">AC57/AC$652</f>
        <v>0.14252549411751486</v>
      </c>
      <c r="AE57" s="22">
        <f ca="1">AD57*AE$682</f>
        <v>5828901.6408293229</v>
      </c>
      <c r="AF57" s="2">
        <v>5086815.2127306769</v>
      </c>
      <c r="AG57" s="21">
        <f ca="1">AF57/AF$652</f>
        <v>7.6000275094566819E-2</v>
      </c>
      <c r="AH57" s="22">
        <f ca="1">AG57*AH$682</f>
        <v>3164150.3668839978</v>
      </c>
      <c r="AI57" s="2">
        <v>5008691.5545374043</v>
      </c>
      <c r="AJ57" s="21">
        <f ca="1">AI57/AI$652</f>
        <v>6.6866358777250764E-2</v>
      </c>
      <c r="AK57" s="22">
        <f ca="1">AJ57*AK$682</f>
        <v>2833984.0510646426</v>
      </c>
      <c r="AL57" s="2">
        <v>54109756.312785745</v>
      </c>
    </row>
    <row r="58" spans="1:38" ht="12.75" x14ac:dyDescent="0.2">
      <c r="A58" s="8" t="s">
        <v>16</v>
      </c>
      <c r="B58" s="8" t="s">
        <v>17</v>
      </c>
      <c r="C58" s="8" t="s">
        <v>18</v>
      </c>
      <c r="D58" s="8" t="s">
        <v>45</v>
      </c>
      <c r="E58" s="8" t="s">
        <v>46</v>
      </c>
      <c r="F58" s="8" t="s">
        <v>26</v>
      </c>
      <c r="G58" s="8" t="s">
        <v>413</v>
      </c>
      <c r="H58" s="20">
        <v>348521.93102851446</v>
      </c>
      <c r="I58" s="21">
        <f>H58/H$655</f>
        <v>8.7872626752589483E-3</v>
      </c>
      <c r="J58" s="22">
        <f>I58*J$685</f>
        <v>21207.865146958615</v>
      </c>
      <c r="K58" s="2">
        <v>863705.18436846859</v>
      </c>
      <c r="L58" s="21">
        <f ca="1">K58/K$655</f>
        <v>2.175520863512476E-2</v>
      </c>
      <c r="M58" s="22">
        <f ca="1">L58*M$685</f>
        <v>60196.879845476564</v>
      </c>
      <c r="N58" s="2">
        <v>2186559.4319123435</v>
      </c>
      <c r="O58" s="21">
        <f ca="1">N58/N$655</f>
        <v>1.8903197513214676E-2</v>
      </c>
      <c r="P58" s="22">
        <f ca="1">O58*P$685</f>
        <v>53665.275301367183</v>
      </c>
      <c r="Q58" s="2">
        <v>465102.14523315441</v>
      </c>
      <c r="R58" s="21">
        <f ca="1">Q58/Q$655</f>
        <v>3.3408327979475684E-3</v>
      </c>
      <c r="S58" s="22">
        <f ca="1">R58*S$685</f>
        <v>9702.6075063068783</v>
      </c>
      <c r="T58" s="2">
        <v>4633627.5074608494</v>
      </c>
      <c r="U58" s="21">
        <f ca="1">T58/T$655</f>
        <v>4.664412628839118E-2</v>
      </c>
      <c r="V58" s="22">
        <f ca="1">U58*V$685</f>
        <v>138310.90636133694</v>
      </c>
      <c r="W58" s="2">
        <v>2797542.2249819906</v>
      </c>
      <c r="X58" s="21">
        <f ca="1">W58/W$655</f>
        <v>2.6095325280912657E-2</v>
      </c>
      <c r="Y58" s="22">
        <f ca="1">X58*Y$685</f>
        <v>78926.410447221162</v>
      </c>
      <c r="Z58" s="2">
        <v>3617644.9360107314</v>
      </c>
      <c r="AA58" s="21">
        <f ca="1">Z58/Z$655</f>
        <v>3.1362171669673457E-2</v>
      </c>
      <c r="AB58" s="22">
        <f ca="1">AA58*AB$685</f>
        <v>96563.621012717253</v>
      </c>
      <c r="AC58" s="2">
        <v>640520.06378861156</v>
      </c>
      <c r="AD58" s="21">
        <f ca="1">AC58/AC$655</f>
        <v>5.6854213944453136E-3</v>
      </c>
      <c r="AE58" s="22">
        <f ca="1">AD58*AE$685</f>
        <v>17837.921899020053</v>
      </c>
      <c r="AF58" s="2">
        <v>219416.71845083759</v>
      </c>
      <c r="AG58" s="21">
        <f ca="1">AF58/AF$655</f>
        <v>1.821633899375041E-3</v>
      </c>
      <c r="AH58" s="22">
        <f ca="1">AG58*AH$685</f>
        <v>5818.2245341041762</v>
      </c>
      <c r="AI58" s="2">
        <v>13216444.998777313</v>
      </c>
      <c r="AJ58" s="21">
        <f ca="1">AI58/AI$655</f>
        <v>7.1377660902563908E-2</v>
      </c>
      <c r="AK58" s="22">
        <f ca="1">AJ58*AK$685</f>
        <v>232080.93551313152</v>
      </c>
      <c r="AL58" s="2">
        <v>28989085.142012812</v>
      </c>
    </row>
    <row r="59" spans="1:38" ht="12.75" x14ac:dyDescent="0.2">
      <c r="A59" s="8" t="s">
        <v>16</v>
      </c>
      <c r="B59" s="8" t="s">
        <v>17</v>
      </c>
      <c r="C59" s="8" t="s">
        <v>18</v>
      </c>
      <c r="D59" s="8" t="s">
        <v>45</v>
      </c>
      <c r="E59" s="8" t="s">
        <v>46</v>
      </c>
      <c r="F59" s="8" t="s">
        <v>27</v>
      </c>
      <c r="G59" s="8" t="s">
        <v>414</v>
      </c>
      <c r="H59" s="20">
        <v>1849623.5915084165</v>
      </c>
      <c r="I59" s="21">
        <f>H59/H$657</f>
        <v>3.6264822166274364E-2</v>
      </c>
      <c r="J59" s="22">
        <f>I59*J$687</f>
        <v>376174.31129914284</v>
      </c>
      <c r="K59" s="2">
        <v>0</v>
      </c>
      <c r="L59" s="21">
        <f ca="1">K59/K$657</f>
        <v>0</v>
      </c>
      <c r="M59" s="22">
        <f ca="1">L59*M$687</f>
        <v>0</v>
      </c>
      <c r="N59" s="2">
        <v>0</v>
      </c>
      <c r="O59" s="21">
        <f ca="1">N59/N$657</f>
        <v>0</v>
      </c>
      <c r="P59" s="22">
        <f ca="1">O59*P$687</f>
        <v>0</v>
      </c>
      <c r="Q59" s="2">
        <v>0</v>
      </c>
      <c r="R59" s="21">
        <f ca="1">Q59/Q$657</f>
        <v>0</v>
      </c>
      <c r="S59" s="22">
        <f ca="1">R59*S$687</f>
        <v>0</v>
      </c>
      <c r="T59" s="2">
        <v>0</v>
      </c>
      <c r="U59" s="21">
        <f ca="1">T59/T$657</f>
        <v>0</v>
      </c>
      <c r="V59" s="22">
        <f ca="1">U59*V$687</f>
        <v>0</v>
      </c>
      <c r="W59" s="2">
        <v>0</v>
      </c>
      <c r="X59" s="21">
        <f ca="1">W59/W$657</f>
        <v>0</v>
      </c>
      <c r="Y59" s="22">
        <f ca="1">X59*Y$687</f>
        <v>0</v>
      </c>
      <c r="Z59" s="2">
        <v>0</v>
      </c>
      <c r="AA59" s="21">
        <f ca="1">Z59/Z$657</f>
        <v>0</v>
      </c>
      <c r="AB59" s="22">
        <f ca="1">AA59*AB$687</f>
        <v>0</v>
      </c>
      <c r="AC59" s="2">
        <v>0</v>
      </c>
      <c r="AD59" s="21">
        <f ca="1">AC59/AC$657</f>
        <v>0</v>
      </c>
      <c r="AE59" s="22">
        <f ca="1">AD59*AE$687</f>
        <v>0</v>
      </c>
      <c r="AF59" s="2">
        <v>0</v>
      </c>
      <c r="AG59" s="21">
        <f ca="1">AF59/AF$657</f>
        <v>0</v>
      </c>
      <c r="AH59" s="22">
        <f ca="1">AG59*AH$687</f>
        <v>0</v>
      </c>
      <c r="AI59" s="2">
        <v>0</v>
      </c>
      <c r="AJ59" s="21">
        <f ca="1">AI59/AI$657</f>
        <v>0</v>
      </c>
      <c r="AK59" s="22">
        <f ca="1">AJ59*AK$687</f>
        <v>0</v>
      </c>
      <c r="AL59" s="2">
        <v>1849623.5915084165</v>
      </c>
    </row>
    <row r="60" spans="1:38" ht="12.75" x14ac:dyDescent="0.2">
      <c r="A60" s="8" t="s">
        <v>16</v>
      </c>
      <c r="B60" s="8" t="s">
        <v>17</v>
      </c>
      <c r="C60" s="8" t="s">
        <v>18</v>
      </c>
      <c r="D60" s="8" t="s">
        <v>45</v>
      </c>
      <c r="E60" s="8" t="s">
        <v>46</v>
      </c>
      <c r="F60" s="8" t="s">
        <v>28</v>
      </c>
      <c r="G60" s="8" t="s">
        <v>415</v>
      </c>
      <c r="H60" s="20">
        <v>0</v>
      </c>
      <c r="I60" s="21">
        <f>H60/H$669</f>
        <v>0</v>
      </c>
      <c r="J60" s="22">
        <f>I60*J$699</f>
        <v>0</v>
      </c>
      <c r="K60" s="2">
        <v>123470.13123627241</v>
      </c>
      <c r="L60" s="21">
        <f ca="1">K60/K$669</f>
        <v>1.7020132560355315E-2</v>
      </c>
      <c r="M60" s="22">
        <f ca="1">L60*M$699</f>
        <v>80670.713759364968</v>
      </c>
      <c r="N60" s="2">
        <v>139926.5114877887</v>
      </c>
      <c r="O60" s="21">
        <f ca="1">N60/N$669</f>
        <v>4.9611528404332845E-3</v>
      </c>
      <c r="P60" s="22">
        <f ca="1">O60*P$699</f>
        <v>24125.866980071514</v>
      </c>
      <c r="Q60" s="2">
        <v>367221.83905486099</v>
      </c>
      <c r="R60" s="21">
        <f ca="1">Q60/Q$669</f>
        <v>9.7146622385688181E-3</v>
      </c>
      <c r="S60" s="22">
        <f ca="1">R60*S$699</f>
        <v>48328.538425855419</v>
      </c>
      <c r="T60" s="2">
        <v>0</v>
      </c>
      <c r="U60" s="21">
        <f ca="1">T60/T$669</f>
        <v>0</v>
      </c>
      <c r="V60" s="22">
        <f ca="1">U60*V$699</f>
        <v>0</v>
      </c>
      <c r="W60" s="2">
        <v>0</v>
      </c>
      <c r="X60" s="21">
        <f ca="1">W60/W$669</f>
        <v>0</v>
      </c>
      <c r="Y60" s="22">
        <f ca="1">X60*Y$699</f>
        <v>0</v>
      </c>
      <c r="Z60" s="2">
        <v>0</v>
      </c>
      <c r="AA60" s="21">
        <f ca="1">Z60/Z$669</f>
        <v>0</v>
      </c>
      <c r="AB60" s="22">
        <f ca="1">AA60*AB$699</f>
        <v>0</v>
      </c>
      <c r="AC60" s="2">
        <v>1280429.2063341162</v>
      </c>
      <c r="AD60" s="21">
        <f ca="1">AC60/AC$669</f>
        <v>4.0601264518932485E-2</v>
      </c>
      <c r="AE60" s="22">
        <f ca="1">AD60*AE$699</f>
        <v>218204.34343223236</v>
      </c>
      <c r="AF60" s="2">
        <v>0</v>
      </c>
      <c r="AG60" s="21">
        <f ca="1">AF60/AF$669</f>
        <v>0</v>
      </c>
      <c r="AH60" s="22">
        <f ca="1">AG60*AH$699</f>
        <v>0</v>
      </c>
      <c r="AI60" s="2">
        <v>0</v>
      </c>
      <c r="AJ60" s="21">
        <f ca="1">AI60/AI$669</f>
        <v>0</v>
      </c>
      <c r="AK60" s="22">
        <f ca="1">AJ60*AK$699</f>
        <v>0</v>
      </c>
      <c r="AL60" s="2">
        <v>1911047.6881130382</v>
      </c>
    </row>
    <row r="61" spans="1:38" ht="12.75" x14ac:dyDescent="0.2">
      <c r="A61" s="8" t="s">
        <v>16</v>
      </c>
      <c r="B61" s="8" t="s">
        <v>17</v>
      </c>
      <c r="C61" s="8" t="s">
        <v>18</v>
      </c>
      <c r="D61" s="8" t="s">
        <v>45</v>
      </c>
      <c r="E61" s="8" t="s">
        <v>46</v>
      </c>
      <c r="F61" s="8" t="s">
        <v>47</v>
      </c>
      <c r="G61" s="8" t="s">
        <v>416</v>
      </c>
      <c r="H61" s="20">
        <v>16339046.343502063</v>
      </c>
      <c r="I61" s="2">
        <f>H61/H$658</f>
        <v>0.34806588577855907</v>
      </c>
      <c r="J61" s="22">
        <f>I61*J$688</f>
        <v>11105457.328366661</v>
      </c>
      <c r="K61" s="2">
        <v>15456696.003345666</v>
      </c>
      <c r="L61" s="2">
        <f ca="1">K61/K$658</f>
        <v>0.32775532032792876</v>
      </c>
      <c r="M61" s="22">
        <f ca="1">L61*M$688</f>
        <v>15401561.791239422</v>
      </c>
      <c r="N61" s="2">
        <v>8634051.9428144787</v>
      </c>
      <c r="O61" s="2">
        <f ca="1">N61/N$658</f>
        <v>0.31899431713166054</v>
      </c>
      <c r="P61" s="22">
        <f ca="1">O61*P$688</f>
        <v>15379609.882893389</v>
      </c>
      <c r="Q61" s="2">
        <v>11638103.017381197</v>
      </c>
      <c r="R61" s="2">
        <f ca="1">Q61/Q$658</f>
        <v>0.37267691286303672</v>
      </c>
      <c r="S61" s="22">
        <f ca="1">R61*S$688</f>
        <v>18381057.607421488</v>
      </c>
      <c r="T61" s="2">
        <v>9280668.729775941</v>
      </c>
      <c r="U61" s="2">
        <f ca="1">T61/T$658</f>
        <v>0.33042128933820375</v>
      </c>
      <c r="V61" s="22">
        <f ca="1">U61*V$688</f>
        <v>16639174.277102539</v>
      </c>
      <c r="W61" s="2">
        <v>8749768.4303859007</v>
      </c>
      <c r="X61" s="2">
        <f ca="1">W61/W$658</f>
        <v>0.33727278066608363</v>
      </c>
      <c r="Y61" s="22">
        <f ca="1">X61*Y$688</f>
        <v>17323881.88127391</v>
      </c>
      <c r="Z61" s="2">
        <v>7973650.1859922707</v>
      </c>
      <c r="AA61" s="2">
        <f ca="1">Z61/Z$658</f>
        <v>0.31715652348770518</v>
      </c>
      <c r="AB61" s="22">
        <f ca="1">AA61*AB$688</f>
        <v>16583849.486176293</v>
      </c>
      <c r="AC61" s="2">
        <v>15691065.084033336</v>
      </c>
      <c r="AD61" s="2">
        <f ca="1">AC61/AC$658</f>
        <v>0.42942929520607587</v>
      </c>
      <c r="AE61" s="22">
        <f ca="1">AD61*AE$688</f>
        <v>22881134.340355065</v>
      </c>
      <c r="AF61" s="2">
        <v>21221528.583599363</v>
      </c>
      <c r="AG61" s="2">
        <f ca="1">AF61/AF$658</f>
        <v>0.43562519797588589</v>
      </c>
      <c r="AH61" s="22">
        <f ca="1">AG61*AH$688</f>
        <v>23629071.344163969</v>
      </c>
      <c r="AI61" s="2">
        <v>22656110.755855612</v>
      </c>
      <c r="AJ61" s="2">
        <f ca="1">AI61/AI$658</f>
        <v>0.35261755069912265</v>
      </c>
      <c r="AK61" s="22">
        <f ca="1">AJ61*AK$688</f>
        <v>19470870.273558293</v>
      </c>
      <c r="AL61" s="2">
        <v>137640689.07668582</v>
      </c>
    </row>
    <row r="62" spans="1:38" ht="12.75" x14ac:dyDescent="0.2">
      <c r="A62" s="8" t="s">
        <v>16</v>
      </c>
      <c r="B62" s="8" t="s">
        <v>17</v>
      </c>
      <c r="C62" s="8" t="s">
        <v>18</v>
      </c>
      <c r="D62" s="8" t="s">
        <v>45</v>
      </c>
      <c r="E62" s="8" t="s">
        <v>46</v>
      </c>
      <c r="F62" s="8" t="s">
        <v>43</v>
      </c>
      <c r="G62" s="8" t="s">
        <v>417</v>
      </c>
      <c r="H62" s="20">
        <v>0</v>
      </c>
      <c r="I62" s="21">
        <f>H62/H$659</f>
        <v>0</v>
      </c>
      <c r="J62" s="22">
        <f>I62*J$689</f>
        <v>0</v>
      </c>
      <c r="K62" s="2">
        <v>26984302.681209195</v>
      </c>
      <c r="L62" s="21">
        <f ca="1">K62/K$659</f>
        <v>0.40222021043110923</v>
      </c>
      <c r="M62" s="22">
        <f ca="1">L62*M$689</f>
        <v>19802654.832751818</v>
      </c>
      <c r="N62" s="2">
        <v>21616869.422063652</v>
      </c>
      <c r="O62" s="21">
        <f ca="1">N62/N$659</f>
        <v>0.64059972718086289</v>
      </c>
      <c r="P62" s="22">
        <f ca="1">O62*P$689</f>
        <v>32358891.731880657</v>
      </c>
      <c r="Q62" s="2">
        <v>23093875.146784406</v>
      </c>
      <c r="R62" s="21">
        <f ca="1">Q62/Q$659</f>
        <v>0.37727026346224379</v>
      </c>
      <c r="S62" s="22">
        <f ca="1">R62*S$689</f>
        <v>19495532.348677635</v>
      </c>
      <c r="T62" s="2">
        <v>20217112.203027338</v>
      </c>
      <c r="U62" s="21">
        <f ca="1">T62/T$659</f>
        <v>0.35411444688487231</v>
      </c>
      <c r="V62" s="22">
        <f ca="1">U62*V$689</f>
        <v>18683227.859328829</v>
      </c>
      <c r="W62" s="2">
        <v>12158979.483504923</v>
      </c>
      <c r="X62" s="21">
        <f ca="1">W62/W$659</f>
        <v>0.32176995512858536</v>
      </c>
      <c r="Y62" s="22">
        <f ca="1">X62*Y$689</f>
        <v>17316253.181739606</v>
      </c>
      <c r="Z62" s="2">
        <v>20721734.615582775</v>
      </c>
      <c r="AA62" s="21">
        <f ca="1">Z62/Z$659</f>
        <v>0.35035363853281154</v>
      </c>
      <c r="AB62" s="22">
        <f ca="1">AA62*AB$689</f>
        <v>19193883.180354688</v>
      </c>
      <c r="AC62" s="2">
        <v>3876125.1669052755</v>
      </c>
      <c r="AD62" s="21">
        <f ca="1">AC62/AC$659</f>
        <v>0.20865676010642301</v>
      </c>
      <c r="AE62" s="22">
        <f ca="1">AD62*AE$689</f>
        <v>11648308.352257891</v>
      </c>
      <c r="AF62" s="2">
        <v>43508212.003978938</v>
      </c>
      <c r="AG62" s="21">
        <f ca="1">AF62/AF$659</f>
        <v>0.40589464325194535</v>
      </c>
      <c r="AH62" s="22">
        <f ca="1">AG62*AH$689</f>
        <v>23067020.24990483</v>
      </c>
      <c r="AI62" s="2">
        <v>20692975.879046623</v>
      </c>
      <c r="AJ62" s="21">
        <f ca="1">AI62/AI$659</f>
        <v>0.32604926822010755</v>
      </c>
      <c r="AK62" s="22">
        <f ca="1">AJ62*AK$689</f>
        <v>18862931.382461496</v>
      </c>
      <c r="AL62" s="2">
        <v>192870186.60210311</v>
      </c>
    </row>
    <row r="63" spans="1:38" ht="12.75" x14ac:dyDescent="0.2">
      <c r="A63" s="8" t="s">
        <v>16</v>
      </c>
      <c r="B63" s="8" t="s">
        <v>17</v>
      </c>
      <c r="C63" s="8" t="s">
        <v>18</v>
      </c>
      <c r="D63" s="8" t="s">
        <v>45</v>
      </c>
      <c r="E63" s="8" t="s">
        <v>46</v>
      </c>
      <c r="F63" s="8" t="s">
        <v>145</v>
      </c>
      <c r="G63" s="8" t="s">
        <v>418</v>
      </c>
      <c r="H63" s="20">
        <v>0</v>
      </c>
      <c r="I63" s="21">
        <f>H63/H$661</f>
        <v>0</v>
      </c>
      <c r="J63" s="22">
        <f>I63*J$691</f>
        <v>0</v>
      </c>
      <c r="K63" s="2">
        <v>0</v>
      </c>
      <c r="L63" s="21">
        <f ca="1">K63/K$661</f>
        <v>0</v>
      </c>
      <c r="M63" s="22">
        <f ca="1">L63*M$691</f>
        <v>0</v>
      </c>
      <c r="N63" s="2">
        <v>0</v>
      </c>
      <c r="O63" s="21">
        <f ca="1">N63/N$661</f>
        <v>0</v>
      </c>
      <c r="P63" s="22">
        <f ca="1">O63*P$691</f>
        <v>0</v>
      </c>
      <c r="Q63" s="2">
        <v>0</v>
      </c>
      <c r="R63" s="21">
        <f ca="1">Q63/Q$661</f>
        <v>0</v>
      </c>
      <c r="S63" s="22">
        <f ca="1">R63*S$691</f>
        <v>0</v>
      </c>
      <c r="T63" s="2">
        <v>0</v>
      </c>
      <c r="U63" s="21">
        <f ca="1">T63/T$661</f>
        <v>0</v>
      </c>
      <c r="V63" s="22">
        <f ca="1">U63*V$691</f>
        <v>0</v>
      </c>
      <c r="W63" s="2">
        <v>0</v>
      </c>
      <c r="X63" s="21">
        <f ca="1">W63/W$661</f>
        <v>0</v>
      </c>
      <c r="Y63" s="22">
        <f ca="1">X63*Y$691</f>
        <v>0</v>
      </c>
      <c r="Z63" s="2">
        <v>0</v>
      </c>
      <c r="AA63" s="21">
        <f ca="1">Z63/Z$661</f>
        <v>0</v>
      </c>
      <c r="AB63" s="22">
        <f ca="1">AA63*AB$691</f>
        <v>0</v>
      </c>
      <c r="AC63" s="2">
        <v>0</v>
      </c>
      <c r="AD63" s="21">
        <f ca="1">AC63/AC$661</f>
        <v>0</v>
      </c>
      <c r="AE63" s="22">
        <f ca="1">AD63*AE$691</f>
        <v>0</v>
      </c>
      <c r="AF63" s="2">
        <v>0</v>
      </c>
      <c r="AG63" s="21">
        <f ca="1">AF63/AF$661</f>
        <v>0</v>
      </c>
      <c r="AH63" s="22">
        <f ca="1">AG63*AH$691</f>
        <v>0</v>
      </c>
      <c r="AI63" s="2">
        <v>0</v>
      </c>
      <c r="AJ63" s="21">
        <f ca="1">AI63/AI$661</f>
        <v>0</v>
      </c>
      <c r="AK63" s="22">
        <f ca="1">AJ63*AK$691</f>
        <v>0</v>
      </c>
      <c r="AL63" s="2">
        <v>0</v>
      </c>
    </row>
    <row r="64" spans="1:38" ht="12.75" x14ac:dyDescent="0.2">
      <c r="A64" s="8" t="s">
        <v>16</v>
      </c>
      <c r="B64" s="8" t="s">
        <v>17</v>
      </c>
      <c r="C64" s="8" t="s">
        <v>18</v>
      </c>
      <c r="D64" s="8" t="s">
        <v>45</v>
      </c>
      <c r="E64" s="8" t="s">
        <v>46</v>
      </c>
      <c r="F64" s="8" t="s">
        <v>139</v>
      </c>
      <c r="G64" s="8" t="s">
        <v>419</v>
      </c>
      <c r="H64" s="20">
        <v>0</v>
      </c>
      <c r="I64" s="21">
        <f>H64/H$662</f>
        <v>0</v>
      </c>
      <c r="J64" s="22">
        <f>I64*J$692</f>
        <v>0</v>
      </c>
      <c r="K64" s="2">
        <v>0</v>
      </c>
      <c r="L64" s="21">
        <f ca="1">K64/K$662</f>
        <v>0</v>
      </c>
      <c r="M64" s="22">
        <f ca="1">L64*M$692</f>
        <v>0</v>
      </c>
      <c r="N64" s="2">
        <v>0</v>
      </c>
      <c r="O64" s="21">
        <f ca="1">N64/N$662</f>
        <v>0</v>
      </c>
      <c r="P64" s="22">
        <f ca="1">O64*P$692</f>
        <v>0</v>
      </c>
      <c r="Q64" s="2">
        <v>0</v>
      </c>
      <c r="R64" s="21">
        <f ca="1">Q64/Q$662</f>
        <v>0</v>
      </c>
      <c r="S64" s="22">
        <f ca="1">R64*S$692</f>
        <v>0</v>
      </c>
      <c r="T64" s="2">
        <v>0</v>
      </c>
      <c r="U64" s="21">
        <f ca="1">T64/T$662</f>
        <v>0</v>
      </c>
      <c r="V64" s="22">
        <f ca="1">U64*V$692</f>
        <v>0</v>
      </c>
      <c r="W64" s="2">
        <v>0</v>
      </c>
      <c r="X64" s="21">
        <f ca="1">W64/W$662</f>
        <v>0</v>
      </c>
      <c r="Y64" s="22">
        <f ca="1">X64*Y$692</f>
        <v>0</v>
      </c>
      <c r="Z64" s="2">
        <v>0</v>
      </c>
      <c r="AA64" s="21">
        <f ca="1">Z64/Z$662</f>
        <v>0</v>
      </c>
      <c r="AB64" s="22">
        <f ca="1">AA64*AB$692</f>
        <v>0</v>
      </c>
      <c r="AC64" s="2">
        <v>0</v>
      </c>
      <c r="AD64" s="21">
        <f ca="1">AC64/AC$662</f>
        <v>0</v>
      </c>
      <c r="AE64" s="22">
        <f ca="1">AD64*AE$692</f>
        <v>0</v>
      </c>
      <c r="AF64" s="2">
        <v>0</v>
      </c>
      <c r="AG64" s="21">
        <f ca="1">AF64/AF$662</f>
        <v>0</v>
      </c>
      <c r="AH64" s="22">
        <f ca="1">AG64*AH$692</f>
        <v>0</v>
      </c>
      <c r="AI64" s="2">
        <v>0</v>
      </c>
      <c r="AJ64" s="21">
        <f ca="1">AI64/AI$662</f>
        <v>0</v>
      </c>
      <c r="AK64" s="22">
        <f ca="1">AJ64*AK$692</f>
        <v>0</v>
      </c>
      <c r="AL64" s="2">
        <v>0</v>
      </c>
    </row>
    <row r="65" spans="1:38" ht="12.75" x14ac:dyDescent="0.2">
      <c r="A65" s="8" t="s">
        <v>16</v>
      </c>
      <c r="B65" s="8" t="s">
        <v>17</v>
      </c>
      <c r="C65" s="8" t="s">
        <v>18</v>
      </c>
      <c r="D65" s="8" t="s">
        <v>45</v>
      </c>
      <c r="E65" s="8" t="s">
        <v>46</v>
      </c>
      <c r="F65" s="8" t="s">
        <v>48</v>
      </c>
      <c r="G65" s="8" t="s">
        <v>420</v>
      </c>
      <c r="H65" s="20">
        <v>3896687.5124754999</v>
      </c>
      <c r="I65" s="21">
        <f>H65/H$663</f>
        <v>0.26977595057287779</v>
      </c>
      <c r="J65" s="22">
        <f>I65*J$693</f>
        <v>5441082.0113017103</v>
      </c>
      <c r="K65" s="2">
        <v>3985426.4842766598</v>
      </c>
      <c r="L65" s="21">
        <f ca="1">K65/K$663</f>
        <v>0.26325893474862727</v>
      </c>
      <c r="M65" s="22">
        <f ca="1">L65*M$693</f>
        <v>6016889.0470305802</v>
      </c>
      <c r="N65" s="2">
        <v>5174187.9868861614</v>
      </c>
      <c r="O65" s="21">
        <f ca="1">N65/N$663</f>
        <v>0.28240015878607899</v>
      </c>
      <c r="P65" s="22">
        <f ca="1">O65*P$693</f>
        <v>6622183.0422289418</v>
      </c>
      <c r="Q65" s="2">
        <v>6700414.8571851421</v>
      </c>
      <c r="R65" s="21">
        <f ca="1">Q65/Q$663</f>
        <v>0.30769580038567246</v>
      </c>
      <c r="S65" s="22">
        <f ca="1">R65*S$693</f>
        <v>7381310.0261697154</v>
      </c>
      <c r="T65" s="2">
        <v>6463900.6310620196</v>
      </c>
      <c r="U65" s="21">
        <f ca="1">T65/T$663</f>
        <v>0.30500400380874898</v>
      </c>
      <c r="V65" s="22">
        <f ca="1">U65*V$693</f>
        <v>7470388.0251526311</v>
      </c>
      <c r="W65" s="2">
        <v>6955265.3660442773</v>
      </c>
      <c r="X65" s="21">
        <f ca="1">W65/W$663</f>
        <v>0.31064545246575576</v>
      </c>
      <c r="Y65" s="22">
        <f ca="1">X65*Y$693</f>
        <v>7760733.8921123352</v>
      </c>
      <c r="Z65" s="2">
        <v>7614878.3824859774</v>
      </c>
      <c r="AA65" s="21">
        <f ca="1">Z65/Z$663</f>
        <v>0.30002523996414926</v>
      </c>
      <c r="AB65" s="22">
        <f ca="1">AA65*AB$693</f>
        <v>7630330.7132395264</v>
      </c>
      <c r="AC65" s="2">
        <v>7478183.4862210006</v>
      </c>
      <c r="AD65" s="21">
        <f ca="1">AC65/AC$663</f>
        <v>0.49431673482746447</v>
      </c>
      <c r="AE65" s="22">
        <f ca="1">AD65*AE$693</f>
        <v>12810470.106634479</v>
      </c>
      <c r="AF65" s="2">
        <v>7680768.539035677</v>
      </c>
      <c r="AG65" s="21">
        <f ca="1">AF65/AF$663</f>
        <v>0.28902212178824738</v>
      </c>
      <c r="AH65" s="22">
        <f ca="1">AG65*AH$693</f>
        <v>7624978.3828599993</v>
      </c>
      <c r="AI65" s="2">
        <v>0</v>
      </c>
      <c r="AJ65" s="21">
        <f ca="1">AI65/AI$663</f>
        <v>0</v>
      </c>
      <c r="AK65" s="22">
        <f ca="1">AJ65*AK$693</f>
        <v>0</v>
      </c>
      <c r="AL65" s="2">
        <v>55949713.24567242</v>
      </c>
    </row>
    <row r="66" spans="1:38" ht="12.75" x14ac:dyDescent="0.2">
      <c r="A66" s="8" t="s">
        <v>16</v>
      </c>
      <c r="B66" s="8" t="s">
        <v>17</v>
      </c>
      <c r="C66" s="8" t="s">
        <v>18</v>
      </c>
      <c r="D66" s="8" t="s">
        <v>45</v>
      </c>
      <c r="E66" s="8" t="s">
        <v>46</v>
      </c>
      <c r="F66" s="8" t="s">
        <v>34</v>
      </c>
      <c r="G66" s="8" t="s">
        <v>421</v>
      </c>
      <c r="H66" s="20">
        <v>0</v>
      </c>
      <c r="I66" s="21">
        <f>H66/H$653</f>
        <v>0</v>
      </c>
      <c r="J66" s="22">
        <f>I66*J$683</f>
        <v>0</v>
      </c>
      <c r="K66" s="2">
        <v>0</v>
      </c>
      <c r="L66" s="21">
        <f ca="1">K66/K$653</f>
        <v>0</v>
      </c>
      <c r="M66" s="22">
        <f ca="1">L66*M$683</f>
        <v>0</v>
      </c>
      <c r="N66" s="2">
        <v>0</v>
      </c>
      <c r="O66" s="21">
        <f ca="1">N66/N$653</f>
        <v>0</v>
      </c>
      <c r="P66" s="22">
        <f ca="1">O66*P$683</f>
        <v>0</v>
      </c>
      <c r="Q66" s="2">
        <v>0</v>
      </c>
      <c r="R66" s="21">
        <f ca="1">Q66/Q$653</f>
        <v>0</v>
      </c>
      <c r="S66" s="22">
        <f ca="1">R66*S$683</f>
        <v>0</v>
      </c>
      <c r="T66" s="2">
        <v>0</v>
      </c>
      <c r="U66" s="21">
        <f ca="1">T66/T$653</f>
        <v>0</v>
      </c>
      <c r="V66" s="22">
        <f ca="1">U66*V$683</f>
        <v>0</v>
      </c>
      <c r="W66" s="2">
        <v>0</v>
      </c>
      <c r="X66" s="21">
        <f ca="1">W66/W$653</f>
        <v>0</v>
      </c>
      <c r="Y66" s="22">
        <f ca="1">X66*Y$683</f>
        <v>0</v>
      </c>
      <c r="Z66" s="2">
        <v>0</v>
      </c>
      <c r="AA66" s="21">
        <f ca="1">Z66/Z$653</f>
        <v>0</v>
      </c>
      <c r="AB66" s="22">
        <f ca="1">AA66*AB$683</f>
        <v>0</v>
      </c>
      <c r="AC66" s="2">
        <v>0</v>
      </c>
      <c r="AD66" s="21">
        <f ca="1">AC66/AC$653</f>
        <v>0</v>
      </c>
      <c r="AE66" s="22">
        <f ca="1">AD66*AE$683</f>
        <v>0</v>
      </c>
      <c r="AF66" s="2">
        <v>0</v>
      </c>
      <c r="AG66" s="21">
        <f ca="1">AF66/AF$653</f>
        <v>0</v>
      </c>
      <c r="AH66" s="22">
        <f ca="1">AG66*AH$683</f>
        <v>0</v>
      </c>
      <c r="AI66" s="2">
        <v>0</v>
      </c>
      <c r="AJ66" s="21">
        <f ca="1">AI66/AI$653</f>
        <v>0</v>
      </c>
      <c r="AK66" s="22">
        <f ca="1">AJ66*AK$683</f>
        <v>0</v>
      </c>
      <c r="AL66" s="2">
        <v>0</v>
      </c>
    </row>
    <row r="67" spans="1:38" ht="12.75" x14ac:dyDescent="0.2">
      <c r="A67" s="8" t="s">
        <v>16</v>
      </c>
      <c r="B67" s="8" t="s">
        <v>17</v>
      </c>
      <c r="C67" s="8" t="s">
        <v>18</v>
      </c>
      <c r="D67" s="8" t="s">
        <v>45</v>
      </c>
      <c r="E67" s="8" t="s">
        <v>46</v>
      </c>
      <c r="F67" s="8" t="s">
        <v>49</v>
      </c>
      <c r="G67" s="8" t="s">
        <v>422</v>
      </c>
      <c r="H67" s="20">
        <v>12183218.21612688</v>
      </c>
      <c r="I67" s="21">
        <f>H67/H$644</f>
        <v>0.61920666756915788</v>
      </c>
      <c r="J67" s="22">
        <f>I67*J$674</f>
        <v>18795952.138948359</v>
      </c>
      <c r="K67" s="2">
        <v>12161782.677672582</v>
      </c>
      <c r="L67" s="21">
        <f>K67/K$644</f>
        <v>0.87433304743101281</v>
      </c>
      <c r="M67" s="22">
        <f>L67*M$674</f>
        <v>19227947.244138774</v>
      </c>
      <c r="N67" s="2">
        <v>12257505.210189041</v>
      </c>
      <c r="O67" s="21">
        <f>N67/N$644</f>
        <v>0.53145244767991506</v>
      </c>
      <c r="P67" s="22">
        <f>O67*P$674</f>
        <v>11991342.302721281</v>
      </c>
      <c r="Q67" s="2">
        <v>14412068.394034948</v>
      </c>
      <c r="R67" s="21">
        <f>Q67/Q$644</f>
        <v>0.89183214096759478</v>
      </c>
      <c r="S67" s="22">
        <f>R67*S$674</f>
        <v>20585534.244940031</v>
      </c>
      <c r="T67" s="2">
        <v>13370657.647680348</v>
      </c>
      <c r="U67" s="21">
        <f>T67/T$644</f>
        <v>0.5597490855894941</v>
      </c>
      <c r="V67" s="22">
        <f>U67*V$674</f>
        <v>13191620.755387146</v>
      </c>
      <c r="W67" s="2">
        <v>14164037.557621665</v>
      </c>
      <c r="X67" s="21">
        <f>W67/W$644</f>
        <v>0.89014606120240525</v>
      </c>
      <c r="Y67" s="22">
        <f>X67*Y$674</f>
        <v>21397656.474386316</v>
      </c>
      <c r="Z67" s="2">
        <v>14125745.35112201</v>
      </c>
      <c r="AA67" s="21">
        <f>Z67/Z$644</f>
        <v>0.57394304820623965</v>
      </c>
      <c r="AB67" s="22">
        <f>AA67*AB$674</f>
        <v>14044992.588254198</v>
      </c>
      <c r="AC67" s="2">
        <v>14012296.665221222</v>
      </c>
      <c r="AD67" s="21">
        <f>AC67/AC$644</f>
        <v>0.88908838220936726</v>
      </c>
      <c r="AE67" s="22">
        <f>AD67*AE$674</f>
        <v>22170313.464466058</v>
      </c>
      <c r="AF67" s="2">
        <v>14716663.128804525</v>
      </c>
      <c r="AG67" s="21">
        <f>AF67/AF$644</f>
        <v>0.45594824481562479</v>
      </c>
      <c r="AH67" s="22">
        <f>AG67*AH$674</f>
        <v>11574179.799461225</v>
      </c>
      <c r="AI67" s="2">
        <v>14527023.097247617</v>
      </c>
      <c r="AJ67" s="21">
        <f>AI67/AI$644</f>
        <v>0.40194011457858553</v>
      </c>
      <c r="AK67" s="22">
        <f>AJ67*AK$674</f>
        <v>10386848.721529203</v>
      </c>
      <c r="AL67" s="2">
        <v>135930997.94572082</v>
      </c>
    </row>
    <row r="68" spans="1:38" ht="12.75" x14ac:dyDescent="0.2">
      <c r="A68" s="8" t="s">
        <v>16</v>
      </c>
      <c r="B68" s="8" t="s">
        <v>17</v>
      </c>
      <c r="C68" s="8" t="s">
        <v>18</v>
      </c>
      <c r="D68" s="8" t="s">
        <v>50</v>
      </c>
      <c r="E68" s="8" t="s">
        <v>51</v>
      </c>
      <c r="F68" s="8" t="s">
        <v>21</v>
      </c>
      <c r="G68" s="8" t="s">
        <v>423</v>
      </c>
      <c r="H68" s="20">
        <v>0</v>
      </c>
      <c r="I68" s="21">
        <f>H68/H$645</f>
        <v>0</v>
      </c>
      <c r="J68" s="22">
        <f>I68*J$675</f>
        <v>0</v>
      </c>
      <c r="K68" s="2">
        <v>0</v>
      </c>
      <c r="L68" s="21">
        <f ca="1">K68/K$645</f>
        <v>0</v>
      </c>
      <c r="M68" s="22">
        <f ca="1">L68*M$675</f>
        <v>0</v>
      </c>
      <c r="N68" s="2">
        <v>0</v>
      </c>
      <c r="O68" s="21">
        <f ca="1">N68/N$645</f>
        <v>0</v>
      </c>
      <c r="P68" s="22">
        <f ca="1">O68*P$675</f>
        <v>0</v>
      </c>
      <c r="Q68" s="2">
        <v>0</v>
      </c>
      <c r="R68" s="21">
        <f ca="1">Q68/Q$645</f>
        <v>0</v>
      </c>
      <c r="S68" s="22">
        <f ca="1">R68*S$675</f>
        <v>0</v>
      </c>
      <c r="T68" s="2">
        <v>0</v>
      </c>
      <c r="U68" s="21">
        <f ca="1">T68/T$645</f>
        <v>0</v>
      </c>
      <c r="V68" s="22">
        <f ca="1">U68*V$675</f>
        <v>0</v>
      </c>
      <c r="W68" s="2">
        <v>0</v>
      </c>
      <c r="X68" s="21">
        <f ca="1">W68/W$645</f>
        <v>0</v>
      </c>
      <c r="Y68" s="22">
        <f ca="1">X68*Y$675</f>
        <v>0</v>
      </c>
      <c r="Z68" s="2">
        <v>0</v>
      </c>
      <c r="AA68" s="21">
        <f ca="1">Z68/Z$645</f>
        <v>0</v>
      </c>
      <c r="AB68" s="22">
        <f ca="1">AA68*AB$675</f>
        <v>0</v>
      </c>
      <c r="AC68" s="2">
        <v>0</v>
      </c>
      <c r="AD68" s="21">
        <f ca="1">AC68/AC$645</f>
        <v>0</v>
      </c>
      <c r="AE68" s="22">
        <f ca="1">AD68*AE$675</f>
        <v>0</v>
      </c>
      <c r="AF68" s="2">
        <v>0</v>
      </c>
      <c r="AG68" s="21">
        <f ca="1">AF68/AF$645</f>
        <v>0</v>
      </c>
      <c r="AH68" s="22">
        <f ca="1">AG68*AH$675</f>
        <v>0</v>
      </c>
      <c r="AI68" s="2">
        <v>0</v>
      </c>
      <c r="AJ68" s="21">
        <f ca="1">AI68/AI$645</f>
        <v>0</v>
      </c>
      <c r="AK68" s="22">
        <f ca="1">AJ68*AK$675</f>
        <v>0</v>
      </c>
      <c r="AL68" s="2">
        <v>0</v>
      </c>
    </row>
    <row r="69" spans="1:38" ht="12.75" x14ac:dyDescent="0.2">
      <c r="A69" s="8" t="s">
        <v>16</v>
      </c>
      <c r="B69" s="8" t="s">
        <v>17</v>
      </c>
      <c r="C69" s="8" t="s">
        <v>18</v>
      </c>
      <c r="D69" s="8" t="s">
        <v>50</v>
      </c>
      <c r="E69" s="8" t="s">
        <v>51</v>
      </c>
      <c r="F69" s="8" t="s">
        <v>24</v>
      </c>
      <c r="G69" s="8" t="s">
        <v>424</v>
      </c>
      <c r="H69" s="20">
        <v>0</v>
      </c>
      <c r="I69" s="21">
        <f t="shared" ref="I69:I70" si="40">H69/H$646</f>
        <v>0</v>
      </c>
      <c r="J69" s="22">
        <f t="shared" ref="J69:J70" si="41">I69*J$676</f>
        <v>0</v>
      </c>
      <c r="K69" s="2">
        <v>10550.681745224842</v>
      </c>
      <c r="L69" s="21">
        <f t="shared" ref="L69:L70" ca="1" si="42">K69/K$646</f>
        <v>1.6705674033738293E-4</v>
      </c>
      <c r="M69" s="22">
        <f t="shared" ref="M69:M70" ca="1" si="43">L69*M$676</f>
        <v>649.51882828639134</v>
      </c>
      <c r="N69" s="2">
        <v>51387.948206156041</v>
      </c>
      <c r="O69" s="21">
        <f t="shared" ref="O69:O70" ca="1" si="44">N69/N$646</f>
        <v>5.4819770346406494E-4</v>
      </c>
      <c r="P69" s="22">
        <f t="shared" ref="P69:P70" ca="1" si="45">O69*P$676</f>
        <v>9313.3865084475547</v>
      </c>
      <c r="Q69" s="2">
        <v>48965.142656502489</v>
      </c>
      <c r="R69" s="21">
        <f t="shared" ref="R69:R70" ca="1" si="46">Q69/Q$646</f>
        <v>4.4024473793489798E-4</v>
      </c>
      <c r="S69" s="22">
        <f t="shared" ref="S69:S70" ca="1" si="47">R69*S$676</f>
        <v>7651.38794003768</v>
      </c>
      <c r="T69" s="2">
        <v>0</v>
      </c>
      <c r="U69" s="21">
        <f t="shared" ref="U69:U70" ca="1" si="48">T69/T$646</f>
        <v>0</v>
      </c>
      <c r="V69" s="22">
        <f t="shared" ref="V69:V70" ca="1" si="49">U69*V$676</f>
        <v>0</v>
      </c>
      <c r="W69" s="2">
        <v>0</v>
      </c>
      <c r="X69" s="21">
        <f t="shared" ref="X69:X70" ca="1" si="50">W69/W$646</f>
        <v>0</v>
      </c>
      <c r="Y69" s="22">
        <f t="shared" ref="Y69:Y70" ca="1" si="51">X69*Y$676</f>
        <v>0</v>
      </c>
      <c r="Z69" s="2">
        <v>52037.681575604212</v>
      </c>
      <c r="AA69" s="21">
        <f t="shared" ref="AA69:AA70" ca="1" si="52">Z69/Z$646</f>
        <v>4.4834676663143105E-4</v>
      </c>
      <c r="AB69" s="22">
        <f t="shared" ref="AB69:AB70" ca="1" si="53">AA69*AB$676</f>
        <v>8261.0220689120433</v>
      </c>
      <c r="AC69" s="2">
        <v>0</v>
      </c>
      <c r="AD69" s="21">
        <f t="shared" ref="AD69:AD70" ca="1" si="54">AC69/AC$646</f>
        <v>0</v>
      </c>
      <c r="AE69" s="22">
        <f t="shared" ref="AE69:AE70" ca="1" si="55">AD69*AE$676</f>
        <v>0</v>
      </c>
      <c r="AF69" s="2">
        <v>53101.997953153885</v>
      </c>
      <c r="AG69" s="21">
        <f t="shared" ref="AG69:AG70" ca="1" si="56">AF69/AF$646</f>
        <v>5.6411233279632931E-4</v>
      </c>
      <c r="AH69" s="22">
        <f t="shared" ref="AH69:AH70" ca="1" si="57">AG69*AH$676</f>
        <v>10782.197853026739</v>
      </c>
      <c r="AI69" s="2">
        <v>0</v>
      </c>
      <c r="AJ69" s="21">
        <f t="shared" ref="AJ69:AJ70" ca="1" si="58">AI69/AI$646</f>
        <v>0</v>
      </c>
      <c r="AK69" s="22">
        <f t="shared" ref="AK69:AK70" ca="1" si="59">AJ69*AK$676</f>
        <v>0</v>
      </c>
      <c r="AL69" s="2">
        <v>216043.45213664148</v>
      </c>
    </row>
    <row r="70" spans="1:38" ht="12.75" x14ac:dyDescent="0.2">
      <c r="A70" s="8" t="s">
        <v>16</v>
      </c>
      <c r="B70" s="8" t="s">
        <v>17</v>
      </c>
      <c r="C70" s="8" t="s">
        <v>18</v>
      </c>
      <c r="D70" s="8" t="s">
        <v>50</v>
      </c>
      <c r="E70" s="8" t="s">
        <v>51</v>
      </c>
      <c r="F70" s="8" t="s">
        <v>24</v>
      </c>
      <c r="G70" s="8" t="s">
        <v>425</v>
      </c>
      <c r="H70" s="20">
        <v>0</v>
      </c>
      <c r="I70" s="21">
        <f t="shared" si="40"/>
        <v>0</v>
      </c>
      <c r="J70" s="22">
        <f t="shared" si="41"/>
        <v>0</v>
      </c>
      <c r="K70" s="2">
        <v>0</v>
      </c>
      <c r="L70" s="21">
        <f t="shared" ca="1" si="42"/>
        <v>0</v>
      </c>
      <c r="M70" s="22">
        <f t="shared" ca="1" si="43"/>
        <v>0</v>
      </c>
      <c r="N70" s="2">
        <v>0</v>
      </c>
      <c r="O70" s="21">
        <f t="shared" ca="1" si="44"/>
        <v>0</v>
      </c>
      <c r="P70" s="22">
        <f t="shared" ca="1" si="45"/>
        <v>0</v>
      </c>
      <c r="Q70" s="2">
        <v>0</v>
      </c>
      <c r="R70" s="21">
        <f t="shared" ca="1" si="46"/>
        <v>0</v>
      </c>
      <c r="S70" s="22">
        <f t="shared" ca="1" si="47"/>
        <v>0</v>
      </c>
      <c r="T70" s="2">
        <v>0</v>
      </c>
      <c r="U70" s="21">
        <f t="shared" ca="1" si="48"/>
        <v>0</v>
      </c>
      <c r="V70" s="22">
        <f t="shared" ca="1" si="49"/>
        <v>0</v>
      </c>
      <c r="W70" s="2">
        <v>0</v>
      </c>
      <c r="X70" s="21">
        <f t="shared" ca="1" si="50"/>
        <v>0</v>
      </c>
      <c r="Y70" s="22">
        <f t="shared" ca="1" si="51"/>
        <v>0</v>
      </c>
      <c r="Z70" s="2">
        <v>0</v>
      </c>
      <c r="AA70" s="21">
        <f t="shared" ca="1" si="52"/>
        <v>0</v>
      </c>
      <c r="AB70" s="22">
        <f t="shared" ca="1" si="53"/>
        <v>0</v>
      </c>
      <c r="AC70" s="2">
        <v>0</v>
      </c>
      <c r="AD70" s="21">
        <f t="shared" ca="1" si="54"/>
        <v>0</v>
      </c>
      <c r="AE70" s="22">
        <f t="shared" ca="1" si="55"/>
        <v>0</v>
      </c>
      <c r="AF70" s="2">
        <v>176830.8317510327</v>
      </c>
      <c r="AG70" s="21">
        <f t="shared" ca="1" si="56"/>
        <v>1.8785065883470337E-3</v>
      </c>
      <c r="AH70" s="22">
        <f t="shared" ca="1" si="57"/>
        <v>35904.95815500059</v>
      </c>
      <c r="AI70" s="2">
        <v>308950.85800459923</v>
      </c>
      <c r="AJ70" s="21">
        <f t="shared" ca="1" si="58"/>
        <v>2.5006376323810373E-3</v>
      </c>
      <c r="AK70" s="22">
        <f t="shared" ca="1" si="59"/>
        <v>48656.43022679189</v>
      </c>
      <c r="AL70" s="2">
        <v>485781.68975563196</v>
      </c>
    </row>
    <row r="71" spans="1:38" ht="12.75" x14ac:dyDescent="0.2">
      <c r="A71" s="8" t="s">
        <v>16</v>
      </c>
      <c r="B71" s="8" t="s">
        <v>17</v>
      </c>
      <c r="C71" s="8" t="s">
        <v>18</v>
      </c>
      <c r="D71" s="8" t="s">
        <v>50</v>
      </c>
      <c r="E71" s="8" t="s">
        <v>51</v>
      </c>
      <c r="F71" s="23" t="s">
        <v>37</v>
      </c>
      <c r="G71" s="8" t="s">
        <v>426</v>
      </c>
      <c r="H71" s="20">
        <v>497953.02098647947</v>
      </c>
      <c r="I71" s="21">
        <f>H71/H$649</f>
        <v>7.0281347607807423E-3</v>
      </c>
      <c r="J71" s="22">
        <f>I71*J$679</f>
        <v>338429.33640019881</v>
      </c>
      <c r="K71" s="2">
        <v>497076.90673321421</v>
      </c>
      <c r="L71" s="21">
        <f ca="1">K71/K$649</f>
        <v>5.9262298316346482E-3</v>
      </c>
      <c r="M71" s="22">
        <f ca="1">L71*M$679</f>
        <v>541256.53864690557</v>
      </c>
      <c r="N71" s="2">
        <v>763733.97300366859</v>
      </c>
      <c r="O71" s="21">
        <f ca="1">N71/N$649</f>
        <v>8.5563859705365605E-3</v>
      </c>
      <c r="P71" s="22">
        <f ca="1">O71*P$679</f>
        <v>2119476.6848867158</v>
      </c>
      <c r="Q71" s="2">
        <v>0</v>
      </c>
      <c r="R71" s="21">
        <f ca="1">Q71/Q$649</f>
        <v>0</v>
      </c>
      <c r="S71" s="22">
        <f ca="1">R71*S$679</f>
        <v>0</v>
      </c>
      <c r="T71" s="2">
        <v>395367.01706820319</v>
      </c>
      <c r="U71" s="21">
        <f ca="1">T71/T$649</f>
        <v>5.0874670590905285E-3</v>
      </c>
      <c r="V71" s="22">
        <f ca="1">U71*V$679</f>
        <v>1316258.7237989095</v>
      </c>
      <c r="W71" s="2">
        <v>401394.36898359103</v>
      </c>
      <c r="X71" s="21">
        <f ca="1">W71/W$649</f>
        <v>4.5133841765420931E-3</v>
      </c>
      <c r="Y71" s="22">
        <f ca="1">X71*Y$679</f>
        <v>1191083.2741883304</v>
      </c>
      <c r="Z71" s="2">
        <v>407913.88977347437</v>
      </c>
      <c r="AA71" s="21">
        <f ca="1">Z71/Z$649</f>
        <v>4.2233876284231931E-3</v>
      </c>
      <c r="AB71" s="22">
        <f ca="1">AA71*AB$679</f>
        <v>1134615.06465289</v>
      </c>
      <c r="AC71" s="2">
        <v>412326.6223438934</v>
      </c>
      <c r="AD71" s="21">
        <f ca="1">AC71/AC$649</f>
        <v>4.2151620310905535E-3</v>
      </c>
      <c r="AE71" s="22">
        <f ca="1">AD71*AE$679</f>
        <v>1153920.9539048632</v>
      </c>
      <c r="AF71" s="2">
        <v>417070.95014497824</v>
      </c>
      <c r="AG71" s="21">
        <f ca="1">AF71/AF$649</f>
        <v>4.1145763779960346E-3</v>
      </c>
      <c r="AH71" s="22">
        <f ca="1">AG71*AH$679</f>
        <v>1146660.0784302265</v>
      </c>
      <c r="AI71" s="2">
        <v>852860.3841705888</v>
      </c>
      <c r="AJ71" s="21">
        <f ca="1">AI71/AI$649</f>
        <v>4.4523136607029848E-3</v>
      </c>
      <c r="AK71" s="22">
        <f ca="1">AJ71*AK$679</f>
        <v>1263115.5870707408</v>
      </c>
      <c r="AL71" s="2">
        <v>4645697.1332080914</v>
      </c>
    </row>
    <row r="72" spans="1:38" ht="12.75" x14ac:dyDescent="0.2">
      <c r="A72" s="8" t="s">
        <v>16</v>
      </c>
      <c r="B72" s="8" t="s">
        <v>17</v>
      </c>
      <c r="C72" s="8" t="s">
        <v>18</v>
      </c>
      <c r="D72" s="8" t="s">
        <v>50</v>
      </c>
      <c r="E72" s="8" t="s">
        <v>51</v>
      </c>
      <c r="F72" s="8" t="s">
        <v>26</v>
      </c>
      <c r="G72" s="8" t="s">
        <v>427</v>
      </c>
      <c r="H72" s="20">
        <v>0</v>
      </c>
      <c r="I72" s="21">
        <f t="shared" ref="I72:I73" si="60">H72/H$655</f>
        <v>0</v>
      </c>
      <c r="J72" s="22">
        <f t="shared" ref="J72:J73" si="61">I72*J$685</f>
        <v>0</v>
      </c>
      <c r="K72" s="2">
        <v>0</v>
      </c>
      <c r="L72" s="21">
        <f t="shared" ref="L72:L73" ca="1" si="62">K72/K$655</f>
        <v>0</v>
      </c>
      <c r="M72" s="22">
        <f t="shared" ref="M72:M73" ca="1" si="63">L72*M$685</f>
        <v>0</v>
      </c>
      <c r="N72" s="2">
        <v>0</v>
      </c>
      <c r="O72" s="21">
        <f t="shared" ref="O72:O73" ca="1" si="64">N72/N$655</f>
        <v>0</v>
      </c>
      <c r="P72" s="22">
        <f t="shared" ref="P72:P73" ca="1" si="65">O72*P$685</f>
        <v>0</v>
      </c>
      <c r="Q72" s="2">
        <v>0</v>
      </c>
      <c r="R72" s="21">
        <f t="shared" ref="R72:R73" ca="1" si="66">Q72/Q$655</f>
        <v>0</v>
      </c>
      <c r="S72" s="22">
        <f t="shared" ref="S72:S73" ca="1" si="67">R72*S$685</f>
        <v>0</v>
      </c>
      <c r="T72" s="2">
        <v>0</v>
      </c>
      <c r="U72" s="21">
        <f t="shared" ref="U72:U73" ca="1" si="68">T72/T$655</f>
        <v>0</v>
      </c>
      <c r="V72" s="22">
        <f t="shared" ref="V72:V73" ca="1" si="69">U72*V$685</f>
        <v>0</v>
      </c>
      <c r="W72" s="2">
        <v>0</v>
      </c>
      <c r="X72" s="21">
        <f t="shared" ref="X72:X73" ca="1" si="70">W72/W$655</f>
        <v>0</v>
      </c>
      <c r="Y72" s="22">
        <f t="shared" ref="Y72:Y73" ca="1" si="71">X72*Y$685</f>
        <v>0</v>
      </c>
      <c r="Z72" s="2">
        <v>0</v>
      </c>
      <c r="AA72" s="21">
        <f t="shared" ref="AA72:AA73" ca="1" si="72">Z72/Z$655</f>
        <v>0</v>
      </c>
      <c r="AB72" s="22">
        <f t="shared" ref="AB72:AB73" ca="1" si="73">AA72*AB$685</f>
        <v>0</v>
      </c>
      <c r="AC72" s="2">
        <v>0</v>
      </c>
      <c r="AD72" s="21">
        <f t="shared" ref="AD72:AD73" ca="1" si="74">AC72/AC$655</f>
        <v>0</v>
      </c>
      <c r="AE72" s="22">
        <f t="shared" ref="AE72:AE73" ca="1" si="75">AD72*AE$685</f>
        <v>0</v>
      </c>
      <c r="AF72" s="2">
        <v>0</v>
      </c>
      <c r="AG72" s="21">
        <f t="shared" ref="AG72:AG73" ca="1" si="76">AF72/AF$655</f>
        <v>0</v>
      </c>
      <c r="AH72" s="22">
        <f t="shared" ref="AH72:AH73" ca="1" si="77">AG72*AH$685</f>
        <v>0</v>
      </c>
      <c r="AI72" s="2">
        <v>0</v>
      </c>
      <c r="AJ72" s="21">
        <f t="shared" ref="AJ72:AJ73" ca="1" si="78">AI72/AI$655</f>
        <v>0</v>
      </c>
      <c r="AK72" s="22">
        <f t="shared" ref="AK72:AK73" ca="1" si="79">AJ72*AK$685</f>
        <v>0</v>
      </c>
      <c r="AL72" s="2">
        <v>0</v>
      </c>
    </row>
    <row r="73" spans="1:38" ht="12.75" x14ac:dyDescent="0.2">
      <c r="A73" s="8" t="s">
        <v>16</v>
      </c>
      <c r="B73" s="8" t="s">
        <v>17</v>
      </c>
      <c r="C73" s="8" t="s">
        <v>18</v>
      </c>
      <c r="D73" s="8" t="s">
        <v>50</v>
      </c>
      <c r="E73" s="8" t="s">
        <v>51</v>
      </c>
      <c r="F73" s="8" t="s">
        <v>26</v>
      </c>
      <c r="G73" s="8" t="s">
        <v>428</v>
      </c>
      <c r="H73" s="20">
        <v>0</v>
      </c>
      <c r="I73" s="21">
        <f t="shared" si="60"/>
        <v>0</v>
      </c>
      <c r="J73" s="22">
        <f t="shared" si="61"/>
        <v>0</v>
      </c>
      <c r="K73" s="2">
        <v>18437.316349780409</v>
      </c>
      <c r="L73" s="21">
        <f t="shared" ca="1" si="62"/>
        <v>4.6440344589867785E-4</v>
      </c>
      <c r="M73" s="22">
        <f t="shared" ca="1" si="63"/>
        <v>1285.0089788361006</v>
      </c>
      <c r="N73" s="2">
        <v>9796.3179411513502</v>
      </c>
      <c r="O73" s="21">
        <f t="shared" ca="1" si="64"/>
        <v>8.46909213813934E-5</v>
      </c>
      <c r="P73" s="22">
        <f t="shared" ca="1" si="65"/>
        <v>240.4334826571891</v>
      </c>
      <c r="Q73" s="2">
        <v>8992.5084878699399</v>
      </c>
      <c r="R73" s="21">
        <f t="shared" ca="1" si="66"/>
        <v>6.4593267521992578E-5</v>
      </c>
      <c r="S73" s="22">
        <f t="shared" ca="1" si="67"/>
        <v>187.59487834913472</v>
      </c>
      <c r="T73" s="2">
        <v>0</v>
      </c>
      <c r="U73" s="21">
        <f t="shared" ca="1" si="68"/>
        <v>0</v>
      </c>
      <c r="V73" s="22">
        <f t="shared" ca="1" si="69"/>
        <v>0</v>
      </c>
      <c r="W73" s="2">
        <v>0</v>
      </c>
      <c r="X73" s="21">
        <f t="shared" ca="1" si="70"/>
        <v>0</v>
      </c>
      <c r="Y73" s="22">
        <f t="shared" ca="1" si="71"/>
        <v>0</v>
      </c>
      <c r="Z73" s="2">
        <v>0</v>
      </c>
      <c r="AA73" s="21">
        <f t="shared" ca="1" si="72"/>
        <v>0</v>
      </c>
      <c r="AB73" s="22">
        <f t="shared" ca="1" si="73"/>
        <v>0</v>
      </c>
      <c r="AC73" s="2">
        <v>0</v>
      </c>
      <c r="AD73" s="21">
        <f t="shared" ca="1" si="74"/>
        <v>0</v>
      </c>
      <c r="AE73" s="22">
        <f t="shared" ca="1" si="75"/>
        <v>0</v>
      </c>
      <c r="AF73" s="2">
        <v>0</v>
      </c>
      <c r="AG73" s="21">
        <f t="shared" ca="1" si="76"/>
        <v>0</v>
      </c>
      <c r="AH73" s="22">
        <f t="shared" ca="1" si="77"/>
        <v>0</v>
      </c>
      <c r="AI73" s="2">
        <v>0</v>
      </c>
      <c r="AJ73" s="21">
        <f t="shared" ca="1" si="78"/>
        <v>0</v>
      </c>
      <c r="AK73" s="22">
        <f t="shared" ca="1" si="79"/>
        <v>0</v>
      </c>
      <c r="AL73" s="2">
        <v>37226.142778801703</v>
      </c>
    </row>
    <row r="74" spans="1:38" ht="12.75" x14ac:dyDescent="0.2">
      <c r="A74" s="8" t="s">
        <v>16</v>
      </c>
      <c r="B74" s="8" t="s">
        <v>17</v>
      </c>
      <c r="C74" s="8" t="s">
        <v>18</v>
      </c>
      <c r="D74" s="8" t="s">
        <v>50</v>
      </c>
      <c r="E74" s="8" t="s">
        <v>51</v>
      </c>
      <c r="F74" s="8" t="s">
        <v>27</v>
      </c>
      <c r="G74" s="8" t="s">
        <v>429</v>
      </c>
      <c r="H74" s="20">
        <v>0</v>
      </c>
      <c r="I74" s="21">
        <f>H74/H$657</f>
        <v>0</v>
      </c>
      <c r="J74" s="22">
        <f>I74*J$687</f>
        <v>0</v>
      </c>
      <c r="K74" s="2">
        <v>0</v>
      </c>
      <c r="L74" s="21">
        <f ca="1">K74/K$657</f>
        <v>0</v>
      </c>
      <c r="M74" s="22">
        <f ca="1">L74*M$687</f>
        <v>0</v>
      </c>
      <c r="N74" s="2">
        <v>0</v>
      </c>
      <c r="O74" s="21">
        <f ca="1">N74/N$657</f>
        <v>0</v>
      </c>
      <c r="P74" s="22">
        <f ca="1">O74*P$687</f>
        <v>0</v>
      </c>
      <c r="Q74" s="2">
        <v>0</v>
      </c>
      <c r="R74" s="21">
        <f ca="1">Q74/Q$657</f>
        <v>0</v>
      </c>
      <c r="S74" s="22">
        <f ca="1">R74*S$687</f>
        <v>0</v>
      </c>
      <c r="T74" s="2">
        <v>0</v>
      </c>
      <c r="U74" s="21">
        <f ca="1">T74/T$657</f>
        <v>0</v>
      </c>
      <c r="V74" s="22">
        <f ca="1">U74*V$687</f>
        <v>0</v>
      </c>
      <c r="W74" s="2">
        <v>0</v>
      </c>
      <c r="X74" s="21">
        <f ca="1">W74/W$657</f>
        <v>0</v>
      </c>
      <c r="Y74" s="22">
        <f ca="1">X74*Y$687</f>
        <v>0</v>
      </c>
      <c r="Z74" s="2">
        <v>0</v>
      </c>
      <c r="AA74" s="21">
        <f ca="1">Z74/Z$657</f>
        <v>0</v>
      </c>
      <c r="AB74" s="22">
        <f ca="1">AA74*AB$687</f>
        <v>0</v>
      </c>
      <c r="AC74" s="2">
        <v>0</v>
      </c>
      <c r="AD74" s="21">
        <f ca="1">AC74/AC$657</f>
        <v>0</v>
      </c>
      <c r="AE74" s="22">
        <f ca="1">AD74*AE$687</f>
        <v>0</v>
      </c>
      <c r="AF74" s="2">
        <v>0</v>
      </c>
      <c r="AG74" s="21">
        <f ca="1">AF74/AF$657</f>
        <v>0</v>
      </c>
      <c r="AH74" s="22">
        <f ca="1">AG74*AH$687</f>
        <v>0</v>
      </c>
      <c r="AI74" s="2">
        <v>0</v>
      </c>
      <c r="AJ74" s="21">
        <f ca="1">AI74/AI$657</f>
        <v>0</v>
      </c>
      <c r="AK74" s="22">
        <f ca="1">AJ74*AK$687</f>
        <v>0</v>
      </c>
      <c r="AL74" s="2">
        <v>0</v>
      </c>
    </row>
    <row r="75" spans="1:38" ht="12.75" x14ac:dyDescent="0.2">
      <c r="A75" s="8" t="s">
        <v>16</v>
      </c>
      <c r="B75" s="8" t="s">
        <v>17</v>
      </c>
      <c r="C75" s="8" t="s">
        <v>18</v>
      </c>
      <c r="D75" s="8" t="s">
        <v>50</v>
      </c>
      <c r="E75" s="8" t="s">
        <v>51</v>
      </c>
      <c r="F75" s="8" t="s">
        <v>28</v>
      </c>
      <c r="G75" s="8" t="s">
        <v>430</v>
      </c>
      <c r="H75" s="20">
        <v>0</v>
      </c>
      <c r="I75" s="21">
        <f t="shared" ref="I75:I76" si="80">H75/H$669</f>
        <v>0</v>
      </c>
      <c r="J75" s="22">
        <f t="shared" ref="J75:J76" si="81">I75*J$699</f>
        <v>0</v>
      </c>
      <c r="K75" s="2">
        <v>0</v>
      </c>
      <c r="L75" s="21">
        <f t="shared" ref="L75:L76" ca="1" si="82">K75/K$669</f>
        <v>0</v>
      </c>
      <c r="M75" s="22">
        <f t="shared" ref="M75:M76" ca="1" si="83">L75*M$699</f>
        <v>0</v>
      </c>
      <c r="N75" s="2">
        <v>0</v>
      </c>
      <c r="O75" s="21">
        <f t="shared" ref="O75:O76" ca="1" si="84">N75/N$669</f>
        <v>0</v>
      </c>
      <c r="P75" s="22">
        <f t="shared" ref="P75:P76" ca="1" si="85">O75*P$699</f>
        <v>0</v>
      </c>
      <c r="Q75" s="2">
        <v>0</v>
      </c>
      <c r="R75" s="21">
        <f t="shared" ref="R75:R76" ca="1" si="86">Q75/Q$669</f>
        <v>0</v>
      </c>
      <c r="S75" s="22">
        <f t="shared" ref="S75:S76" ca="1" si="87">R75*S$699</f>
        <v>0</v>
      </c>
      <c r="T75" s="2">
        <v>0</v>
      </c>
      <c r="U75" s="21">
        <f t="shared" ref="U75:U76" ca="1" si="88">T75/T$669</f>
        <v>0</v>
      </c>
      <c r="V75" s="22">
        <f t="shared" ref="V75:V76" ca="1" si="89">U75*V$699</f>
        <v>0</v>
      </c>
      <c r="W75" s="2">
        <v>0</v>
      </c>
      <c r="X75" s="21">
        <f t="shared" ref="X75:X76" ca="1" si="90">W75/W$669</f>
        <v>0</v>
      </c>
      <c r="Y75" s="22">
        <f t="shared" ref="Y75:Y76" ca="1" si="91">X75*Y$699</f>
        <v>0</v>
      </c>
      <c r="Z75" s="2">
        <v>0</v>
      </c>
      <c r="AA75" s="21">
        <f t="shared" ref="AA75:AA76" ca="1" si="92">Z75/Z$669</f>
        <v>0</v>
      </c>
      <c r="AB75" s="22">
        <f t="shared" ref="AB75:AB76" ca="1" si="93">AA75*AB$699</f>
        <v>0</v>
      </c>
      <c r="AC75" s="2">
        <v>0</v>
      </c>
      <c r="AD75" s="21">
        <f t="shared" ref="AD75:AD76" ca="1" si="94">AC75/AC$669</f>
        <v>0</v>
      </c>
      <c r="AE75" s="22">
        <f t="shared" ref="AE75:AE76" ca="1" si="95">AD75*AE$699</f>
        <v>0</v>
      </c>
      <c r="AF75" s="2">
        <v>0</v>
      </c>
      <c r="AG75" s="21">
        <f t="shared" ref="AG75:AG76" ca="1" si="96">AF75/AF$669</f>
        <v>0</v>
      </c>
      <c r="AH75" s="22">
        <f t="shared" ref="AH75:AH76" ca="1" si="97">AG75*AH$699</f>
        <v>0</v>
      </c>
      <c r="AI75" s="2">
        <v>110902.60314365363</v>
      </c>
      <c r="AJ75" s="21">
        <f t="shared" ref="AJ75:AJ76" ca="1" si="98">AI75/AI$669</f>
        <v>2.5350332817480493E-3</v>
      </c>
      <c r="AK75" s="22">
        <f t="shared" ref="AK75:AK76" ca="1" si="99">AJ75*AK$699</f>
        <v>14118.971216002656</v>
      </c>
      <c r="AL75" s="2">
        <v>110902.60314365363</v>
      </c>
    </row>
    <row r="76" spans="1:38" ht="12.75" x14ac:dyDescent="0.2">
      <c r="A76" s="8" t="s">
        <v>16</v>
      </c>
      <c r="B76" s="8" t="s">
        <v>17</v>
      </c>
      <c r="C76" s="8" t="s">
        <v>18</v>
      </c>
      <c r="D76" s="8" t="s">
        <v>50</v>
      </c>
      <c r="E76" s="8" t="s">
        <v>51</v>
      </c>
      <c r="F76" s="8" t="s">
        <v>28</v>
      </c>
      <c r="G76" s="8" t="s">
        <v>431</v>
      </c>
      <c r="H76" s="20">
        <v>0</v>
      </c>
      <c r="I76" s="21">
        <f t="shared" si="80"/>
        <v>0</v>
      </c>
      <c r="J76" s="22">
        <f t="shared" si="81"/>
        <v>0</v>
      </c>
      <c r="K76" s="2">
        <v>0</v>
      </c>
      <c r="L76" s="21">
        <f t="shared" ca="1" si="82"/>
        <v>0</v>
      </c>
      <c r="M76" s="22">
        <f t="shared" ca="1" si="83"/>
        <v>0</v>
      </c>
      <c r="N76" s="2">
        <v>0</v>
      </c>
      <c r="O76" s="21">
        <f t="shared" ca="1" si="84"/>
        <v>0</v>
      </c>
      <c r="P76" s="22">
        <f t="shared" ca="1" si="85"/>
        <v>0</v>
      </c>
      <c r="Q76" s="2">
        <v>0</v>
      </c>
      <c r="R76" s="21">
        <f t="shared" ca="1" si="86"/>
        <v>0</v>
      </c>
      <c r="S76" s="22">
        <f t="shared" ca="1" si="87"/>
        <v>0</v>
      </c>
      <c r="T76" s="2">
        <v>0</v>
      </c>
      <c r="U76" s="21">
        <f t="shared" ca="1" si="88"/>
        <v>0</v>
      </c>
      <c r="V76" s="22">
        <f t="shared" ca="1" si="89"/>
        <v>0</v>
      </c>
      <c r="W76" s="2">
        <v>0</v>
      </c>
      <c r="X76" s="21">
        <f t="shared" ca="1" si="90"/>
        <v>0</v>
      </c>
      <c r="Y76" s="22">
        <f t="shared" ca="1" si="91"/>
        <v>0</v>
      </c>
      <c r="Z76" s="2">
        <v>0</v>
      </c>
      <c r="AA76" s="21">
        <f t="shared" ca="1" si="92"/>
        <v>0</v>
      </c>
      <c r="AB76" s="22">
        <f t="shared" ca="1" si="93"/>
        <v>0</v>
      </c>
      <c r="AC76" s="2">
        <v>0</v>
      </c>
      <c r="AD76" s="21">
        <f t="shared" ca="1" si="94"/>
        <v>0</v>
      </c>
      <c r="AE76" s="22">
        <f t="shared" ca="1" si="95"/>
        <v>0</v>
      </c>
      <c r="AF76" s="2">
        <v>0</v>
      </c>
      <c r="AG76" s="21">
        <f t="shared" ca="1" si="96"/>
        <v>0</v>
      </c>
      <c r="AH76" s="22">
        <f t="shared" ca="1" si="97"/>
        <v>0</v>
      </c>
      <c r="AI76" s="2">
        <v>0</v>
      </c>
      <c r="AJ76" s="21">
        <f t="shared" ca="1" si="98"/>
        <v>0</v>
      </c>
      <c r="AK76" s="22">
        <f t="shared" ca="1" si="99"/>
        <v>0</v>
      </c>
      <c r="AL76" s="2">
        <v>0</v>
      </c>
    </row>
    <row r="77" spans="1:38" ht="12.75" x14ac:dyDescent="0.2">
      <c r="A77" s="8" t="s">
        <v>16</v>
      </c>
      <c r="B77" s="8" t="s">
        <v>17</v>
      </c>
      <c r="C77" s="8" t="s">
        <v>18</v>
      </c>
      <c r="D77" s="8" t="s">
        <v>52</v>
      </c>
      <c r="E77" s="8" t="s">
        <v>53</v>
      </c>
      <c r="F77" s="8" t="s">
        <v>21</v>
      </c>
      <c r="G77" s="8" t="s">
        <v>432</v>
      </c>
      <c r="H77" s="20">
        <v>200000</v>
      </c>
      <c r="I77" s="21">
        <f>H77/H$645</f>
        <v>1.3236993292636598E-2</v>
      </c>
      <c r="J77" s="22">
        <f>I77*J$675</f>
        <v>1869.0634529202875</v>
      </c>
      <c r="K77" s="2">
        <v>200000</v>
      </c>
      <c r="L77" s="21">
        <f ca="1">K77/K$645</f>
        <v>1.3072805528357498E-2</v>
      </c>
      <c r="M77" s="22">
        <f ca="1">L77*M$675</f>
        <v>5640.3926732651262</v>
      </c>
      <c r="N77" s="2">
        <v>200000</v>
      </c>
      <c r="O77" s="21">
        <f ca="1">N77/N$645</f>
        <v>9.2062732544481354E-3</v>
      </c>
      <c r="P77" s="22">
        <f ca="1">O77*P$675</f>
        <v>4075.4142634816617</v>
      </c>
      <c r="Q77" s="2">
        <v>200000</v>
      </c>
      <c r="R77" s="21">
        <f ca="1">Q77/Q$645</f>
        <v>7.9216666628463828E-3</v>
      </c>
      <c r="S77" s="22">
        <f ca="1">R77*S$675</f>
        <v>3587.4024001866146</v>
      </c>
      <c r="T77" s="2">
        <v>200000</v>
      </c>
      <c r="U77" s="21">
        <f ca="1">T77/T$645</f>
        <v>9.6893804207999444E-3</v>
      </c>
      <c r="V77" s="22">
        <f ca="1">U77*V$675</f>
        <v>4480.0749494131014</v>
      </c>
      <c r="W77" s="2">
        <v>200000</v>
      </c>
      <c r="X77" s="21">
        <f ca="1">W77/W$645</f>
        <v>9.6756847846563142E-3</v>
      </c>
      <c r="Y77" s="22">
        <f ca="1">X77*Y$675</f>
        <v>4563.217431085257</v>
      </c>
      <c r="Z77" s="2">
        <v>200000</v>
      </c>
      <c r="AA77" s="21">
        <f ca="1">Z77/Z$645</f>
        <v>9.7213786303917919E-3</v>
      </c>
      <c r="AB77" s="22">
        <f ca="1">AA77*AB$675</f>
        <v>4667.2931808607445</v>
      </c>
      <c r="AC77" s="2">
        <v>200000</v>
      </c>
      <c r="AD77" s="21">
        <f ca="1">AC77/AC$645</f>
        <v>8.4216387729403701E-3</v>
      </c>
      <c r="AE77" s="22">
        <f ca="1">AD77*AE$675</f>
        <v>4120.102504204724</v>
      </c>
      <c r="AF77" s="2">
        <v>200000</v>
      </c>
      <c r="AG77" s="21">
        <f ca="1">AF77/AF$645</f>
        <v>9.1690244688168339E-3</v>
      </c>
      <c r="AH77" s="22">
        <f ca="1">AG77*AH$675</f>
        <v>4566.4879494881061</v>
      </c>
      <c r="AI77" s="2">
        <v>200000</v>
      </c>
      <c r="AJ77" s="21">
        <f ca="1">AI77/AI$645</f>
        <v>7.8442880637013043E-3</v>
      </c>
      <c r="AK77" s="22">
        <f ca="1">AJ77*AK$675</f>
        <v>3977.0449489224075</v>
      </c>
      <c r="AL77" s="2">
        <v>2000000</v>
      </c>
    </row>
    <row r="78" spans="1:38" ht="12.75" x14ac:dyDescent="0.2">
      <c r="A78" s="8" t="s">
        <v>16</v>
      </c>
      <c r="B78" s="8" t="s">
        <v>17</v>
      </c>
      <c r="C78" s="8" t="s">
        <v>18</v>
      </c>
      <c r="D78" s="8" t="s">
        <v>52</v>
      </c>
      <c r="E78" s="8" t="s">
        <v>53</v>
      </c>
      <c r="F78" s="23" t="s">
        <v>37</v>
      </c>
      <c r="G78" s="8" t="s">
        <v>433</v>
      </c>
      <c r="H78" s="20">
        <v>550128.75447268574</v>
      </c>
      <c r="I78" s="21">
        <f>H78/H$649</f>
        <v>7.764545768905934E-3</v>
      </c>
      <c r="J78" s="22">
        <f>I78*J$679</f>
        <v>373890.10903483228</v>
      </c>
      <c r="K78" s="2">
        <v>559010.94649331854</v>
      </c>
      <c r="L78" s="21">
        <f ca="1">K78/K$649</f>
        <v>6.6646172904931376E-3</v>
      </c>
      <c r="M78" s="22">
        <f ca="1">L78*M$679</f>
        <v>608695.20564369194</v>
      </c>
      <c r="N78" s="2">
        <v>1282744.1495517136</v>
      </c>
      <c r="O78" s="21">
        <f ca="1">N78/N$649</f>
        <v>1.4371043364545224E-2</v>
      </c>
      <c r="P78" s="22">
        <f ca="1">O78*P$679</f>
        <v>3559808.0139832092</v>
      </c>
      <c r="Q78" s="2">
        <v>150000</v>
      </c>
      <c r="R78" s="21">
        <f ca="1">Q78/Q$649</f>
        <v>1.9042037010041299E-3</v>
      </c>
      <c r="S78" s="22">
        <f ca="1">R78*S$679</f>
        <v>482533.328295018</v>
      </c>
      <c r="T78" s="2">
        <v>150000</v>
      </c>
      <c r="U78" s="21">
        <f ca="1">T78/T$649</f>
        <v>1.9301560978009871E-3</v>
      </c>
      <c r="V78" s="22">
        <f ca="1">U78*V$679</f>
        <v>499381.08149212925</v>
      </c>
      <c r="W78" s="2">
        <v>1139436.4656426129</v>
      </c>
      <c r="X78" s="21">
        <f ca="1">W78/W$649</f>
        <v>1.2812124213971349E-2</v>
      </c>
      <c r="Y78" s="22">
        <f ca="1">X78*Y$679</f>
        <v>3381122.958111709</v>
      </c>
      <c r="Z78" s="2">
        <v>150000</v>
      </c>
      <c r="AA78" s="21">
        <f ca="1">Z78/Z$649</f>
        <v>1.5530438167116181E-3</v>
      </c>
      <c r="AB78" s="22">
        <f ca="1">AA78*AB$679</f>
        <v>417225.94882083044</v>
      </c>
      <c r="AC78" s="2">
        <v>3972606.7101468663</v>
      </c>
      <c r="AD78" s="21">
        <f ca="1">AC78/AC$649</f>
        <v>4.0611447482769181E-2</v>
      </c>
      <c r="AE78" s="22">
        <f ca="1">AD78*AE$679</f>
        <v>11117579.792454612</v>
      </c>
      <c r="AF78" s="2">
        <v>150000</v>
      </c>
      <c r="AG78" s="21">
        <f ca="1">AF78/AF$649</f>
        <v>1.4798116639024243E-3</v>
      </c>
      <c r="AH78" s="22">
        <f ca="1">AG78*AH$679</f>
        <v>412397.48705764656</v>
      </c>
      <c r="AI78" s="2">
        <v>698970.66135383002</v>
      </c>
      <c r="AJ78" s="21">
        <f ca="1">AI78/AI$649</f>
        <v>3.6489402975408793E-3</v>
      </c>
      <c r="AK78" s="22">
        <f ca="1">AJ78*AK$679</f>
        <v>1035199.6102149509</v>
      </c>
      <c r="AL78" s="2">
        <v>8802897.6876610275</v>
      </c>
    </row>
    <row r="79" spans="1:38" ht="12.75" x14ac:dyDescent="0.2">
      <c r="A79" s="8" t="s">
        <v>16</v>
      </c>
      <c r="B79" s="8" t="s">
        <v>17</v>
      </c>
      <c r="C79" s="8" t="s">
        <v>18</v>
      </c>
      <c r="D79" s="8" t="s">
        <v>52</v>
      </c>
      <c r="E79" s="8" t="s">
        <v>53</v>
      </c>
      <c r="F79" s="8" t="s">
        <v>27</v>
      </c>
      <c r="G79" s="8" t="s">
        <v>434</v>
      </c>
      <c r="H79" s="20">
        <v>1164000</v>
      </c>
      <c r="I79" s="21">
        <f>H79/H$657</f>
        <v>2.2822077527200096E-2</v>
      </c>
      <c r="J79" s="22">
        <f>I79*J$687</f>
        <v>236732.97657017357</v>
      </c>
      <c r="K79" s="2">
        <v>1164000</v>
      </c>
      <c r="L79" s="21">
        <f ca="1">K79/K$657</f>
        <v>2.9801580893095873E-2</v>
      </c>
      <c r="M79" s="22">
        <f ca="1">L79*M$687</f>
        <v>468079.9905748741</v>
      </c>
      <c r="N79" s="2">
        <v>1164000</v>
      </c>
      <c r="O79" s="21">
        <f ca="1">N79/N$657</f>
        <v>2.1045265696134997E-2</v>
      </c>
      <c r="P79" s="22">
        <f ca="1">O79*P$687</f>
        <v>339142.7577089158</v>
      </c>
      <c r="Q79" s="2">
        <v>1164000</v>
      </c>
      <c r="R79" s="21">
        <f ca="1">Q79/Q$657</f>
        <v>2.1074884122473301E-2</v>
      </c>
      <c r="S79" s="22">
        <f ca="1">R79*S$687</f>
        <v>347431.3176953005</v>
      </c>
      <c r="T79" s="2">
        <v>1164000</v>
      </c>
      <c r="U79" s="21">
        <f ca="1">T79/T$657</f>
        <v>3.0088741320990261E-2</v>
      </c>
      <c r="V79" s="22">
        <f ca="1">U79*V$687</f>
        <v>506446.44944866025</v>
      </c>
      <c r="W79" s="2">
        <v>1164000</v>
      </c>
      <c r="X79" s="21">
        <f ca="1">W79/W$657</f>
        <v>2.9704297996213831E-2</v>
      </c>
      <c r="Y79" s="22">
        <f ca="1">X79*Y$687</f>
        <v>509975.10367117176</v>
      </c>
      <c r="Z79" s="2">
        <v>1164000</v>
      </c>
      <c r="AA79" s="21">
        <f ca="1">Z79/Z$657</f>
        <v>2.3997643626762332E-2</v>
      </c>
      <c r="AB79" s="22">
        <f ca="1">AA79*AB$687</f>
        <v>419417.02890226495</v>
      </c>
      <c r="AC79" s="2">
        <v>1164000</v>
      </c>
      <c r="AD79" s="21">
        <f ca="1">AC79/AC$657</f>
        <v>2.119171105959718E-2</v>
      </c>
      <c r="AE79" s="22">
        <f ca="1">AD79*AE$687</f>
        <v>377413.70606407837</v>
      </c>
      <c r="AF79" s="2">
        <v>1164000</v>
      </c>
      <c r="AG79" s="21">
        <f ca="1">AF79/AF$657</f>
        <v>2.3290483644478412E-2</v>
      </c>
      <c r="AH79" s="22">
        <f ca="1">AG79*AH$687</f>
        <v>422258.04151365894</v>
      </c>
      <c r="AI79" s="2">
        <v>1164000</v>
      </c>
      <c r="AJ79" s="21">
        <f ca="1">AI79/AI$657</f>
        <v>2.097549044642787E-2</v>
      </c>
      <c r="AK79" s="22">
        <f ca="1">AJ79*AK$687</f>
        <v>387132.22541099275</v>
      </c>
      <c r="AL79" s="2">
        <v>11640000</v>
      </c>
    </row>
    <row r="80" spans="1:38" ht="12.75" x14ac:dyDescent="0.2">
      <c r="A80" s="8" t="s">
        <v>16</v>
      </c>
      <c r="B80" s="8" t="s">
        <v>17</v>
      </c>
      <c r="C80" s="8" t="s">
        <v>18</v>
      </c>
      <c r="D80" s="8" t="s">
        <v>52</v>
      </c>
      <c r="E80" s="8" t="s">
        <v>53</v>
      </c>
      <c r="F80" s="8" t="s">
        <v>28</v>
      </c>
      <c r="G80" s="8" t="s">
        <v>435</v>
      </c>
      <c r="H80" s="20">
        <v>0</v>
      </c>
      <c r="I80" s="21">
        <f>H80/H$669</f>
        <v>0</v>
      </c>
      <c r="J80" s="22">
        <f>I80*J$699</f>
        <v>0</v>
      </c>
      <c r="K80" s="2">
        <v>0</v>
      </c>
      <c r="L80" s="21">
        <f ca="1">K80/K$669</f>
        <v>0</v>
      </c>
      <c r="M80" s="22">
        <f ca="1">L80*M$699</f>
        <v>0</v>
      </c>
      <c r="N80" s="2">
        <v>0</v>
      </c>
      <c r="O80" s="21">
        <f ca="1">N80/N$669</f>
        <v>0</v>
      </c>
      <c r="P80" s="22">
        <f ca="1">O80*P$699</f>
        <v>0</v>
      </c>
      <c r="Q80" s="2">
        <v>0</v>
      </c>
      <c r="R80" s="21">
        <f ca="1">Q80/Q$669</f>
        <v>0</v>
      </c>
      <c r="S80" s="22">
        <f ca="1">R80*S$699</f>
        <v>0</v>
      </c>
      <c r="T80" s="2">
        <v>0</v>
      </c>
      <c r="U80" s="21">
        <f ca="1">T80/T$669</f>
        <v>0</v>
      </c>
      <c r="V80" s="22">
        <f ca="1">U80*V$699</f>
        <v>0</v>
      </c>
      <c r="W80" s="2">
        <v>0</v>
      </c>
      <c r="X80" s="21">
        <f ca="1">W80/W$669</f>
        <v>0</v>
      </c>
      <c r="Y80" s="22">
        <f ca="1">X80*Y$699</f>
        <v>0</v>
      </c>
      <c r="Z80" s="2">
        <v>0</v>
      </c>
      <c r="AA80" s="21">
        <f ca="1">Z80/Z$669</f>
        <v>0</v>
      </c>
      <c r="AB80" s="22">
        <f ca="1">AA80*AB$699</f>
        <v>0</v>
      </c>
      <c r="AC80" s="2">
        <v>0</v>
      </c>
      <c r="AD80" s="21">
        <f ca="1">AC80/AC$669</f>
        <v>0</v>
      </c>
      <c r="AE80" s="22">
        <f ca="1">AD80*AE$699</f>
        <v>0</v>
      </c>
      <c r="AF80" s="2">
        <v>0</v>
      </c>
      <c r="AG80" s="21">
        <f ca="1">AF80/AF$669</f>
        <v>0</v>
      </c>
      <c r="AH80" s="22">
        <f ca="1">AG80*AH$699</f>
        <v>0</v>
      </c>
      <c r="AI80" s="2">
        <v>0</v>
      </c>
      <c r="AJ80" s="21">
        <f ca="1">AI80/AI$669</f>
        <v>0</v>
      </c>
      <c r="AK80" s="22">
        <f ca="1">AJ80*AK$699</f>
        <v>0</v>
      </c>
      <c r="AL80" s="2">
        <v>0</v>
      </c>
    </row>
    <row r="81" spans="1:38" ht="12.75" x14ac:dyDescent="0.2">
      <c r="A81" s="8" t="s">
        <v>16</v>
      </c>
      <c r="B81" s="8" t="s">
        <v>17</v>
      </c>
      <c r="C81" s="8" t="s">
        <v>18</v>
      </c>
      <c r="D81" s="8" t="s">
        <v>52</v>
      </c>
      <c r="E81" s="8" t="s">
        <v>54</v>
      </c>
      <c r="F81" s="8" t="s">
        <v>21</v>
      </c>
      <c r="G81" s="8" t="s">
        <v>436</v>
      </c>
      <c r="H81" s="20">
        <v>400000</v>
      </c>
      <c r="I81" s="21">
        <f>H81/H$645</f>
        <v>2.6473986585273196E-2</v>
      </c>
      <c r="J81" s="22">
        <f>I81*J$675</f>
        <v>3738.1269058405751</v>
      </c>
      <c r="K81" s="2">
        <v>400000</v>
      </c>
      <c r="L81" s="21">
        <f ca="1">K81/K$645</f>
        <v>2.6145611056714996E-2</v>
      </c>
      <c r="M81" s="22">
        <f ca="1">L81*M$675</f>
        <v>11280.785346530252</v>
      </c>
      <c r="N81" s="2">
        <v>400000</v>
      </c>
      <c r="O81" s="21">
        <f ca="1">N81/N$645</f>
        <v>1.8412546508896271E-2</v>
      </c>
      <c r="P81" s="22">
        <f ca="1">O81*P$675</f>
        <v>8150.8285269633234</v>
      </c>
      <c r="Q81" s="2">
        <v>400000</v>
      </c>
      <c r="R81" s="21">
        <f ca="1">Q81/Q$645</f>
        <v>1.5843333325692766E-2</v>
      </c>
      <c r="S81" s="22">
        <f ca="1">R81*S$675</f>
        <v>7174.8048003732292</v>
      </c>
      <c r="T81" s="2">
        <v>400000</v>
      </c>
      <c r="U81" s="21">
        <f ca="1">T81/T$645</f>
        <v>1.9378760841599889E-2</v>
      </c>
      <c r="V81" s="22">
        <f ca="1">U81*V$675</f>
        <v>8960.1498988262028</v>
      </c>
      <c r="W81" s="2">
        <v>400000</v>
      </c>
      <c r="X81" s="21">
        <f ca="1">W81/W$645</f>
        <v>1.9351369569312628E-2</v>
      </c>
      <c r="Y81" s="22">
        <f ca="1">X81*Y$675</f>
        <v>9126.434862170514</v>
      </c>
      <c r="Z81" s="2">
        <v>400000</v>
      </c>
      <c r="AA81" s="21">
        <f ca="1">Z81/Z$645</f>
        <v>1.9442757260783584E-2</v>
      </c>
      <c r="AB81" s="22">
        <f ca="1">AA81*AB$675</f>
        <v>9334.5863617214891</v>
      </c>
      <c r="AC81" s="2">
        <v>400000</v>
      </c>
      <c r="AD81" s="21">
        <f ca="1">AC81/AC$645</f>
        <v>1.684327754588074E-2</v>
      </c>
      <c r="AE81" s="22">
        <f ca="1">AD81*AE$675</f>
        <v>8240.2050084094481</v>
      </c>
      <c r="AF81" s="2">
        <v>400000</v>
      </c>
      <c r="AG81" s="21">
        <f ca="1">AF81/AF$645</f>
        <v>1.8338048937633668E-2</v>
      </c>
      <c r="AH81" s="22">
        <f ca="1">AG81*AH$675</f>
        <v>9132.9758989762122</v>
      </c>
      <c r="AI81" s="2">
        <v>400000</v>
      </c>
      <c r="AJ81" s="21">
        <f ca="1">AI81/AI$645</f>
        <v>1.5688576127402609E-2</v>
      </c>
      <c r="AK81" s="22">
        <f ca="1">AJ81*AK$675</f>
        <v>7954.0898978448149</v>
      </c>
      <c r="AL81" s="2">
        <v>4000000</v>
      </c>
    </row>
    <row r="82" spans="1:38" ht="12.75" x14ac:dyDescent="0.2">
      <c r="A82" s="8" t="s">
        <v>16</v>
      </c>
      <c r="B82" s="8" t="s">
        <v>17</v>
      </c>
      <c r="C82" s="8" t="s">
        <v>18</v>
      </c>
      <c r="D82" s="8" t="s">
        <v>52</v>
      </c>
      <c r="E82" s="8" t="s">
        <v>54</v>
      </c>
      <c r="F82" s="8" t="s">
        <v>24</v>
      </c>
      <c r="G82" s="8" t="s">
        <v>437</v>
      </c>
      <c r="H82" s="20">
        <v>120000</v>
      </c>
      <c r="I82" s="21">
        <f>H82/H$646</f>
        <v>1.4614701795826975E-3</v>
      </c>
      <c r="J82" s="22">
        <f>I82*J$676</f>
        <v>3144.5576971973155</v>
      </c>
      <c r="K82" s="2">
        <v>155081.01680287259</v>
      </c>
      <c r="L82" s="21">
        <f ca="1">K82/K$646</f>
        <v>2.455512333790209E-3</v>
      </c>
      <c r="M82" s="22">
        <f ca="1">L82*M$676</f>
        <v>9547.0646120903712</v>
      </c>
      <c r="N82" s="2">
        <v>120000</v>
      </c>
      <c r="O82" s="21">
        <f ca="1">N82/N$646</f>
        <v>1.2801391515337287E-3</v>
      </c>
      <c r="P82" s="22">
        <f ca="1">O82*P$676</f>
        <v>21748.414171551271</v>
      </c>
      <c r="Q82" s="2">
        <v>120000</v>
      </c>
      <c r="R82" s="21">
        <f ca="1">Q82/Q$646</f>
        <v>1.0789178931386633E-3</v>
      </c>
      <c r="S82" s="22">
        <f ca="1">R82*S$676</f>
        <v>18751.432202405533</v>
      </c>
      <c r="T82" s="2">
        <v>120000</v>
      </c>
      <c r="U82" s="21">
        <f ca="1">T82/T$646</f>
        <v>1.4303236445955892E-3</v>
      </c>
      <c r="V82" s="22">
        <f ca="1">U82*V$676</f>
        <v>25380.846843133317</v>
      </c>
      <c r="W82" s="2">
        <v>154696.83757637828</v>
      </c>
      <c r="X82" s="21">
        <f ca="1">W82/W$646</f>
        <v>1.7698479374889536E-3</v>
      </c>
      <c r="Y82" s="22">
        <f ca="1">X82*Y$676</f>
        <v>32033.759916156967</v>
      </c>
      <c r="Z82" s="2">
        <v>174566.32500281389</v>
      </c>
      <c r="AA82" s="21">
        <f ca="1">Z82/Z$646</f>
        <v>1.5040302528472973E-3</v>
      </c>
      <c r="AB82" s="22">
        <f ca="1">AA82*AB$676</f>
        <v>27712.538677226294</v>
      </c>
      <c r="AC82" s="2">
        <v>177032.51799506979</v>
      </c>
      <c r="AD82" s="21">
        <f ca="1">AC82/AC$646</f>
        <v>1.701486327117746E-3</v>
      </c>
      <c r="AE82" s="22">
        <f ca="1">AD82*AE$676</f>
        <v>31946.434033852885</v>
      </c>
      <c r="AF82" s="2">
        <v>260339.85389708437</v>
      </c>
      <c r="AG82" s="21">
        <f ca="1">AF82/AF$646</f>
        <v>2.7656383556660001E-3</v>
      </c>
      <c r="AH82" s="22">
        <f ca="1">AG82*AH$676</f>
        <v>52861.20903064288</v>
      </c>
      <c r="AI82" s="2">
        <v>120000</v>
      </c>
      <c r="AJ82" s="21">
        <f ca="1">AI82/AI$646</f>
        <v>9.7127587805973133E-4</v>
      </c>
      <c r="AK82" s="22">
        <f ca="1">AJ82*AK$676</f>
        <v>18898.706625790008</v>
      </c>
      <c r="AL82" s="2">
        <v>1521716.5512742191</v>
      </c>
    </row>
    <row r="83" spans="1:38" ht="12.75" x14ac:dyDescent="0.2">
      <c r="A83" s="8" t="s">
        <v>16</v>
      </c>
      <c r="B83" s="8" t="s">
        <v>17</v>
      </c>
      <c r="C83" s="8" t="s">
        <v>18</v>
      </c>
      <c r="D83" s="8" t="s">
        <v>52</v>
      </c>
      <c r="E83" s="8" t="s">
        <v>54</v>
      </c>
      <c r="F83" s="23" t="s">
        <v>37</v>
      </c>
      <c r="G83" s="8" t="s">
        <v>438</v>
      </c>
      <c r="H83" s="20">
        <v>0</v>
      </c>
      <c r="I83" s="21">
        <f t="shared" ref="I83:I84" si="100">H83/H$649</f>
        <v>0</v>
      </c>
      <c r="J83" s="22">
        <f t="shared" ref="J83:J84" si="101">I83*J$679</f>
        <v>0</v>
      </c>
      <c r="K83" s="2">
        <v>352714.56608373905</v>
      </c>
      <c r="L83" s="21">
        <f t="shared" ref="L83:L84" ca="1" si="102">K83/K$649</f>
        <v>4.2051190776790414E-3</v>
      </c>
      <c r="M83" s="22">
        <f t="shared" ref="M83:M84" ca="1" si="103">L83*M$679</f>
        <v>384063.43683009292</v>
      </c>
      <c r="N83" s="2">
        <v>99691.159509681311</v>
      </c>
      <c r="O83" s="21">
        <f t="shared" ref="O83:O84" ca="1" si="104">N83/N$649</f>
        <v>1.1168758609237121E-3</v>
      </c>
      <c r="P83" s="22">
        <f t="shared" ref="P83:P84" ca="1" si="105">O83*P$679</f>
        <v>276657.96696080349</v>
      </c>
      <c r="Q83" s="2">
        <v>0</v>
      </c>
      <c r="R83" s="21">
        <f t="shared" ref="R83:R84" ca="1" si="106">Q83/Q$649</f>
        <v>0</v>
      </c>
      <c r="S83" s="22">
        <f t="shared" ref="S83:S84" ca="1" si="107">R83*S$679</f>
        <v>0</v>
      </c>
      <c r="T83" s="2">
        <v>0</v>
      </c>
      <c r="U83" s="21">
        <f t="shared" ref="U83:U84" ca="1" si="108">T83/T$649</f>
        <v>0</v>
      </c>
      <c r="V83" s="22">
        <f t="shared" ref="V83:V84" ca="1" si="109">U83*V$679</f>
        <v>0</v>
      </c>
      <c r="W83" s="2">
        <v>0</v>
      </c>
      <c r="X83" s="21">
        <f t="shared" ref="X83:X84" ca="1" si="110">W83/W$649</f>
        <v>0</v>
      </c>
      <c r="Y83" s="22">
        <f t="shared" ref="Y83:Y84" ca="1" si="111">X83*Y$679</f>
        <v>0</v>
      </c>
      <c r="Z83" s="2">
        <v>0</v>
      </c>
      <c r="AA83" s="21">
        <f t="shared" ref="AA83:AA84" ca="1" si="112">Z83/Z$649</f>
        <v>0</v>
      </c>
      <c r="AB83" s="22">
        <f t="shared" ref="AB83:AB84" ca="1" si="113">AA83*AB$679</f>
        <v>0</v>
      </c>
      <c r="AC83" s="2">
        <v>0</v>
      </c>
      <c r="AD83" s="21">
        <f t="shared" ref="AD83:AD84" ca="1" si="114">AC83/AC$649</f>
        <v>0</v>
      </c>
      <c r="AE83" s="22">
        <f t="shared" ref="AE83:AE84" ca="1" si="115">AD83*AE$679</f>
        <v>0</v>
      </c>
      <c r="AF83" s="2">
        <v>0</v>
      </c>
      <c r="AG83" s="21">
        <f t="shared" ref="AG83:AG84" ca="1" si="116">AF83/AF$649</f>
        <v>0</v>
      </c>
      <c r="AH83" s="22">
        <f t="shared" ref="AH83:AH84" ca="1" si="117">AG83*AH$679</f>
        <v>0</v>
      </c>
      <c r="AI83" s="2">
        <v>287837.36501754646</v>
      </c>
      <c r="AJ83" s="21">
        <f t="shared" ref="AJ83:AJ84" ca="1" si="118">AI83/AI$649</f>
        <v>1.5026401227144347E-3</v>
      </c>
      <c r="AK83" s="22">
        <f t="shared" ref="AK83:AK84" ca="1" si="119">AJ83*AK$679</f>
        <v>426297.0458507213</v>
      </c>
      <c r="AL83" s="2">
        <v>740243.09061096678</v>
      </c>
    </row>
    <row r="84" spans="1:38" ht="12.75" x14ac:dyDescent="0.2">
      <c r="A84" s="8" t="s">
        <v>16</v>
      </c>
      <c r="B84" s="8" t="s">
        <v>17</v>
      </c>
      <c r="C84" s="8" t="s">
        <v>18</v>
      </c>
      <c r="D84" s="8" t="s">
        <v>52</v>
      </c>
      <c r="E84" s="8" t="s">
        <v>54</v>
      </c>
      <c r="F84" s="23" t="s">
        <v>37</v>
      </c>
      <c r="G84" s="8" t="s">
        <v>439</v>
      </c>
      <c r="H84" s="20">
        <v>0</v>
      </c>
      <c r="I84" s="21">
        <f t="shared" si="100"/>
        <v>0</v>
      </c>
      <c r="J84" s="22">
        <f t="shared" si="101"/>
        <v>0</v>
      </c>
      <c r="K84" s="2">
        <v>0</v>
      </c>
      <c r="L84" s="21">
        <f t="shared" ca="1" si="102"/>
        <v>0</v>
      </c>
      <c r="M84" s="22">
        <f t="shared" ca="1" si="103"/>
        <v>0</v>
      </c>
      <c r="N84" s="2">
        <v>0</v>
      </c>
      <c r="O84" s="21">
        <f t="shared" ca="1" si="104"/>
        <v>0</v>
      </c>
      <c r="P84" s="22">
        <f t="shared" ca="1" si="105"/>
        <v>0</v>
      </c>
      <c r="Q84" s="2">
        <v>0</v>
      </c>
      <c r="R84" s="21">
        <f t="shared" ca="1" si="106"/>
        <v>0</v>
      </c>
      <c r="S84" s="22">
        <f t="shared" ca="1" si="107"/>
        <v>0</v>
      </c>
      <c r="T84" s="2">
        <v>0</v>
      </c>
      <c r="U84" s="21">
        <f t="shared" ca="1" si="108"/>
        <v>0</v>
      </c>
      <c r="V84" s="22">
        <f t="shared" ca="1" si="109"/>
        <v>0</v>
      </c>
      <c r="W84" s="2">
        <v>0</v>
      </c>
      <c r="X84" s="21">
        <f t="shared" ca="1" si="110"/>
        <v>0</v>
      </c>
      <c r="Y84" s="22">
        <f t="shared" ca="1" si="111"/>
        <v>0</v>
      </c>
      <c r="Z84" s="2">
        <v>0</v>
      </c>
      <c r="AA84" s="21">
        <f t="shared" ca="1" si="112"/>
        <v>0</v>
      </c>
      <c r="AB84" s="22">
        <f t="shared" ca="1" si="113"/>
        <v>0</v>
      </c>
      <c r="AC84" s="2">
        <v>0</v>
      </c>
      <c r="AD84" s="21">
        <f t="shared" ca="1" si="114"/>
        <v>0</v>
      </c>
      <c r="AE84" s="22">
        <f t="shared" ca="1" si="115"/>
        <v>0</v>
      </c>
      <c r="AF84" s="2">
        <v>78475.221191286691</v>
      </c>
      <c r="AG84" s="21">
        <f t="shared" ca="1" si="116"/>
        <v>7.7419031764125825E-4</v>
      </c>
      <c r="AH84" s="22">
        <f t="shared" ca="1" si="117"/>
        <v>215753.22677053069</v>
      </c>
      <c r="AI84" s="2">
        <v>421165.22333535471</v>
      </c>
      <c r="AJ84" s="21">
        <f t="shared" ca="1" si="118"/>
        <v>2.1986713324627285E-3</v>
      </c>
      <c r="AK84" s="22">
        <f t="shared" ca="1" si="119"/>
        <v>623760.1935800662</v>
      </c>
      <c r="AL84" s="2">
        <v>499640.4445266414</v>
      </c>
    </row>
    <row r="85" spans="1:38" ht="12.75" x14ac:dyDescent="0.2">
      <c r="A85" s="8" t="s">
        <v>16</v>
      </c>
      <c r="B85" s="8" t="s">
        <v>17</v>
      </c>
      <c r="C85" s="8" t="s">
        <v>18</v>
      </c>
      <c r="D85" s="8" t="s">
        <v>52</v>
      </c>
      <c r="E85" s="8" t="s">
        <v>54</v>
      </c>
      <c r="F85" s="8" t="s">
        <v>25</v>
      </c>
      <c r="G85" s="8" t="s">
        <v>440</v>
      </c>
      <c r="H85" s="20">
        <v>0</v>
      </c>
      <c r="I85" s="21">
        <f>H85/H$652</f>
        <v>0</v>
      </c>
      <c r="J85" s="22">
        <f>I85*J$682</f>
        <v>0</v>
      </c>
      <c r="K85" s="2">
        <v>0</v>
      </c>
      <c r="L85" s="21">
        <f ca="1">K85/K$652</f>
        <v>0</v>
      </c>
      <c r="M85" s="22">
        <f ca="1">L85*M$682</f>
        <v>0</v>
      </c>
      <c r="N85" s="2">
        <v>0</v>
      </c>
      <c r="O85" s="21">
        <f ca="1">N85/N$652</f>
        <v>0</v>
      </c>
      <c r="P85" s="22">
        <f ca="1">O85*P$682</f>
        <v>0</v>
      </c>
      <c r="Q85" s="2">
        <v>0</v>
      </c>
      <c r="R85" s="21">
        <f ca="1">Q85/Q$652</f>
        <v>0</v>
      </c>
      <c r="S85" s="22">
        <f ca="1">R85*S$682</f>
        <v>0</v>
      </c>
      <c r="T85" s="2">
        <v>37260.096458342319</v>
      </c>
      <c r="U85" s="21">
        <f ca="1">T85/T$652</f>
        <v>8.4923822856219629E-4</v>
      </c>
      <c r="V85" s="22">
        <f ca="1">U85*V$682</f>
        <v>32824.761071845853</v>
      </c>
      <c r="W85" s="2">
        <v>71101.827156516738</v>
      </c>
      <c r="X85" s="21">
        <f ca="1">W85/W$652</f>
        <v>1.5434207263219451E-3</v>
      </c>
      <c r="Y85" s="22">
        <f ca="1">X85*Y$682</f>
        <v>60849.433256069751</v>
      </c>
      <c r="Z85" s="2">
        <v>0</v>
      </c>
      <c r="AA85" s="21">
        <f ca="1">Z85/Z$652</f>
        <v>0</v>
      </c>
      <c r="AB85" s="22">
        <f ca="1">AA85*AB$682</f>
        <v>0</v>
      </c>
      <c r="AC85" s="2">
        <v>31808.817552037781</v>
      </c>
      <c r="AD85" s="21">
        <f ca="1">AC85/AC$652</f>
        <v>5.1062918697413102E-4</v>
      </c>
      <c r="AE85" s="22">
        <f ca="1">AD85*AE$682</f>
        <v>20883.33265734728</v>
      </c>
      <c r="AF85" s="2">
        <v>183108.84944633563</v>
      </c>
      <c r="AG85" s="21">
        <f ca="1">AF85/AF$652</f>
        <v>2.735763409557911E-3</v>
      </c>
      <c r="AH85" s="22">
        <f ca="1">AG85*AH$682</f>
        <v>113899.15082924897</v>
      </c>
      <c r="AI85" s="2">
        <v>18777470.868673764</v>
      </c>
      <c r="AJ85" s="21">
        <f ca="1">AI85/AI$652</f>
        <v>0.25068046022851537</v>
      </c>
      <c r="AK85" s="22">
        <f ca="1">AJ85*AK$682</f>
        <v>10624541.835271239</v>
      </c>
      <c r="AL85" s="2">
        <v>19100750.459286995</v>
      </c>
    </row>
    <row r="86" spans="1:38" ht="12.75" x14ac:dyDescent="0.2">
      <c r="A86" s="8" t="s">
        <v>16</v>
      </c>
      <c r="B86" s="8" t="s">
        <v>17</v>
      </c>
      <c r="C86" s="8" t="s">
        <v>18</v>
      </c>
      <c r="D86" s="8" t="s">
        <v>52</v>
      </c>
      <c r="E86" s="8" t="s">
        <v>54</v>
      </c>
      <c r="F86" s="8" t="s">
        <v>26</v>
      </c>
      <c r="G86" s="8" t="s">
        <v>441</v>
      </c>
      <c r="H86" s="20">
        <v>0</v>
      </c>
      <c r="I86" s="21">
        <f t="shared" ref="I86:I87" si="120">H86/H$655</f>
        <v>0</v>
      </c>
      <c r="J86" s="22">
        <f t="shared" ref="J86:J87" si="121">I86*J$685</f>
        <v>0</v>
      </c>
      <c r="K86" s="2">
        <v>0</v>
      </c>
      <c r="L86" s="21">
        <f t="shared" ref="L86:L87" ca="1" si="122">K86/K$655</f>
        <v>0</v>
      </c>
      <c r="M86" s="22">
        <f t="shared" ref="M86:M87" ca="1" si="123">L86*M$685</f>
        <v>0</v>
      </c>
      <c r="N86" s="2">
        <v>0</v>
      </c>
      <c r="O86" s="21">
        <f t="shared" ref="O86:O87" ca="1" si="124">N86/N$655</f>
        <v>0</v>
      </c>
      <c r="P86" s="22">
        <f t="shared" ref="P86:P87" ca="1" si="125">O86*P$685</f>
        <v>0</v>
      </c>
      <c r="Q86" s="2">
        <v>0</v>
      </c>
      <c r="R86" s="21">
        <f t="shared" ref="R86:R87" ca="1" si="126">Q86/Q$655</f>
        <v>0</v>
      </c>
      <c r="S86" s="22">
        <f t="shared" ref="S86:S87" ca="1" si="127">R86*S$685</f>
        <v>0</v>
      </c>
      <c r="T86" s="2">
        <v>0</v>
      </c>
      <c r="U86" s="21">
        <f t="shared" ref="U86:U87" ca="1" si="128">T86/T$655</f>
        <v>0</v>
      </c>
      <c r="V86" s="22">
        <f t="shared" ref="V86:V87" ca="1" si="129">U86*V$685</f>
        <v>0</v>
      </c>
      <c r="W86" s="2">
        <v>0</v>
      </c>
      <c r="X86" s="21">
        <f t="shared" ref="X86:X87" ca="1" si="130">W86/W$655</f>
        <v>0</v>
      </c>
      <c r="Y86" s="22">
        <f t="shared" ref="Y86:Y87" ca="1" si="131">X86*Y$685</f>
        <v>0</v>
      </c>
      <c r="Z86" s="2">
        <v>0</v>
      </c>
      <c r="AA86" s="21">
        <f t="shared" ref="AA86:AA87" ca="1" si="132">Z86/Z$655</f>
        <v>0</v>
      </c>
      <c r="AB86" s="22">
        <f t="shared" ref="AB86:AB87" ca="1" si="133">AA86*AB$685</f>
        <v>0</v>
      </c>
      <c r="AC86" s="2">
        <v>0</v>
      </c>
      <c r="AD86" s="21">
        <f t="shared" ref="AD86:AD87" ca="1" si="134">AC86/AC$655</f>
        <v>0</v>
      </c>
      <c r="AE86" s="22">
        <f t="shared" ref="AE86:AE87" ca="1" si="135">AD86*AE$685</f>
        <v>0</v>
      </c>
      <c r="AF86" s="2">
        <v>0</v>
      </c>
      <c r="AG86" s="21">
        <f t="shared" ref="AG86:AG87" ca="1" si="136">AF86/AF$655</f>
        <v>0</v>
      </c>
      <c r="AH86" s="22">
        <f t="shared" ref="AH86:AH87" ca="1" si="137">AG86*AH$685</f>
        <v>0</v>
      </c>
      <c r="AI86" s="2">
        <v>0</v>
      </c>
      <c r="AJ86" s="21">
        <f t="shared" ref="AJ86:AJ87" ca="1" si="138">AI86/AI$655</f>
        <v>0</v>
      </c>
      <c r="AK86" s="22">
        <f t="shared" ref="AK86:AK87" ca="1" si="139">AJ86*AK$685</f>
        <v>0</v>
      </c>
      <c r="AL86" s="2">
        <v>0</v>
      </c>
    </row>
    <row r="87" spans="1:38" ht="12.75" x14ac:dyDescent="0.2">
      <c r="A87" s="8" t="s">
        <v>16</v>
      </c>
      <c r="B87" s="8" t="s">
        <v>17</v>
      </c>
      <c r="C87" s="8" t="s">
        <v>18</v>
      </c>
      <c r="D87" s="8" t="s">
        <v>52</v>
      </c>
      <c r="E87" s="8" t="s">
        <v>54</v>
      </c>
      <c r="F87" s="8" t="s">
        <v>26</v>
      </c>
      <c r="G87" s="8" t="s">
        <v>442</v>
      </c>
      <c r="H87" s="20">
        <v>75000</v>
      </c>
      <c r="I87" s="21">
        <f t="shared" si="120"/>
        <v>1.89097053003101E-3</v>
      </c>
      <c r="J87" s="22">
        <f t="shared" si="121"/>
        <v>4563.8157728781816</v>
      </c>
      <c r="K87" s="2">
        <v>75000</v>
      </c>
      <c r="L87" s="21">
        <f t="shared" ca="1" si="122"/>
        <v>1.8891175798920255E-3</v>
      </c>
      <c r="M87" s="22">
        <f t="shared" ca="1" si="123"/>
        <v>5227.2072347370331</v>
      </c>
      <c r="N87" s="2">
        <v>75000</v>
      </c>
      <c r="O87" s="21">
        <f t="shared" ca="1" si="124"/>
        <v>6.4838841917558092E-4</v>
      </c>
      <c r="P87" s="22">
        <f t="shared" ca="1" si="125"/>
        <v>1840.7437679763427</v>
      </c>
      <c r="Q87" s="2">
        <v>75000</v>
      </c>
      <c r="R87" s="21">
        <f t="shared" ca="1" si="126"/>
        <v>5.3872565932900902E-4</v>
      </c>
      <c r="S87" s="22">
        <f t="shared" ca="1" si="127"/>
        <v>1564.5930048510613</v>
      </c>
      <c r="T87" s="2">
        <v>75000</v>
      </c>
      <c r="U87" s="21">
        <f t="shared" ca="1" si="128"/>
        <v>7.5498288673323975E-4</v>
      </c>
      <c r="V87" s="22">
        <f t="shared" ca="1" si="129"/>
        <v>2238.7034694518798</v>
      </c>
      <c r="W87" s="2">
        <v>75000</v>
      </c>
      <c r="X87" s="21">
        <f t="shared" ca="1" si="130"/>
        <v>6.9959601631430193E-4</v>
      </c>
      <c r="Y87" s="22">
        <f t="shared" ca="1" si="131"/>
        <v>2115.9576183268136</v>
      </c>
      <c r="Z87" s="2">
        <v>75000</v>
      </c>
      <c r="AA87" s="21">
        <f t="shared" ca="1" si="132"/>
        <v>6.5019174541194706E-4</v>
      </c>
      <c r="AB87" s="22">
        <f t="shared" ca="1" si="133"/>
        <v>2001.9299030324489</v>
      </c>
      <c r="AC87" s="2">
        <v>75000</v>
      </c>
      <c r="AD87" s="21">
        <f t="shared" ca="1" si="134"/>
        <v>6.6571935633248788E-4</v>
      </c>
      <c r="AE87" s="22">
        <f t="shared" ca="1" si="135"/>
        <v>2088.6842084435125</v>
      </c>
      <c r="AF87" s="2">
        <v>75000</v>
      </c>
      <c r="AG87" s="21">
        <f t="shared" ca="1" si="136"/>
        <v>6.2266240885258542E-4</v>
      </c>
      <c r="AH87" s="22">
        <f t="shared" ca="1" si="137"/>
        <v>1988.7583915151174</v>
      </c>
      <c r="AI87" s="2">
        <v>139553.31964124192</v>
      </c>
      <c r="AJ87" s="21">
        <f t="shared" ca="1" si="138"/>
        <v>7.5368145731330883E-4</v>
      </c>
      <c r="AK87" s="22">
        <f t="shared" ca="1" si="139"/>
        <v>2450.5579964429739</v>
      </c>
      <c r="AL87" s="2">
        <v>814553.31964124192</v>
      </c>
    </row>
    <row r="88" spans="1:38" ht="12.75" x14ac:dyDescent="0.2">
      <c r="A88" s="8" t="s">
        <v>16</v>
      </c>
      <c r="B88" s="8" t="s">
        <v>17</v>
      </c>
      <c r="C88" s="8" t="s">
        <v>18</v>
      </c>
      <c r="D88" s="8" t="s">
        <v>52</v>
      </c>
      <c r="E88" s="8" t="s">
        <v>54</v>
      </c>
      <c r="F88" s="8" t="s">
        <v>38</v>
      </c>
      <c r="G88" s="8" t="s">
        <v>443</v>
      </c>
      <c r="H88" s="20">
        <v>130000</v>
      </c>
      <c r="I88" s="21">
        <f>H88/H$656</f>
        <v>6.0732721364032101E-3</v>
      </c>
      <c r="J88" s="22">
        <f>I88*J$686</f>
        <v>237296.14608087848</v>
      </c>
      <c r="K88" s="2">
        <v>130000</v>
      </c>
      <c r="L88" s="21">
        <f ca="1">K88/K$656</f>
        <v>9.5818920884484099E-3</v>
      </c>
      <c r="M88" s="22">
        <f ca="1">L88*M$686</f>
        <v>366236.63602219254</v>
      </c>
      <c r="N88" s="2">
        <v>130000</v>
      </c>
      <c r="O88" s="21">
        <f ca="1">N88/N$656</f>
        <v>8.7454788345934144E-3</v>
      </c>
      <c r="P88" s="22">
        <f ca="1">O88*P$686</f>
        <v>342958.41592861351</v>
      </c>
      <c r="Q88" s="2">
        <v>130000</v>
      </c>
      <c r="R88" s="21">
        <f ca="1">Q88/Q$656</f>
        <v>9.2043827653856564E-3</v>
      </c>
      <c r="S88" s="22">
        <f ca="1">R88*S$686</f>
        <v>369256.52285820991</v>
      </c>
      <c r="T88" s="2">
        <v>130000</v>
      </c>
      <c r="U88" s="21">
        <f ca="1">T88/T$656</f>
        <v>1.3801404575574605E-2</v>
      </c>
      <c r="V88" s="22">
        <f ca="1">U88*V$686</f>
        <v>565304.61941872153</v>
      </c>
      <c r="W88" s="2">
        <v>130000</v>
      </c>
      <c r="X88" s="21">
        <f ca="1">W88/W$656</f>
        <v>7.6506759334091781E-3</v>
      </c>
      <c r="Y88" s="22">
        <f ca="1">X88*Y$686</f>
        <v>319638.60430153081</v>
      </c>
      <c r="Z88" s="2">
        <v>130000</v>
      </c>
      <c r="AA88" s="21">
        <f ca="1">Z88/Z$656</f>
        <v>3.2002733048677452E-3</v>
      </c>
      <c r="AB88" s="22">
        <f ca="1">AA88*AB$686</f>
        <v>136111.32630823346</v>
      </c>
      <c r="AC88" s="2">
        <v>130000</v>
      </c>
      <c r="AD88" s="21">
        <f ca="1">AC88/AC$656</f>
        <v>1.1904093329870092E-2</v>
      </c>
      <c r="AE88" s="22">
        <f ca="1">AD88*AE$686</f>
        <v>515914.46458535624</v>
      </c>
      <c r="AF88" s="2">
        <v>130000</v>
      </c>
      <c r="AG88" s="21">
        <f ca="1">AF88/AF$656</f>
        <v>6.4598456489199253E-3</v>
      </c>
      <c r="AH88" s="22">
        <f ca="1">AG88*AH$686</f>
        <v>285004.22633683414</v>
      </c>
      <c r="AI88" s="2">
        <v>130000</v>
      </c>
      <c r="AJ88" s="21">
        <f ca="1">AI88/AI$656</f>
        <v>3.2588776457211734E-3</v>
      </c>
      <c r="AK88" s="22">
        <f ca="1">AJ88*AK$686</f>
        <v>146367.61365518809</v>
      </c>
      <c r="AL88" s="2">
        <v>1300000</v>
      </c>
    </row>
    <row r="89" spans="1:38" ht="12.75" x14ac:dyDescent="0.2">
      <c r="A89" s="8" t="s">
        <v>16</v>
      </c>
      <c r="B89" s="8" t="s">
        <v>17</v>
      </c>
      <c r="C89" s="8" t="s">
        <v>18</v>
      </c>
      <c r="D89" s="8" t="s">
        <v>52</v>
      </c>
      <c r="E89" s="8" t="s">
        <v>54</v>
      </c>
      <c r="F89" s="8" t="s">
        <v>27</v>
      </c>
      <c r="G89" s="8" t="s">
        <v>444</v>
      </c>
      <c r="H89" s="20">
        <v>1312695.8249321785</v>
      </c>
      <c r="I89" s="21">
        <f t="shared" ref="I89:I90" si="140">H89/H$657</f>
        <v>2.5737496465836823E-2</v>
      </c>
      <c r="J89" s="22">
        <f t="shared" ref="J89:J90" si="141">I89*J$687</f>
        <v>266974.56182769249</v>
      </c>
      <c r="K89" s="2">
        <v>520000</v>
      </c>
      <c r="L89" s="21">
        <f t="shared" ref="L89:L90" ca="1" si="142">K89/K$657</f>
        <v>1.3313421017534239E-2</v>
      </c>
      <c r="M89" s="22">
        <f t="shared" ref="M89:M90" ca="1" si="143">L89*M$687</f>
        <v>209107.89956953138</v>
      </c>
      <c r="N89" s="2">
        <v>520000</v>
      </c>
      <c r="O89" s="21">
        <f t="shared" ref="O89:O90" ca="1" si="144">N89/N$657</f>
        <v>9.4016650876204456E-3</v>
      </c>
      <c r="P89" s="22">
        <f t="shared" ref="P89:P90" ca="1" si="145">O89*P$687</f>
        <v>151507.07389058094</v>
      </c>
      <c r="Q89" s="2">
        <v>960286.02388680703</v>
      </c>
      <c r="R89" s="21">
        <f t="shared" ref="R89:R90" ca="1" si="146">Q89/Q$657</f>
        <v>1.7386526355537016E-2</v>
      </c>
      <c r="S89" s="22">
        <f t="shared" ref="S89:S90" ca="1" si="147">R89*S$687</f>
        <v>286626.66550118057</v>
      </c>
      <c r="T89" s="2">
        <v>520000</v>
      </c>
      <c r="U89" s="21">
        <f t="shared" ref="U89:U90" ca="1" si="148">T89/T$657</f>
        <v>1.3441705744772282E-2</v>
      </c>
      <c r="V89" s="22">
        <f t="shared" ref="V89:V90" ca="1" si="149">U89*V$687</f>
        <v>226247.5547365149</v>
      </c>
      <c r="W89" s="2">
        <v>780306.35144801345</v>
      </c>
      <c r="X89" s="21">
        <f t="shared" ref="X89:X90" ca="1" si="150">W89/W$657</f>
        <v>1.9912759786726932E-2</v>
      </c>
      <c r="Y89" s="22">
        <f t="shared" ref="Y89:Y90" ca="1" si="151">X89*Y$687</f>
        <v>341870.11381011544</v>
      </c>
      <c r="Z89" s="2">
        <v>1596817.8465924195</v>
      </c>
      <c r="AA89" s="21">
        <f t="shared" ref="AA89:AA90" ca="1" si="152">Z89/Z$657</f>
        <v>3.292084675204375E-2</v>
      </c>
      <c r="AB89" s="22">
        <f t="shared" ref="AB89:AB90" ca="1" si="153">AA89*AB$687</f>
        <v>575371.6468349701</v>
      </c>
      <c r="AC89" s="2">
        <v>921026.39461753226</v>
      </c>
      <c r="AD89" s="21">
        <f t="shared" ref="AD89:AD90" ca="1" si="154">AC89/AC$657</f>
        <v>1.6768148825599034E-2</v>
      </c>
      <c r="AE89" s="22">
        <f t="shared" ref="AE89:AE90" ca="1" si="155">AD89*AE$687</f>
        <v>298632.2894978</v>
      </c>
      <c r="AF89" s="2">
        <v>520000</v>
      </c>
      <c r="AG89" s="21">
        <f t="shared" ref="AG89:AG90" ca="1" si="156">AF89/AF$657</f>
        <v>1.0404683415059086E-2</v>
      </c>
      <c r="AH89" s="22">
        <f t="shared" ref="AH89:AH90" ca="1" si="157">AG89*AH$687</f>
        <v>188637.61304733908</v>
      </c>
      <c r="AI89" s="2">
        <v>520000</v>
      </c>
      <c r="AJ89" s="21">
        <f t="shared" ref="AJ89:AJ90" ca="1" si="158">AI89/AI$657</f>
        <v>9.3704940138681202E-3</v>
      </c>
      <c r="AK89" s="22">
        <f t="shared" ref="AK89:AK90" ca="1" si="159">AJ89*AK$687</f>
        <v>172945.66770937821</v>
      </c>
      <c r="AL89" s="2">
        <v>8171132.4414769504</v>
      </c>
    </row>
    <row r="90" spans="1:38" ht="12.75" x14ac:dyDescent="0.2">
      <c r="A90" s="8" t="s">
        <v>16</v>
      </c>
      <c r="B90" s="8" t="s">
        <v>17</v>
      </c>
      <c r="C90" s="8" t="s">
        <v>18</v>
      </c>
      <c r="D90" s="8" t="s">
        <v>52</v>
      </c>
      <c r="E90" s="8" t="s">
        <v>54</v>
      </c>
      <c r="F90" s="8" t="s">
        <v>27</v>
      </c>
      <c r="G90" s="8" t="s">
        <v>445</v>
      </c>
      <c r="H90" s="20">
        <v>0</v>
      </c>
      <c r="I90" s="21">
        <f t="shared" si="140"/>
        <v>0</v>
      </c>
      <c r="J90" s="22">
        <f t="shared" si="141"/>
        <v>0</v>
      </c>
      <c r="K90" s="2">
        <v>0</v>
      </c>
      <c r="L90" s="21">
        <f t="shared" ca="1" si="142"/>
        <v>0</v>
      </c>
      <c r="M90" s="22">
        <f t="shared" ca="1" si="143"/>
        <v>0</v>
      </c>
      <c r="N90" s="2">
        <v>0</v>
      </c>
      <c r="O90" s="21">
        <f t="shared" ca="1" si="144"/>
        <v>0</v>
      </c>
      <c r="P90" s="22">
        <f t="shared" ca="1" si="145"/>
        <v>0</v>
      </c>
      <c r="Q90" s="2">
        <v>0</v>
      </c>
      <c r="R90" s="21">
        <f t="shared" ca="1" si="146"/>
        <v>0</v>
      </c>
      <c r="S90" s="22">
        <f t="shared" ca="1" si="147"/>
        <v>0</v>
      </c>
      <c r="T90" s="2">
        <v>0</v>
      </c>
      <c r="U90" s="21">
        <f t="shared" ca="1" si="148"/>
        <v>0</v>
      </c>
      <c r="V90" s="22">
        <f t="shared" ca="1" si="149"/>
        <v>0</v>
      </c>
      <c r="W90" s="2">
        <v>0</v>
      </c>
      <c r="X90" s="21">
        <f t="shared" ca="1" si="150"/>
        <v>0</v>
      </c>
      <c r="Y90" s="22">
        <f t="shared" ca="1" si="151"/>
        <v>0</v>
      </c>
      <c r="Z90" s="2">
        <v>0</v>
      </c>
      <c r="AA90" s="21">
        <f t="shared" ca="1" si="152"/>
        <v>0</v>
      </c>
      <c r="AB90" s="22">
        <f t="shared" ca="1" si="153"/>
        <v>0</v>
      </c>
      <c r="AC90" s="2">
        <v>36411.038108889479</v>
      </c>
      <c r="AD90" s="21">
        <f t="shared" ca="1" si="154"/>
        <v>6.6289707816457699E-4</v>
      </c>
      <c r="AE90" s="22">
        <f t="shared" ca="1" si="155"/>
        <v>11805.863259721969</v>
      </c>
      <c r="AF90" s="2">
        <v>0</v>
      </c>
      <c r="AG90" s="21">
        <f t="shared" ca="1" si="156"/>
        <v>0</v>
      </c>
      <c r="AH90" s="22">
        <f t="shared" ca="1" si="157"/>
        <v>0</v>
      </c>
      <c r="AI90" s="2">
        <v>0</v>
      </c>
      <c r="AJ90" s="21">
        <f t="shared" ca="1" si="158"/>
        <v>0</v>
      </c>
      <c r="AK90" s="22">
        <f t="shared" ca="1" si="159"/>
        <v>0</v>
      </c>
      <c r="AL90" s="2">
        <v>36411.038108889479</v>
      </c>
    </row>
    <row r="91" spans="1:38" ht="12.75" x14ac:dyDescent="0.2">
      <c r="A91" s="8" t="s">
        <v>16</v>
      </c>
      <c r="B91" s="8" t="s">
        <v>17</v>
      </c>
      <c r="C91" s="8" t="s">
        <v>18</v>
      </c>
      <c r="D91" s="8" t="s">
        <v>52</v>
      </c>
      <c r="E91" s="8" t="s">
        <v>54</v>
      </c>
      <c r="F91" s="8" t="s">
        <v>28</v>
      </c>
      <c r="G91" s="8" t="s">
        <v>446</v>
      </c>
      <c r="H91" s="20">
        <v>186777.55246225747</v>
      </c>
      <c r="I91" s="21">
        <f>H91/H$669</f>
        <v>2.1983062972930605E-2</v>
      </c>
      <c r="J91" s="22">
        <f>I91*J$699</f>
        <v>245000.48940917052</v>
      </c>
      <c r="K91" s="2">
        <v>394369.30771015491</v>
      </c>
      <c r="L91" s="21">
        <f ca="1">K91/K$669</f>
        <v>5.4363090309816661E-2</v>
      </c>
      <c r="M91" s="22">
        <f ca="1">L91*M$699</f>
        <v>257665.98949251516</v>
      </c>
      <c r="N91" s="2">
        <v>311238.4338547815</v>
      </c>
      <c r="O91" s="21">
        <f ca="1">N91/N$669</f>
        <v>1.1035088517199323E-2</v>
      </c>
      <c r="P91" s="22">
        <f ca="1">O91*P$699</f>
        <v>53663.147708227851</v>
      </c>
      <c r="Q91" s="2">
        <v>255713.28209019674</v>
      </c>
      <c r="R91" s="21">
        <f ca="1">Q91/Q$669</f>
        <v>6.7647615180398048E-3</v>
      </c>
      <c r="S91" s="22">
        <f ca="1">R91*S$699</f>
        <v>33653.361170742959</v>
      </c>
      <c r="T91" s="2">
        <v>224268.83636126414</v>
      </c>
      <c r="U91" s="21">
        <f ca="1">T91/T$669</f>
        <v>7.8560660251095118E-3</v>
      </c>
      <c r="V91" s="22">
        <f ca="1">U91*V$699</f>
        <v>39903.117088625666</v>
      </c>
      <c r="W91" s="2">
        <v>209103.33594857831</v>
      </c>
      <c r="X91" s="21">
        <f ca="1">W91/W$669</f>
        <v>7.496411899968255E-3</v>
      </c>
      <c r="Y91" s="22">
        <f ca="1">X91*Y$699</f>
        <v>38837.861680531321</v>
      </c>
      <c r="Z91" s="2">
        <v>170000</v>
      </c>
      <c r="AA91" s="21">
        <f ca="1">Z91/Z$669</f>
        <v>5.7785279984107945E-3</v>
      </c>
      <c r="AB91" s="22">
        <f ca="1">AA91*AB$699</f>
        <v>30476.624892596265</v>
      </c>
      <c r="AC91" s="2">
        <v>992213.52030688652</v>
      </c>
      <c r="AD91" s="21">
        <f ca="1">AC91/AC$669</f>
        <v>3.1462202984714686E-2</v>
      </c>
      <c r="AE91" s="22">
        <f ca="1">AD91*AE$699</f>
        <v>169088.06724504926</v>
      </c>
      <c r="AF91" s="2">
        <v>170000</v>
      </c>
      <c r="AG91" s="21">
        <f ca="1">AF91/AF$669</f>
        <v>4.2352496938166994E-3</v>
      </c>
      <c r="AH91" s="22">
        <f ca="1">AG91*AH$699</f>
        <v>23171.312220367283</v>
      </c>
      <c r="AI91" s="2">
        <v>562251.40414812462</v>
      </c>
      <c r="AJ91" s="21">
        <f ca="1">AI91/AI$669</f>
        <v>1.2852051997181934E-2</v>
      </c>
      <c r="AK91" s="22">
        <f ca="1">AJ91*AK$699</f>
        <v>71580.027576464694</v>
      </c>
      <c r="AL91" s="2">
        <v>3475935.672882244</v>
      </c>
    </row>
    <row r="92" spans="1:38" ht="12.75" x14ac:dyDescent="0.2">
      <c r="A92" s="8" t="s">
        <v>16</v>
      </c>
      <c r="B92" s="8" t="s">
        <v>17</v>
      </c>
      <c r="C92" s="8" t="s">
        <v>18</v>
      </c>
      <c r="D92" s="8" t="s">
        <v>52</v>
      </c>
      <c r="E92" s="8" t="s">
        <v>54</v>
      </c>
      <c r="F92" s="8" t="s">
        <v>55</v>
      </c>
      <c r="G92" s="8" t="s">
        <v>447</v>
      </c>
      <c r="H92" s="20">
        <v>0</v>
      </c>
      <c r="I92" s="21">
        <f>H92/H$654</f>
        <v>0</v>
      </c>
      <c r="J92" s="22">
        <f>I92*J$684</f>
        <v>0</v>
      </c>
      <c r="K92" s="2">
        <v>0</v>
      </c>
      <c r="L92" s="21">
        <f ca="1">K92/K$654</f>
        <v>0</v>
      </c>
      <c r="M92" s="22">
        <f ca="1">L92*M$684</f>
        <v>0</v>
      </c>
      <c r="N92" s="2">
        <v>0</v>
      </c>
      <c r="O92" s="21">
        <f ca="1">N92/N$654</f>
        <v>0</v>
      </c>
      <c r="P92" s="22">
        <f ca="1">O92*P$684</f>
        <v>0</v>
      </c>
      <c r="Q92" s="2">
        <v>0</v>
      </c>
      <c r="R92" s="21">
        <f ca="1">Q92/Q$654</f>
        <v>0</v>
      </c>
      <c r="S92" s="22">
        <f ca="1">R92*S$684</f>
        <v>0</v>
      </c>
      <c r="T92" s="2">
        <v>0</v>
      </c>
      <c r="U92" s="21">
        <f ca="1">T92/T$654</f>
        <v>0</v>
      </c>
      <c r="V92" s="22">
        <f ca="1">U92*V$684</f>
        <v>0</v>
      </c>
      <c r="W92" s="2">
        <v>0</v>
      </c>
      <c r="X92" s="21">
        <f ca="1">W92/W$654</f>
        <v>0</v>
      </c>
      <c r="Y92" s="22">
        <f ca="1">X92*Y$684</f>
        <v>0</v>
      </c>
      <c r="Z92" s="2">
        <v>0</v>
      </c>
      <c r="AA92" s="21">
        <f ca="1">Z92/Z$654</f>
        <v>0</v>
      </c>
      <c r="AB92" s="22">
        <f ca="1">AA92*AB$684</f>
        <v>0</v>
      </c>
      <c r="AC92" s="2">
        <v>653497.6020268416</v>
      </c>
      <c r="AD92" s="21">
        <f ca="1">AC92/AC$654</f>
        <v>0.25474103161442918</v>
      </c>
      <c r="AE92" s="22">
        <f ca="1">AD92*AE$684</f>
        <v>860708.05903893581</v>
      </c>
      <c r="AF92" s="2">
        <v>0</v>
      </c>
      <c r="AG92" s="21">
        <f ca="1">AF92/AF$654</f>
        <v>0</v>
      </c>
      <c r="AH92" s="22">
        <f ca="1">AG92*AH$684</f>
        <v>0</v>
      </c>
      <c r="AI92" s="2">
        <v>0</v>
      </c>
      <c r="AJ92" s="21">
        <f ca="1">AI92/AI$654</f>
        <v>0</v>
      </c>
      <c r="AK92" s="22">
        <f ca="1">AJ92*AK$684</f>
        <v>0</v>
      </c>
      <c r="AL92" s="2">
        <v>653497.6020268416</v>
      </c>
    </row>
    <row r="93" spans="1:38" ht="12.75" x14ac:dyDescent="0.2">
      <c r="A93" s="8" t="s">
        <v>16</v>
      </c>
      <c r="B93" s="8" t="s">
        <v>17</v>
      </c>
      <c r="C93" s="8" t="s">
        <v>18</v>
      </c>
      <c r="D93" s="8" t="s">
        <v>52</v>
      </c>
      <c r="E93" s="8" t="s">
        <v>56</v>
      </c>
      <c r="F93" s="8" t="s">
        <v>21</v>
      </c>
      <c r="G93" s="8" t="s">
        <v>448</v>
      </c>
      <c r="H93" s="20">
        <v>80000</v>
      </c>
      <c r="I93" s="21">
        <f>H93/H$645</f>
        <v>5.2947973170546399E-3</v>
      </c>
      <c r="J93" s="22">
        <f>I93*J$675</f>
        <v>747.62538116811515</v>
      </c>
      <c r="K93" s="2">
        <v>80000</v>
      </c>
      <c r="L93" s="21">
        <f ca="1">K93/K$645</f>
        <v>5.2291222113429996E-3</v>
      </c>
      <c r="M93" s="22">
        <f ca="1">L93*M$675</f>
        <v>2256.1570693060507</v>
      </c>
      <c r="N93" s="2">
        <v>80000</v>
      </c>
      <c r="O93" s="21">
        <f ca="1">N93/N$645</f>
        <v>3.682509301779254E-3</v>
      </c>
      <c r="P93" s="22">
        <f ca="1">O93*P$675</f>
        <v>1630.1657053926647</v>
      </c>
      <c r="Q93" s="2">
        <v>80000</v>
      </c>
      <c r="R93" s="21">
        <f ca="1">Q93/Q$645</f>
        <v>3.1686666651385533E-3</v>
      </c>
      <c r="S93" s="22">
        <f ca="1">R93*S$675</f>
        <v>1434.960960074646</v>
      </c>
      <c r="T93" s="2">
        <v>80000</v>
      </c>
      <c r="U93" s="21">
        <f ca="1">T93/T$645</f>
        <v>3.8757521683199774E-3</v>
      </c>
      <c r="V93" s="22">
        <f ca="1">U93*V$675</f>
        <v>1792.0299797652406</v>
      </c>
      <c r="W93" s="2">
        <v>80000</v>
      </c>
      <c r="X93" s="21">
        <f ca="1">W93/W$645</f>
        <v>3.8702739138625256E-3</v>
      </c>
      <c r="Y93" s="22">
        <f ca="1">X93*Y$675</f>
        <v>1825.2869724341028</v>
      </c>
      <c r="Z93" s="2">
        <v>80000</v>
      </c>
      <c r="AA93" s="21">
        <f ca="1">Z93/Z$645</f>
        <v>3.8885514521567167E-3</v>
      </c>
      <c r="AB93" s="22">
        <f ca="1">AA93*AB$675</f>
        <v>1866.9172723442978</v>
      </c>
      <c r="AC93" s="2">
        <v>80000</v>
      </c>
      <c r="AD93" s="21">
        <f ca="1">AC93/AC$645</f>
        <v>3.3686555091761478E-3</v>
      </c>
      <c r="AE93" s="22">
        <f ca="1">AD93*AE$675</f>
        <v>1648.0410016818896</v>
      </c>
      <c r="AF93" s="2">
        <v>80000</v>
      </c>
      <c r="AG93" s="21">
        <f ca="1">AF93/AF$645</f>
        <v>3.667609787526734E-3</v>
      </c>
      <c r="AH93" s="22">
        <f ca="1">AG93*AH$675</f>
        <v>1826.5951797952425</v>
      </c>
      <c r="AI93" s="2">
        <v>80000</v>
      </c>
      <c r="AJ93" s="21">
        <f ca="1">AI93/AI$645</f>
        <v>3.137715225480522E-3</v>
      </c>
      <c r="AK93" s="22">
        <f ca="1">AJ93*AK$675</f>
        <v>1590.8179795689632</v>
      </c>
      <c r="AL93" s="2">
        <v>800000</v>
      </c>
    </row>
    <row r="94" spans="1:38" ht="12.75" x14ac:dyDescent="0.2">
      <c r="A94" s="8" t="s">
        <v>16</v>
      </c>
      <c r="B94" s="8" t="s">
        <v>17</v>
      </c>
      <c r="C94" s="8" t="s">
        <v>18</v>
      </c>
      <c r="D94" s="8" t="s">
        <v>52</v>
      </c>
      <c r="E94" s="8" t="s">
        <v>56</v>
      </c>
      <c r="F94" s="23" t="s">
        <v>37</v>
      </c>
      <c r="G94" s="8" t="s">
        <v>449</v>
      </c>
      <c r="H94" s="20">
        <v>376425.19686708413</v>
      </c>
      <c r="I94" s="21">
        <f>H94/H$649</f>
        <v>5.3128847490356351E-3</v>
      </c>
      <c r="J94" s="22">
        <f>I94*J$679</f>
        <v>255834.03295288069</v>
      </c>
      <c r="K94" s="2">
        <v>290170.76849465939</v>
      </c>
      <c r="L94" s="21">
        <f ca="1">K94/K$649</f>
        <v>3.4594619891370995E-3</v>
      </c>
      <c r="M94" s="22">
        <f ca="1">L94*M$679</f>
        <v>315960.81741979969</v>
      </c>
      <c r="N94" s="2">
        <v>200000</v>
      </c>
      <c r="O94" s="21">
        <f ca="1">N94/N$649</f>
        <v>2.2406718236941542E-3</v>
      </c>
      <c r="P94" s="22">
        <f ca="1">O94*P$679</f>
        <v>555030.09157785226</v>
      </c>
      <c r="Q94" s="2">
        <v>674360.5331114491</v>
      </c>
      <c r="R94" s="21">
        <f ca="1">Q94/Q$649</f>
        <v>8.5607988197462619E-3</v>
      </c>
      <c r="S94" s="22">
        <f ca="1">R94*S$679</f>
        <v>2169342.8834204678</v>
      </c>
      <c r="T94" s="2">
        <v>397601.49625727336</v>
      </c>
      <c r="U94" s="21">
        <f ca="1">T94/T$649</f>
        <v>5.1162196833051503E-3</v>
      </c>
      <c r="V94" s="22">
        <f ca="1">U94*V$679</f>
        <v>1323697.7680256397</v>
      </c>
      <c r="W94" s="2">
        <v>400613.75194236182</v>
      </c>
      <c r="X94" s="21">
        <f ca="1">W94/W$649</f>
        <v>4.5046067125962368E-3</v>
      </c>
      <c r="Y94" s="22">
        <f ca="1">X94*Y$679</f>
        <v>1188766.8991387526</v>
      </c>
      <c r="Z94" s="2">
        <v>403872.75303991575</v>
      </c>
      <c r="AA94" s="21">
        <f ca="1">Z94/Z$649</f>
        <v>4.1815472123129301E-3</v>
      </c>
      <c r="AB94" s="22">
        <f ca="1">AA94*AB$679</f>
        <v>1123374.6172663986</v>
      </c>
      <c r="AC94" s="2">
        <v>406077.85480875638</v>
      </c>
      <c r="AD94" s="21">
        <f ca="1">AC94/AC$649</f>
        <v>4.151281684229873E-3</v>
      </c>
      <c r="AE94" s="22">
        <f ca="1">AD94*AE$679</f>
        <v>1136433.4005815149</v>
      </c>
      <c r="AF94" s="2">
        <v>408448.87766590453</v>
      </c>
      <c r="AG94" s="21">
        <f ca="1">AF94/AF$649</f>
        <v>4.0295160885190657E-3</v>
      </c>
      <c r="AH94" s="22">
        <f ca="1">AG94*AH$679</f>
        <v>1122955.2716062341</v>
      </c>
      <c r="AI94" s="2">
        <v>2310960.4295077594</v>
      </c>
      <c r="AJ94" s="21">
        <f ca="1">AI94/AI$649</f>
        <v>1.2064249765391152E-2</v>
      </c>
      <c r="AK94" s="22">
        <f ca="1">AJ94*AK$679</f>
        <v>3422611.9465657878</v>
      </c>
      <c r="AL94" s="2">
        <v>5868531.6616951637</v>
      </c>
    </row>
    <row r="95" spans="1:38" ht="12.75" x14ac:dyDescent="0.2">
      <c r="A95" s="8" t="s">
        <v>16</v>
      </c>
      <c r="B95" s="8" t="s">
        <v>17</v>
      </c>
      <c r="C95" s="8" t="s">
        <v>18</v>
      </c>
      <c r="D95" s="8" t="s">
        <v>52</v>
      </c>
      <c r="E95" s="8" t="s">
        <v>56</v>
      </c>
      <c r="F95" s="8" t="s">
        <v>27</v>
      </c>
      <c r="G95" s="8" t="s">
        <v>450</v>
      </c>
      <c r="H95" s="20">
        <v>1060000</v>
      </c>
      <c r="I95" s="21">
        <f>H95/H$657</f>
        <v>2.0782991562570536E-2</v>
      </c>
      <c r="J95" s="22">
        <f>I95*J$687</f>
        <v>215581.57660170447</v>
      </c>
      <c r="K95" s="2">
        <v>1060000</v>
      </c>
      <c r="L95" s="21">
        <f ca="1">K95/K$657</f>
        <v>2.7138896689589024E-2</v>
      </c>
      <c r="M95" s="22">
        <f ca="1">L95*M$687</f>
        <v>426258.41066096781</v>
      </c>
      <c r="N95" s="2">
        <v>1060000</v>
      </c>
      <c r="O95" s="21">
        <f ca="1">N95/N$657</f>
        <v>1.9164932678610906E-2</v>
      </c>
      <c r="P95" s="22">
        <f ca="1">O95*P$687</f>
        <v>308841.34293079958</v>
      </c>
      <c r="Q95" s="2">
        <v>1060000</v>
      </c>
      <c r="R95" s="21">
        <f ca="1">Q95/Q$657</f>
        <v>1.9191904785070189E-2</v>
      </c>
      <c r="S95" s="22">
        <f ca="1">R95*S$687</f>
        <v>316389.34429297131</v>
      </c>
      <c r="T95" s="2">
        <v>1060000</v>
      </c>
      <c r="U95" s="21">
        <f ca="1">T95/T$657</f>
        <v>2.7400400172035804E-2</v>
      </c>
      <c r="V95" s="22">
        <f ca="1">U95*V$687</f>
        <v>461196.93850135722</v>
      </c>
      <c r="W95" s="2">
        <v>1060000</v>
      </c>
      <c r="X95" s="21">
        <f ca="1">W95/W$657</f>
        <v>2.705030573538373E-2</v>
      </c>
      <c r="Y95" s="22">
        <f ca="1">X95*Y$687</f>
        <v>464410.31777615298</v>
      </c>
      <c r="Z95" s="2">
        <v>1060000</v>
      </c>
      <c r="AA95" s="21">
        <f ca="1">Z95/Z$657</f>
        <v>2.1853524264921025E-2</v>
      </c>
      <c r="AB95" s="22">
        <f ca="1">AA95*AB$687</f>
        <v>381943.34247113473</v>
      </c>
      <c r="AC95" s="2">
        <v>1060000</v>
      </c>
      <c r="AD95" s="21">
        <f ca="1">AC95/AC$657</f>
        <v>1.9298293576609116E-2</v>
      </c>
      <c r="AE95" s="22">
        <f ca="1">AD95*AE$687</f>
        <v>343692.89383842191</v>
      </c>
      <c r="AF95" s="2">
        <v>1060000</v>
      </c>
      <c r="AG95" s="21">
        <f ca="1">AF95/AF$657</f>
        <v>2.1209546961466597E-2</v>
      </c>
      <c r="AH95" s="22">
        <f ca="1">AG95*AH$687</f>
        <v>384530.51890419115</v>
      </c>
      <c r="AI95" s="2">
        <v>1060000</v>
      </c>
      <c r="AJ95" s="21">
        <f ca="1">AI95/AI$657</f>
        <v>1.9101391643654247E-2</v>
      </c>
      <c r="AK95" s="22">
        <f ca="1">AJ95*AK$687</f>
        <v>352543.09186911711</v>
      </c>
      <c r="AL95" s="2">
        <v>10600000</v>
      </c>
    </row>
    <row r="96" spans="1:38" ht="12.75" x14ac:dyDescent="0.2">
      <c r="A96" s="8" t="s">
        <v>16</v>
      </c>
      <c r="B96" s="8" t="s">
        <v>17</v>
      </c>
      <c r="C96" s="8" t="s">
        <v>18</v>
      </c>
      <c r="D96" s="8" t="s">
        <v>52</v>
      </c>
      <c r="E96" s="8" t="s">
        <v>56</v>
      </c>
      <c r="F96" s="8" t="s">
        <v>28</v>
      </c>
      <c r="G96" s="8" t="s">
        <v>451</v>
      </c>
      <c r="H96" s="20">
        <v>0</v>
      </c>
      <c r="I96" s="21">
        <f>H96/H$669</f>
        <v>0</v>
      </c>
      <c r="J96" s="22">
        <f>I96*J$699</f>
        <v>0</v>
      </c>
      <c r="K96" s="2">
        <v>0</v>
      </c>
      <c r="L96" s="21">
        <f ca="1">K96/K$669</f>
        <v>0</v>
      </c>
      <c r="M96" s="22">
        <f ca="1">L96*M$699</f>
        <v>0</v>
      </c>
      <c r="N96" s="2">
        <v>216162.33498803218</v>
      </c>
      <c r="O96" s="21">
        <f ca="1">N96/N$669</f>
        <v>7.6641257672900396E-3</v>
      </c>
      <c r="P96" s="22">
        <f ca="1">O96*P$699</f>
        <v>37270.304851972549</v>
      </c>
      <c r="Q96" s="2">
        <v>0</v>
      </c>
      <c r="R96" s="21">
        <f ca="1">Q96/Q$669</f>
        <v>0</v>
      </c>
      <c r="S96" s="22">
        <f ca="1">R96*S$699</f>
        <v>0</v>
      </c>
      <c r="T96" s="2">
        <v>0</v>
      </c>
      <c r="U96" s="21">
        <f ca="1">T96/T$669</f>
        <v>0</v>
      </c>
      <c r="V96" s="22">
        <f ca="1">U96*V$699</f>
        <v>0</v>
      </c>
      <c r="W96" s="2">
        <v>0</v>
      </c>
      <c r="X96" s="21">
        <f ca="1">W96/W$669</f>
        <v>0</v>
      </c>
      <c r="Y96" s="22">
        <f ca="1">X96*Y$699</f>
        <v>0</v>
      </c>
      <c r="Z96" s="2">
        <v>0</v>
      </c>
      <c r="AA96" s="21">
        <f ca="1">Z96/Z$669</f>
        <v>0</v>
      </c>
      <c r="AB96" s="22">
        <f ca="1">AA96*AB$699</f>
        <v>0</v>
      </c>
      <c r="AC96" s="2">
        <v>0</v>
      </c>
      <c r="AD96" s="21">
        <f ca="1">AC96/AC$669</f>
        <v>0</v>
      </c>
      <c r="AE96" s="22">
        <f ca="1">AD96*AE$699</f>
        <v>0</v>
      </c>
      <c r="AF96" s="2">
        <v>0</v>
      </c>
      <c r="AG96" s="21">
        <f ca="1">AF96/AF$669</f>
        <v>0</v>
      </c>
      <c r="AH96" s="22">
        <f ca="1">AG96*AH$699</f>
        <v>0</v>
      </c>
      <c r="AI96" s="2">
        <v>0</v>
      </c>
      <c r="AJ96" s="21">
        <f ca="1">AI96/AI$669</f>
        <v>0</v>
      </c>
      <c r="AK96" s="22">
        <f ca="1">AJ96*AK$699</f>
        <v>0</v>
      </c>
      <c r="AL96" s="2">
        <v>216162.33498803218</v>
      </c>
    </row>
    <row r="97" spans="1:38" ht="12.75" x14ac:dyDescent="0.2">
      <c r="A97" s="8" t="s">
        <v>16</v>
      </c>
      <c r="B97" s="8" t="s">
        <v>17</v>
      </c>
      <c r="C97" s="8" t="s">
        <v>18</v>
      </c>
      <c r="D97" s="8" t="s">
        <v>52</v>
      </c>
      <c r="E97" s="8" t="s">
        <v>57</v>
      </c>
      <c r="F97" s="8" t="s">
        <v>21</v>
      </c>
      <c r="G97" s="8" t="s">
        <v>452</v>
      </c>
      <c r="H97" s="20">
        <v>80000</v>
      </c>
      <c r="I97" s="21">
        <f>H97/H$645</f>
        <v>5.2947973170546399E-3</v>
      </c>
      <c r="J97" s="22">
        <f>I97*J$675</f>
        <v>747.62538116811515</v>
      </c>
      <c r="K97" s="2">
        <v>80000</v>
      </c>
      <c r="L97" s="21">
        <f ca="1">K97/K$645</f>
        <v>5.2291222113429996E-3</v>
      </c>
      <c r="M97" s="22">
        <f ca="1">L97*M$675</f>
        <v>2256.1570693060507</v>
      </c>
      <c r="N97" s="2">
        <v>80000</v>
      </c>
      <c r="O97" s="21">
        <f ca="1">N97/N$645</f>
        <v>3.682509301779254E-3</v>
      </c>
      <c r="P97" s="22">
        <f ca="1">O97*P$675</f>
        <v>1630.1657053926647</v>
      </c>
      <c r="Q97" s="2">
        <v>80000</v>
      </c>
      <c r="R97" s="21">
        <f ca="1">Q97/Q$645</f>
        <v>3.1686666651385533E-3</v>
      </c>
      <c r="S97" s="22">
        <f ca="1">R97*S$675</f>
        <v>1434.960960074646</v>
      </c>
      <c r="T97" s="2">
        <v>80000</v>
      </c>
      <c r="U97" s="21">
        <f ca="1">T97/T$645</f>
        <v>3.8757521683199774E-3</v>
      </c>
      <c r="V97" s="22">
        <f ca="1">U97*V$675</f>
        <v>1792.0299797652406</v>
      </c>
      <c r="W97" s="2">
        <v>80000</v>
      </c>
      <c r="X97" s="21">
        <f ca="1">W97/W$645</f>
        <v>3.8702739138625256E-3</v>
      </c>
      <c r="Y97" s="22">
        <f ca="1">X97*Y$675</f>
        <v>1825.2869724341028</v>
      </c>
      <c r="Z97" s="2">
        <v>80000</v>
      </c>
      <c r="AA97" s="21">
        <f ca="1">Z97/Z$645</f>
        <v>3.8885514521567167E-3</v>
      </c>
      <c r="AB97" s="22">
        <f ca="1">AA97*AB$675</f>
        <v>1866.9172723442978</v>
      </c>
      <c r="AC97" s="2">
        <v>80000</v>
      </c>
      <c r="AD97" s="21">
        <f ca="1">AC97/AC$645</f>
        <v>3.3686555091761478E-3</v>
      </c>
      <c r="AE97" s="22">
        <f ca="1">AD97*AE$675</f>
        <v>1648.0410016818896</v>
      </c>
      <c r="AF97" s="2">
        <v>80000</v>
      </c>
      <c r="AG97" s="21">
        <f ca="1">AF97/AF$645</f>
        <v>3.667609787526734E-3</v>
      </c>
      <c r="AH97" s="22">
        <f ca="1">AG97*AH$675</f>
        <v>1826.5951797952425</v>
      </c>
      <c r="AI97" s="2">
        <v>80000</v>
      </c>
      <c r="AJ97" s="21">
        <f ca="1">AI97/AI$645</f>
        <v>3.137715225480522E-3</v>
      </c>
      <c r="AK97" s="22">
        <f ca="1">AJ97*AK$675</f>
        <v>1590.8179795689632</v>
      </c>
      <c r="AL97" s="2">
        <v>800000</v>
      </c>
    </row>
    <row r="98" spans="1:38" ht="12.75" x14ac:dyDescent="0.2">
      <c r="A98" s="8" t="s">
        <v>16</v>
      </c>
      <c r="B98" s="8" t="s">
        <v>17</v>
      </c>
      <c r="C98" s="8" t="s">
        <v>18</v>
      </c>
      <c r="D98" s="8" t="s">
        <v>52</v>
      </c>
      <c r="E98" s="8" t="s">
        <v>57</v>
      </c>
      <c r="F98" s="23" t="s">
        <v>37</v>
      </c>
      <c r="G98" s="8" t="s">
        <v>453</v>
      </c>
      <c r="H98" s="20">
        <v>727832.36894758965</v>
      </c>
      <c r="I98" s="21">
        <f>H98/H$649</f>
        <v>1.0272663798862344E-2</v>
      </c>
      <c r="J98" s="22">
        <f>I98*J$679</f>
        <v>494664.78814716445</v>
      </c>
      <c r="K98" s="2">
        <v>1094469.653502326</v>
      </c>
      <c r="L98" s="21">
        <f ca="1">K98/K$649</f>
        <v>1.3048441041107266E-2</v>
      </c>
      <c r="M98" s="22">
        <f ca="1">L98*M$679</f>
        <v>1191744.8754598605</v>
      </c>
      <c r="N98" s="2">
        <v>842036.32233609015</v>
      </c>
      <c r="O98" s="21">
        <f ca="1">N98/N$649</f>
        <v>9.4336353099276279E-3</v>
      </c>
      <c r="P98" s="22">
        <f ca="1">O98*P$679</f>
        <v>2336777.4854903901</v>
      </c>
      <c r="Q98" s="2">
        <v>853934.14987784403</v>
      </c>
      <c r="R98" s="21">
        <f ca="1">Q98/Q$649</f>
        <v>1.0840430457408038E-2</v>
      </c>
      <c r="S98" s="22">
        <f ca="1">R98*S$679</f>
        <v>2747011.2499022186</v>
      </c>
      <c r="T98" s="2">
        <v>593498.67029597308</v>
      </c>
      <c r="U98" s="21">
        <f ca="1">T98/T$649</f>
        <v>7.636967183390333E-3</v>
      </c>
      <c r="V98" s="22">
        <f ca="1">U98*V$679</f>
        <v>1975880.0522436243</v>
      </c>
      <c r="W98" s="2">
        <v>599496.7188669137</v>
      </c>
      <c r="X98" s="21">
        <f ca="1">W98/W$649</f>
        <v>6.7408992599331729E-3</v>
      </c>
      <c r="Y98" s="22">
        <f ca="1">X98*Y$679</f>
        <v>1778925.0920018633</v>
      </c>
      <c r="Z98" s="2">
        <v>1207109.366401325</v>
      </c>
      <c r="AA98" s="21">
        <f ca="1">Z98/Z$649</f>
        <v>1.2497958250561712E-2</v>
      </c>
      <c r="AB98" s="22">
        <f ca="1">AA98*AB$679</f>
        <v>3357582.3381820284</v>
      </c>
      <c r="AC98" s="2">
        <v>1094089.8072679138</v>
      </c>
      <c r="AD98" s="21">
        <f ca="1">AC98/AC$649</f>
        <v>1.1184739389329399E-2</v>
      </c>
      <c r="AE98" s="22">
        <f ca="1">AD98*AE$679</f>
        <v>3061876.4000332248</v>
      </c>
      <c r="AF98" s="2">
        <v>2741575.4192177784</v>
      </c>
      <c r="AG98" s="21">
        <f ca="1">AF98/AF$649</f>
        <v>2.7046768552177646E-2</v>
      </c>
      <c r="AH98" s="22">
        <f ca="1">AG98*AH$679</f>
        <v>7537458.7564295046</v>
      </c>
      <c r="AI98" s="2">
        <v>2754356.6541678039</v>
      </c>
      <c r="AJ98" s="21">
        <f ca="1">AI98/AI$649</f>
        <v>1.4378976894003071E-2</v>
      </c>
      <c r="AK98" s="22">
        <f ca="1">AJ98*AK$679</f>
        <v>4079297.0183681129</v>
      </c>
      <c r="AL98" s="2">
        <v>12508399.130881557</v>
      </c>
    </row>
    <row r="99" spans="1:38" ht="12.75" x14ac:dyDescent="0.2">
      <c r="A99" s="8" t="s">
        <v>16</v>
      </c>
      <c r="B99" s="8" t="s">
        <v>17</v>
      </c>
      <c r="C99" s="8" t="s">
        <v>18</v>
      </c>
      <c r="D99" s="8" t="s">
        <v>52</v>
      </c>
      <c r="E99" s="8" t="s">
        <v>57</v>
      </c>
      <c r="F99" s="8" t="s">
        <v>26</v>
      </c>
      <c r="G99" s="8" t="s">
        <v>454</v>
      </c>
      <c r="H99" s="20">
        <v>145000</v>
      </c>
      <c r="I99" s="21">
        <f>H99/H$655</f>
        <v>3.655876358059953E-3</v>
      </c>
      <c r="J99" s="22">
        <f>I99*J$685</f>
        <v>8823.3771608978186</v>
      </c>
      <c r="K99" s="2">
        <v>145000</v>
      </c>
      <c r="L99" s="21">
        <f ca="1">K99/K$655</f>
        <v>3.652293987791249E-3</v>
      </c>
      <c r="M99" s="22">
        <f ca="1">L99*M$685</f>
        <v>10105.933987158263</v>
      </c>
      <c r="N99" s="2">
        <v>145000</v>
      </c>
      <c r="O99" s="21">
        <f ca="1">N99/N$655</f>
        <v>1.2535509437394564E-3</v>
      </c>
      <c r="P99" s="22">
        <f ca="1">O99*P$685</f>
        <v>3558.7712847542621</v>
      </c>
      <c r="Q99" s="2">
        <v>145000</v>
      </c>
      <c r="R99" s="21">
        <f ca="1">Q99/Q$655</f>
        <v>1.0415362747027508E-3</v>
      </c>
      <c r="S99" s="22">
        <f ca="1">R99*S$685</f>
        <v>3024.8798093787186</v>
      </c>
      <c r="T99" s="2">
        <v>145000</v>
      </c>
      <c r="U99" s="21">
        <f ca="1">T99/T$655</f>
        <v>1.459633581017597E-3</v>
      </c>
      <c r="V99" s="22">
        <f ca="1">U99*V$685</f>
        <v>4328.1600409403018</v>
      </c>
      <c r="W99" s="2">
        <v>145000</v>
      </c>
      <c r="X99" s="21">
        <f ca="1">W99/W$655</f>
        <v>1.3525522982076506E-3</v>
      </c>
      <c r="Y99" s="22">
        <f ca="1">X99*Y$685</f>
        <v>4090.8513954318396</v>
      </c>
      <c r="Z99" s="2">
        <v>145000</v>
      </c>
      <c r="AA99" s="21">
        <f ca="1">Z99/Z$655</f>
        <v>1.2570373744630976E-3</v>
      </c>
      <c r="AB99" s="22">
        <f ca="1">AA99*AB$685</f>
        <v>3870.3978125294011</v>
      </c>
      <c r="AC99" s="2">
        <v>250615.7740649441</v>
      </c>
      <c r="AD99" s="21">
        <f ca="1">AC99/AC$655</f>
        <v>2.224530290630437E-3</v>
      </c>
      <c r="AE99" s="22">
        <f ca="1">AD99*AE$685</f>
        <v>6979.4294623506112</v>
      </c>
      <c r="AF99" s="2">
        <v>145000</v>
      </c>
      <c r="AG99" s="21">
        <f ca="1">AF99/AF$655</f>
        <v>1.2038139904483318E-3</v>
      </c>
      <c r="AH99" s="22">
        <f ca="1">AG99*AH$685</f>
        <v>3844.9328902625602</v>
      </c>
      <c r="AI99" s="2">
        <v>196642.65571299352</v>
      </c>
      <c r="AJ99" s="21">
        <f ca="1">AI99/AI$655</f>
        <v>1.0620021344438819E-3</v>
      </c>
      <c r="AK99" s="22">
        <f ca="1">AJ99*AK$685</f>
        <v>3453.0474347587551</v>
      </c>
      <c r="AL99" s="2">
        <v>1607258.4297779377</v>
      </c>
    </row>
    <row r="100" spans="1:38" ht="12.75" x14ac:dyDescent="0.2">
      <c r="A100" s="8" t="s">
        <v>16</v>
      </c>
      <c r="B100" s="8" t="s">
        <v>17</v>
      </c>
      <c r="C100" s="8" t="s">
        <v>18</v>
      </c>
      <c r="D100" s="8" t="s">
        <v>52</v>
      </c>
      <c r="E100" s="8" t="s">
        <v>57</v>
      </c>
      <c r="F100" s="8" t="s">
        <v>27</v>
      </c>
      <c r="G100" s="8" t="s">
        <v>455</v>
      </c>
      <c r="H100" s="20">
        <v>1150000</v>
      </c>
      <c r="I100" s="21">
        <f>H100/H$657</f>
        <v>2.2547585185807656E-2</v>
      </c>
      <c r="J100" s="22">
        <f>I100*J$687</f>
        <v>233885.6727282643</v>
      </c>
      <c r="K100" s="2">
        <v>1150000</v>
      </c>
      <c r="L100" s="21">
        <f ca="1">K100/K$657</f>
        <v>2.9443142634931488E-2</v>
      </c>
      <c r="M100" s="22">
        <f ca="1">L100*M$687</f>
        <v>462450.1625095405</v>
      </c>
      <c r="N100" s="2">
        <v>1150000</v>
      </c>
      <c r="O100" s="21">
        <f ca="1">N100/N$657</f>
        <v>2.0792143943775983E-2</v>
      </c>
      <c r="P100" s="22">
        <f ca="1">O100*P$687</f>
        <v>335063.72110416938</v>
      </c>
      <c r="Q100" s="2">
        <v>1150000</v>
      </c>
      <c r="R100" s="21">
        <f ca="1">Q100/Q$657</f>
        <v>2.0821406134745958E-2</v>
      </c>
      <c r="S100" s="22">
        <f ca="1">R100*S$687</f>
        <v>343252.59050652542</v>
      </c>
      <c r="T100" s="2">
        <v>1150000</v>
      </c>
      <c r="U100" s="21">
        <f ca="1">T100/T$657</f>
        <v>2.9726849243246391E-2</v>
      </c>
      <c r="V100" s="22">
        <f ca="1">U100*V$687</f>
        <v>500355.16912883095</v>
      </c>
      <c r="W100" s="2">
        <v>1150000</v>
      </c>
      <c r="X100" s="21">
        <f ca="1">W100/W$657</f>
        <v>2.9347029807255932E-2</v>
      </c>
      <c r="Y100" s="22">
        <f ca="1">X100*Y$687</f>
        <v>503841.38249299611</v>
      </c>
      <c r="Z100" s="2">
        <v>1150000</v>
      </c>
      <c r="AA100" s="21">
        <f ca="1">Z100/Z$657</f>
        <v>2.3709012174206772E-2</v>
      </c>
      <c r="AB100" s="22">
        <f ca="1">AA100*AB$687</f>
        <v>414372.49419038201</v>
      </c>
      <c r="AC100" s="2">
        <v>1150000</v>
      </c>
      <c r="AD100" s="21">
        <f ca="1">AC100/AC$657</f>
        <v>2.093682793688725E-2</v>
      </c>
      <c r="AE100" s="22">
        <f ca="1">AD100*AE$687</f>
        <v>372874.36595677852</v>
      </c>
      <c r="AF100" s="2">
        <v>1150000</v>
      </c>
      <c r="AG100" s="21">
        <f ca="1">AF100/AF$657</f>
        <v>2.3010357552534513E-2</v>
      </c>
      <c r="AH100" s="22">
        <f ca="1">AG100*AH$687</f>
        <v>417179.33654699981</v>
      </c>
      <c r="AI100" s="2">
        <v>1150000</v>
      </c>
      <c r="AJ100" s="21">
        <f ca="1">AI100/AI$657</f>
        <v>2.0723207915285268E-2</v>
      </c>
      <c r="AK100" s="22">
        <f ca="1">AJ100*AK$687</f>
        <v>382475.99589574029</v>
      </c>
      <c r="AL100" s="2">
        <v>11500000</v>
      </c>
    </row>
    <row r="101" spans="1:38" ht="12.75" x14ac:dyDescent="0.2">
      <c r="A101" s="8" t="s">
        <v>16</v>
      </c>
      <c r="B101" s="8" t="s">
        <v>17</v>
      </c>
      <c r="C101" s="8" t="s">
        <v>18</v>
      </c>
      <c r="D101" s="8" t="s">
        <v>52</v>
      </c>
      <c r="E101" s="8" t="s">
        <v>57</v>
      </c>
      <c r="F101" s="8" t="s">
        <v>28</v>
      </c>
      <c r="G101" s="8" t="s">
        <v>456</v>
      </c>
      <c r="H101" s="20">
        <v>0</v>
      </c>
      <c r="I101" s="21">
        <f>H101/H$669</f>
        <v>0</v>
      </c>
      <c r="J101" s="22">
        <f>I101*J$699</f>
        <v>0</v>
      </c>
      <c r="K101" s="2">
        <v>0</v>
      </c>
      <c r="L101" s="21">
        <f ca="1">K101/K$669</f>
        <v>0</v>
      </c>
      <c r="M101" s="22">
        <f ca="1">L101*M$699</f>
        <v>0</v>
      </c>
      <c r="N101" s="2">
        <v>0</v>
      </c>
      <c r="O101" s="21">
        <f ca="1">N101/N$669</f>
        <v>0</v>
      </c>
      <c r="P101" s="22">
        <f ca="1">O101*P$699</f>
        <v>0</v>
      </c>
      <c r="Q101" s="2">
        <v>0</v>
      </c>
      <c r="R101" s="21">
        <f ca="1">Q101/Q$669</f>
        <v>0</v>
      </c>
      <c r="S101" s="22">
        <f ca="1">R101*S$699</f>
        <v>0</v>
      </c>
      <c r="T101" s="2">
        <v>0</v>
      </c>
      <c r="U101" s="21">
        <f ca="1">T101/T$669</f>
        <v>0</v>
      </c>
      <c r="V101" s="22">
        <f ca="1">U101*V$699</f>
        <v>0</v>
      </c>
      <c r="W101" s="2">
        <v>0</v>
      </c>
      <c r="X101" s="21">
        <f ca="1">W101/W$669</f>
        <v>0</v>
      </c>
      <c r="Y101" s="22">
        <f ca="1">X101*Y$699</f>
        <v>0</v>
      </c>
      <c r="Z101" s="2">
        <v>0</v>
      </c>
      <c r="AA101" s="21">
        <f ca="1">Z101/Z$669</f>
        <v>0</v>
      </c>
      <c r="AB101" s="22">
        <f ca="1">AA101*AB$699</f>
        <v>0</v>
      </c>
      <c r="AC101" s="2">
        <v>0</v>
      </c>
      <c r="AD101" s="21">
        <f ca="1">AC101/AC$669</f>
        <v>0</v>
      </c>
      <c r="AE101" s="22">
        <f ca="1">AD101*AE$699</f>
        <v>0</v>
      </c>
      <c r="AF101" s="2">
        <v>0</v>
      </c>
      <c r="AG101" s="21">
        <f ca="1">AF101/AF$669</f>
        <v>0</v>
      </c>
      <c r="AH101" s="22">
        <f ca="1">AG101*AH$699</f>
        <v>0</v>
      </c>
      <c r="AI101" s="2">
        <v>0</v>
      </c>
      <c r="AJ101" s="21">
        <f ca="1">AI101/AI$669</f>
        <v>0</v>
      </c>
      <c r="AK101" s="22">
        <f ca="1">AJ101*AK$699</f>
        <v>0</v>
      </c>
      <c r="AL101" s="2">
        <v>0</v>
      </c>
    </row>
    <row r="102" spans="1:38" ht="12.75" x14ac:dyDescent="0.2">
      <c r="A102" s="8" t="s">
        <v>16</v>
      </c>
      <c r="B102" s="8" t="s">
        <v>17</v>
      </c>
      <c r="C102" s="8" t="s">
        <v>18</v>
      </c>
      <c r="D102" s="8" t="s">
        <v>52</v>
      </c>
      <c r="E102" s="8" t="s">
        <v>58</v>
      </c>
      <c r="F102" s="23" t="s">
        <v>37</v>
      </c>
      <c r="G102" s="8" t="s">
        <v>457</v>
      </c>
      <c r="H102" s="20">
        <v>1181168.2779543723</v>
      </c>
      <c r="I102" s="21">
        <f>H102/H$649</f>
        <v>1.6671070327431661E-2</v>
      </c>
      <c r="J102" s="22">
        <f>I102*J$679</f>
        <v>802770.50170947274</v>
      </c>
      <c r="K102" s="2">
        <v>849609.49993355258</v>
      </c>
      <c r="L102" s="21">
        <f ca="1">K102/K$649</f>
        <v>1.0129179399695459E-2</v>
      </c>
      <c r="M102" s="22">
        <f ca="1">L102*M$679</f>
        <v>925121.82905003137</v>
      </c>
      <c r="N102" s="2">
        <v>986421.77228149411</v>
      </c>
      <c r="O102" s="21">
        <f ca="1">N102/N$649</f>
        <v>1.1051237357147975E-2</v>
      </c>
      <c r="P102" s="22">
        <f ca="1">O102*P$679</f>
        <v>2737468.833018925</v>
      </c>
      <c r="Q102" s="2">
        <v>708766.83761267818</v>
      </c>
      <c r="R102" s="21">
        <f ca="1">Q102/Q$649</f>
        <v>8.9975762355403652E-3</v>
      </c>
      <c r="S102" s="22">
        <f ca="1">R102*S$679</f>
        <v>2280024.1409225343</v>
      </c>
      <c r="T102" s="2">
        <v>606306.66630668682</v>
      </c>
      <c r="U102" s="21">
        <f ca="1">T102/T$649</f>
        <v>7.8017767273949315E-3</v>
      </c>
      <c r="V102" s="22">
        <f ca="1">U102*V$679</f>
        <v>2018520.5249074716</v>
      </c>
      <c r="W102" s="2">
        <v>1928084.4077226126</v>
      </c>
      <c r="X102" s="21">
        <f ca="1">W102/W$649</f>
        <v>2.1679889727622255E-2</v>
      </c>
      <c r="Y102" s="22">
        <f ca="1">X102*Y$679</f>
        <v>5721328.6152392384</v>
      </c>
      <c r="Z102" s="2">
        <v>625549.13505498401</v>
      </c>
      <c r="AA102" s="21">
        <f ca="1">Z102/Z$649</f>
        <v>6.4767014416429588E-3</v>
      </c>
      <c r="AB102" s="22">
        <f ca="1">AA102*AB$679</f>
        <v>1739968.8760491034</v>
      </c>
      <c r="AC102" s="2">
        <v>725717.61552456324</v>
      </c>
      <c r="AD102" s="21">
        <f ca="1">AC102/AC$649</f>
        <v>7.4189178493097507E-3</v>
      </c>
      <c r="AE102" s="22">
        <f ca="1">AD102*AE$679</f>
        <v>2030964.5746648675</v>
      </c>
      <c r="AF102" s="2">
        <v>732124.12582048727</v>
      </c>
      <c r="AG102" s="21">
        <f ca="1">AF102/AF$649</f>
        <v>7.2227054720901537E-3</v>
      </c>
      <c r="AH102" s="22">
        <f ca="1">AG102*AH$679</f>
        <v>2012840.9980176347</v>
      </c>
      <c r="AI102" s="2">
        <v>1989087.1704403714</v>
      </c>
      <c r="AJ102" s="21">
        <f ca="1">AI102/AI$649</f>
        <v>1.0383927012735217E-2</v>
      </c>
      <c r="AK102" s="22">
        <f ca="1">AJ102*AK$679</f>
        <v>2945906.5700056357</v>
      </c>
      <c r="AL102" s="2">
        <v>10332835.508651804</v>
      </c>
    </row>
    <row r="103" spans="1:38" ht="12.75" x14ac:dyDescent="0.2">
      <c r="A103" s="8" t="s">
        <v>16</v>
      </c>
      <c r="B103" s="8" t="s">
        <v>17</v>
      </c>
      <c r="C103" s="8" t="s">
        <v>18</v>
      </c>
      <c r="D103" s="8" t="s">
        <v>52</v>
      </c>
      <c r="E103" s="8" t="s">
        <v>58</v>
      </c>
      <c r="F103" s="8" t="s">
        <v>27</v>
      </c>
      <c r="G103" s="8" t="s">
        <v>458</v>
      </c>
      <c r="H103" s="20">
        <v>0</v>
      </c>
      <c r="I103" s="21">
        <f>H103/H$657</f>
        <v>0</v>
      </c>
      <c r="J103" s="22">
        <f>I103*J$687</f>
        <v>0</v>
      </c>
      <c r="K103" s="2">
        <v>0</v>
      </c>
      <c r="L103" s="21">
        <f ca="1">K103/K$657</f>
        <v>0</v>
      </c>
      <c r="M103" s="22">
        <f ca="1">L103*M$687</f>
        <v>0</v>
      </c>
      <c r="N103" s="2">
        <v>0</v>
      </c>
      <c r="O103" s="21">
        <f ca="1">N103/N$657</f>
        <v>0</v>
      </c>
      <c r="P103" s="22">
        <f ca="1">O103*P$687</f>
        <v>0</v>
      </c>
      <c r="Q103" s="2">
        <v>0</v>
      </c>
      <c r="R103" s="21">
        <f ca="1">Q103/Q$657</f>
        <v>0</v>
      </c>
      <c r="S103" s="22">
        <f ca="1">R103*S$687</f>
        <v>0</v>
      </c>
      <c r="T103" s="2">
        <v>0</v>
      </c>
      <c r="U103" s="21">
        <f ca="1">T103/T$657</f>
        <v>0</v>
      </c>
      <c r="V103" s="22">
        <f ca="1">U103*V$687</f>
        <v>0</v>
      </c>
      <c r="W103" s="2">
        <v>0</v>
      </c>
      <c r="X103" s="21">
        <f ca="1">W103/W$657</f>
        <v>0</v>
      </c>
      <c r="Y103" s="22">
        <f ca="1">X103*Y$687</f>
        <v>0</v>
      </c>
      <c r="Z103" s="2">
        <v>0</v>
      </c>
      <c r="AA103" s="21">
        <f ca="1">Z103/Z$657</f>
        <v>0</v>
      </c>
      <c r="AB103" s="22">
        <f ca="1">AA103*AB$687</f>
        <v>0</v>
      </c>
      <c r="AC103" s="2">
        <v>0</v>
      </c>
      <c r="AD103" s="21">
        <f ca="1">AC103/AC$657</f>
        <v>0</v>
      </c>
      <c r="AE103" s="22">
        <f ca="1">AD103*AE$687</f>
        <v>0</v>
      </c>
      <c r="AF103" s="2">
        <v>0</v>
      </c>
      <c r="AG103" s="21">
        <f ca="1">AF103/AF$657</f>
        <v>0</v>
      </c>
      <c r="AH103" s="22">
        <f ca="1">AG103*AH$687</f>
        <v>0</v>
      </c>
      <c r="AI103" s="2">
        <v>0</v>
      </c>
      <c r="AJ103" s="21">
        <f ca="1">AI103/AI$657</f>
        <v>0</v>
      </c>
      <c r="AK103" s="22">
        <f ca="1">AJ103*AK$687</f>
        <v>0</v>
      </c>
      <c r="AL103" s="2">
        <v>0</v>
      </c>
    </row>
    <row r="104" spans="1:38" ht="12.75" x14ac:dyDescent="0.2">
      <c r="A104" s="8" t="s">
        <v>16</v>
      </c>
      <c r="B104" s="8" t="s">
        <v>17</v>
      </c>
      <c r="C104" s="8" t="s">
        <v>18</v>
      </c>
      <c r="D104" s="8" t="s">
        <v>52</v>
      </c>
      <c r="E104" s="8" t="s">
        <v>58</v>
      </c>
      <c r="F104" s="8" t="s">
        <v>28</v>
      </c>
      <c r="G104" s="8" t="s">
        <v>459</v>
      </c>
      <c r="H104" s="20">
        <v>0</v>
      </c>
      <c r="I104" s="21">
        <f t="shared" ref="I104:I105" si="160">H104/H$669</f>
        <v>0</v>
      </c>
      <c r="J104" s="22">
        <f t="shared" ref="J104:J105" si="161">I104*J$699</f>
        <v>0</v>
      </c>
      <c r="K104" s="2">
        <v>0</v>
      </c>
      <c r="L104" s="21">
        <f t="shared" ref="L104:L105" ca="1" si="162">K104/K$669</f>
        <v>0</v>
      </c>
      <c r="M104" s="22">
        <f t="shared" ref="M104:M105" ca="1" si="163">L104*M$699</f>
        <v>0</v>
      </c>
      <c r="N104" s="2">
        <v>108081.16749401609</v>
      </c>
      <c r="O104" s="21">
        <f t="shared" ref="O104:O105" ca="1" si="164">N104/N$669</f>
        <v>3.8320628836450198E-3</v>
      </c>
      <c r="P104" s="22">
        <f t="shared" ref="P104:P105" ca="1" si="165">O104*P$699</f>
        <v>18635.152425986274</v>
      </c>
      <c r="Q104" s="2">
        <v>0</v>
      </c>
      <c r="R104" s="21">
        <f t="shared" ref="R104:R105" ca="1" si="166">Q104/Q$669</f>
        <v>0</v>
      </c>
      <c r="S104" s="22">
        <f t="shared" ref="S104:S105" ca="1" si="167">R104*S$699</f>
        <v>0</v>
      </c>
      <c r="T104" s="2">
        <v>0</v>
      </c>
      <c r="U104" s="21">
        <f t="shared" ref="U104:U105" ca="1" si="168">T104/T$669</f>
        <v>0</v>
      </c>
      <c r="V104" s="22">
        <f t="shared" ref="V104:V105" ca="1" si="169">U104*V$699</f>
        <v>0</v>
      </c>
      <c r="W104" s="2">
        <v>0</v>
      </c>
      <c r="X104" s="21">
        <f t="shared" ref="X104:X105" ca="1" si="170">W104/W$669</f>
        <v>0</v>
      </c>
      <c r="Y104" s="22">
        <f t="shared" ref="Y104:Y105" ca="1" si="171">X104*Y$699</f>
        <v>0</v>
      </c>
      <c r="Z104" s="2">
        <v>0</v>
      </c>
      <c r="AA104" s="21">
        <f t="shared" ref="AA104:AA105" ca="1" si="172">Z104/Z$669</f>
        <v>0</v>
      </c>
      <c r="AB104" s="22">
        <f t="shared" ref="AB104:AB105" ca="1" si="173">AA104*AB$699</f>
        <v>0</v>
      </c>
      <c r="AC104" s="2">
        <v>0</v>
      </c>
      <c r="AD104" s="21">
        <f t="shared" ref="AD104:AD105" ca="1" si="174">AC104/AC$669</f>
        <v>0</v>
      </c>
      <c r="AE104" s="22">
        <f t="shared" ref="AE104:AE105" ca="1" si="175">AD104*AE$699</f>
        <v>0</v>
      </c>
      <c r="AF104" s="2">
        <v>0</v>
      </c>
      <c r="AG104" s="21">
        <f t="shared" ref="AG104:AG105" ca="1" si="176">AF104/AF$669</f>
        <v>0</v>
      </c>
      <c r="AH104" s="22">
        <f t="shared" ref="AH104:AH105" ca="1" si="177">AG104*AH$699</f>
        <v>0</v>
      </c>
      <c r="AI104" s="2">
        <v>0</v>
      </c>
      <c r="AJ104" s="21">
        <f t="shared" ref="AJ104:AJ105" ca="1" si="178">AI104/AI$669</f>
        <v>0</v>
      </c>
      <c r="AK104" s="22">
        <f t="shared" ref="AK104:AK105" ca="1" si="179">AJ104*AK$699</f>
        <v>0</v>
      </c>
      <c r="AL104" s="2">
        <v>108081.16749401609</v>
      </c>
    </row>
    <row r="105" spans="1:38" ht="12.75" x14ac:dyDescent="0.2">
      <c r="A105" s="8" t="s">
        <v>16</v>
      </c>
      <c r="B105" s="8" t="s">
        <v>17</v>
      </c>
      <c r="C105" s="8" t="s">
        <v>18</v>
      </c>
      <c r="D105" s="8" t="s">
        <v>52</v>
      </c>
      <c r="E105" s="8" t="s">
        <v>59</v>
      </c>
      <c r="F105" s="8" t="s">
        <v>28</v>
      </c>
      <c r="G105" s="8" t="s">
        <v>460</v>
      </c>
      <c r="H105" s="20">
        <v>0</v>
      </c>
      <c r="I105" s="21">
        <f t="shared" si="160"/>
        <v>0</v>
      </c>
      <c r="J105" s="22">
        <f t="shared" si="161"/>
        <v>0</v>
      </c>
      <c r="K105" s="2">
        <v>0</v>
      </c>
      <c r="L105" s="21">
        <f t="shared" ca="1" si="162"/>
        <v>0</v>
      </c>
      <c r="M105" s="22">
        <f t="shared" ca="1" si="163"/>
        <v>0</v>
      </c>
      <c r="N105" s="2">
        <v>108081.16749401609</v>
      </c>
      <c r="O105" s="21">
        <f t="shared" ca="1" si="164"/>
        <v>3.8320628836450198E-3</v>
      </c>
      <c r="P105" s="22">
        <f t="shared" ca="1" si="165"/>
        <v>18635.152425986274</v>
      </c>
      <c r="Q105" s="2">
        <v>0</v>
      </c>
      <c r="R105" s="21">
        <f t="shared" ca="1" si="166"/>
        <v>0</v>
      </c>
      <c r="S105" s="22">
        <f t="shared" ca="1" si="167"/>
        <v>0</v>
      </c>
      <c r="T105" s="2">
        <v>0</v>
      </c>
      <c r="U105" s="21">
        <f t="shared" ca="1" si="168"/>
        <v>0</v>
      </c>
      <c r="V105" s="22">
        <f t="shared" ca="1" si="169"/>
        <v>0</v>
      </c>
      <c r="W105" s="2">
        <v>0</v>
      </c>
      <c r="X105" s="21">
        <f t="shared" ca="1" si="170"/>
        <v>0</v>
      </c>
      <c r="Y105" s="22">
        <f t="shared" ca="1" si="171"/>
        <v>0</v>
      </c>
      <c r="Z105" s="2">
        <v>0</v>
      </c>
      <c r="AA105" s="21">
        <f t="shared" ca="1" si="172"/>
        <v>0</v>
      </c>
      <c r="AB105" s="22">
        <f t="shared" ca="1" si="173"/>
        <v>0</v>
      </c>
      <c r="AC105" s="2">
        <v>0</v>
      </c>
      <c r="AD105" s="21">
        <f t="shared" ca="1" si="174"/>
        <v>0</v>
      </c>
      <c r="AE105" s="22">
        <f t="shared" ca="1" si="175"/>
        <v>0</v>
      </c>
      <c r="AF105" s="2">
        <v>0</v>
      </c>
      <c r="AG105" s="21">
        <f t="shared" ca="1" si="176"/>
        <v>0</v>
      </c>
      <c r="AH105" s="22">
        <f t="shared" ca="1" si="177"/>
        <v>0</v>
      </c>
      <c r="AI105" s="2">
        <v>0</v>
      </c>
      <c r="AJ105" s="21">
        <f t="shared" ca="1" si="178"/>
        <v>0</v>
      </c>
      <c r="AK105" s="22">
        <f t="shared" ca="1" si="179"/>
        <v>0</v>
      </c>
      <c r="AL105" s="2">
        <v>108081.16749401609</v>
      </c>
    </row>
    <row r="106" spans="1:38" ht="12.75" x14ac:dyDescent="0.2">
      <c r="A106" s="8" t="s">
        <v>16</v>
      </c>
      <c r="B106" s="8" t="s">
        <v>17</v>
      </c>
      <c r="C106" s="8" t="s">
        <v>18</v>
      </c>
      <c r="D106" s="8" t="s">
        <v>52</v>
      </c>
      <c r="E106" s="8" t="s">
        <v>60</v>
      </c>
      <c r="F106" s="23" t="s">
        <v>37</v>
      </c>
      <c r="G106" s="8" t="s">
        <v>461</v>
      </c>
      <c r="H106" s="20">
        <v>1646016.5167629621</v>
      </c>
      <c r="I106" s="21">
        <f>H106/H$649</f>
        <v>2.3231962475823837E-2</v>
      </c>
      <c r="J106" s="22">
        <f>I106*J$679</f>
        <v>1118700.4677033206</v>
      </c>
      <c r="K106" s="2">
        <v>1683181.5496538749</v>
      </c>
      <c r="L106" s="21">
        <f ca="1">K106/K$649</f>
        <v>2.0067157770758123E-2</v>
      </c>
      <c r="M106" s="22">
        <f ca="1">L106*M$679</f>
        <v>1832780.817494205</v>
      </c>
      <c r="N106" s="2">
        <v>2034897.9708824283</v>
      </c>
      <c r="O106" s="21">
        <f ca="1">N106/N$649</f>
        <v>2.2797692737243323E-2</v>
      </c>
      <c r="P106" s="22">
        <f ca="1">O106*P$679</f>
        <v>5647148.0356523003</v>
      </c>
      <c r="Q106" s="2">
        <v>2019635.9086332272</v>
      </c>
      <c r="R106" s="21">
        <f ca="1">Q106/Q$649</f>
        <v>2.5638654479334864E-2</v>
      </c>
      <c r="S106" s="22">
        <f ca="1">R106*S$679</f>
        <v>6496944.2462461591</v>
      </c>
      <c r="T106" s="2">
        <v>1829917.5231371883</v>
      </c>
      <c r="U106" s="21">
        <f ca="1">T106/T$649</f>
        <v>2.3546843105040818E-2</v>
      </c>
      <c r="V106" s="22">
        <f ca="1">U106*V$679</f>
        <v>6092174.6116376501</v>
      </c>
      <c r="W106" s="2">
        <v>2176203.2343915394</v>
      </c>
      <c r="X106" s="21">
        <f ca="1">W106/W$649</f>
        <v>2.4469803270817735E-2</v>
      </c>
      <c r="Y106" s="22">
        <f ca="1">X106*Y$679</f>
        <v>6457587.5348771308</v>
      </c>
      <c r="Z106" s="2">
        <v>1101196.1847911244</v>
      </c>
      <c r="AA106" s="21">
        <f ca="1">Z106/Z$649</f>
        <v>1.1401372838508535E-2</v>
      </c>
      <c r="AB106" s="22">
        <f ca="1">AA106*AB$679</f>
        <v>3062984.1535823694</v>
      </c>
      <c r="AC106" s="2">
        <v>289940.90063605097</v>
      </c>
      <c r="AD106" s="21">
        <f ca="1">AC106/AC$649</f>
        <v>2.9640285380408233E-3</v>
      </c>
      <c r="AE106" s="22">
        <f ca="1">AD106*AE$679</f>
        <v>811417.12057327735</v>
      </c>
      <c r="AF106" s="2">
        <v>538887.88237448083</v>
      </c>
      <c r="AG106" s="21">
        <f ca="1">AF106/AF$649</f>
        <v>5.3163504924895622E-3</v>
      </c>
      <c r="AH106" s="22">
        <f ca="1">AG106*AH$679</f>
        <v>1481573.3899803502</v>
      </c>
      <c r="AI106" s="2">
        <v>1093907.5481523499</v>
      </c>
      <c r="AJ106" s="21">
        <f ca="1">AI106/AI$649</f>
        <v>5.7106879514884773E-3</v>
      </c>
      <c r="AK106" s="22">
        <f ca="1">AJ106*AK$679</f>
        <v>1620114.7345228272</v>
      </c>
      <c r="AL106" s="2">
        <v>14413785.219415227</v>
      </c>
    </row>
    <row r="107" spans="1:38" ht="12.75" x14ac:dyDescent="0.2">
      <c r="A107" s="8" t="s">
        <v>16</v>
      </c>
      <c r="B107" s="8" t="s">
        <v>17</v>
      </c>
      <c r="C107" s="8" t="s">
        <v>18</v>
      </c>
      <c r="D107" s="8" t="s">
        <v>52</v>
      </c>
      <c r="E107" s="8" t="s">
        <v>60</v>
      </c>
      <c r="F107" s="8" t="s">
        <v>26</v>
      </c>
      <c r="G107" s="8" t="s">
        <v>462</v>
      </c>
      <c r="H107" s="20">
        <v>50204.068912371302</v>
      </c>
      <c r="I107" s="21">
        <f>H107/H$655</f>
        <v>1.2657921973458683E-3</v>
      </c>
      <c r="J107" s="22">
        <f>I107*J$685</f>
        <v>3054.9616208659118</v>
      </c>
      <c r="K107" s="2">
        <v>0</v>
      </c>
      <c r="L107" s="21">
        <f ca="1">K107/K$655</f>
        <v>0</v>
      </c>
      <c r="M107" s="22">
        <f ca="1">L107*M$685</f>
        <v>0</v>
      </c>
      <c r="N107" s="2">
        <v>578474.56824817741</v>
      </c>
      <c r="O107" s="21">
        <f ca="1">N107/N$655</f>
        <v>5.0010161445294991E-3</v>
      </c>
      <c r="P107" s="22">
        <f ca="1">O107*P$685</f>
        <v>14197.646085808507</v>
      </c>
      <c r="Q107" s="2">
        <v>0</v>
      </c>
      <c r="R107" s="21">
        <f ca="1">Q107/Q$655</f>
        <v>0</v>
      </c>
      <c r="S107" s="22">
        <f ca="1">R107*S$685</f>
        <v>0</v>
      </c>
      <c r="T107" s="2">
        <v>0</v>
      </c>
      <c r="U107" s="21">
        <f ca="1">T107/T$655</f>
        <v>0</v>
      </c>
      <c r="V107" s="22">
        <f ca="1">U107*V$685</f>
        <v>0</v>
      </c>
      <c r="W107" s="2">
        <v>106759.50023501011</v>
      </c>
      <c r="X107" s="21">
        <f ca="1">W107/W$655</f>
        <v>9.9584694757491815E-4</v>
      </c>
      <c r="Y107" s="22">
        <f ca="1">X107*Y$685</f>
        <v>3011.9810380137719</v>
      </c>
      <c r="Z107" s="2">
        <v>173015.17683819035</v>
      </c>
      <c r="AA107" s="21">
        <f ca="1">Z107/Z$655</f>
        <v>1.4999071974823954E-3</v>
      </c>
      <c r="AB107" s="22">
        <f ca="1">AA107*AB$685</f>
        <v>4618.1900825442717</v>
      </c>
      <c r="AC107" s="2">
        <v>105615.7740649441</v>
      </c>
      <c r="AD107" s="21">
        <f ca="1">AC107/AC$655</f>
        <v>9.3747286838762728E-4</v>
      </c>
      <c r="AE107" s="22">
        <f ca="1">AD107*AE$685</f>
        <v>2941.3066593598214</v>
      </c>
      <c r="AF107" s="2">
        <v>52316.814127524463</v>
      </c>
      <c r="AG107" s="21">
        <f ca="1">AF107/AF$655</f>
        <v>4.3434284677516474E-4</v>
      </c>
      <c r="AH107" s="22">
        <f ca="1">AG107*AH$685</f>
        <v>1387.2733748460123</v>
      </c>
      <c r="AI107" s="2">
        <v>51642.655712993539</v>
      </c>
      <c r="AJ107" s="21">
        <f ca="1">AI107/AI$655</f>
        <v>2.7890495272601073E-4</v>
      </c>
      <c r="AK107" s="22">
        <f ca="1">AJ107*AK$685</f>
        <v>906.84566472776112</v>
      </c>
      <c r="AL107" s="2">
        <v>1118028.5581392113</v>
      </c>
    </row>
    <row r="108" spans="1:38" ht="12.75" x14ac:dyDescent="0.2">
      <c r="A108" s="8" t="s">
        <v>16</v>
      </c>
      <c r="B108" s="8" t="s">
        <v>17</v>
      </c>
      <c r="C108" s="8" t="s">
        <v>18</v>
      </c>
      <c r="D108" s="8" t="s">
        <v>52</v>
      </c>
      <c r="E108" s="8" t="s">
        <v>60</v>
      </c>
      <c r="F108" s="8" t="s">
        <v>27</v>
      </c>
      <c r="G108" s="8" t="s">
        <v>463</v>
      </c>
      <c r="H108" s="20">
        <v>840000</v>
      </c>
      <c r="I108" s="21">
        <f>H108/H$657</f>
        <v>1.6469540483546461E-2</v>
      </c>
      <c r="J108" s="22">
        <f>I108*J$687</f>
        <v>170838.23051455826</v>
      </c>
      <c r="K108" s="2">
        <v>840000</v>
      </c>
      <c r="L108" s="21">
        <f ca="1">K108/K$657</f>
        <v>2.1506295489862999E-2</v>
      </c>
      <c r="M108" s="22">
        <f ca="1">L108*M$687</f>
        <v>337789.6839200122</v>
      </c>
      <c r="N108" s="2">
        <v>840000</v>
      </c>
      <c r="O108" s="21">
        <f ca="1">N108/N$657</f>
        <v>1.5187305141540718E-2</v>
      </c>
      <c r="P108" s="22">
        <f ca="1">O108*P$687</f>
        <v>244742.19628478459</v>
      </c>
      <c r="Q108" s="2">
        <v>840000</v>
      </c>
      <c r="R108" s="21">
        <f ca="1">Q108/Q$657</f>
        <v>1.5208679263640527E-2</v>
      </c>
      <c r="S108" s="22">
        <f ca="1">R108*S$687</f>
        <v>250723.63132650554</v>
      </c>
      <c r="T108" s="2">
        <v>840000</v>
      </c>
      <c r="U108" s="21">
        <f ca="1">T108/T$657</f>
        <v>2.1713524664632149E-2</v>
      </c>
      <c r="V108" s="22">
        <f ca="1">U108*V$687</f>
        <v>365476.81918975484</v>
      </c>
      <c r="W108" s="2">
        <v>840000</v>
      </c>
      <c r="X108" s="21">
        <f ca="1">W108/W$657</f>
        <v>2.1436091337473897E-2</v>
      </c>
      <c r="Y108" s="22">
        <f ca="1">X108*Y$687</f>
        <v>368023.2706905363</v>
      </c>
      <c r="Z108" s="2">
        <v>840000</v>
      </c>
      <c r="AA108" s="21">
        <f ca="1">Z108/Z$657</f>
        <v>1.7317887153333641E-2</v>
      </c>
      <c r="AB108" s="22">
        <f ca="1">AA108*AB$687</f>
        <v>302672.08271297469</v>
      </c>
      <c r="AC108" s="2">
        <v>840000</v>
      </c>
      <c r="AD108" s="21">
        <f ca="1">AC108/AC$657</f>
        <v>1.5292987362595904E-2</v>
      </c>
      <c r="AE108" s="22">
        <f ca="1">AD108*AE$687</f>
        <v>272360.40643799474</v>
      </c>
      <c r="AF108" s="2">
        <v>840000</v>
      </c>
      <c r="AG108" s="21">
        <f ca="1">AF108/AF$657</f>
        <v>1.6807565516633906E-2</v>
      </c>
      <c r="AH108" s="22">
        <f ca="1">AG108*AH$687</f>
        <v>304722.29799954768</v>
      </c>
      <c r="AI108" s="2">
        <v>840000</v>
      </c>
      <c r="AJ108" s="21">
        <f ca="1">AI108/AI$657</f>
        <v>1.5136951868556195E-2</v>
      </c>
      <c r="AK108" s="22">
        <f ca="1">AJ108*AK$687</f>
        <v>279373.77091514942</v>
      </c>
      <c r="AL108" s="2">
        <v>8400000</v>
      </c>
    </row>
    <row r="109" spans="1:38" ht="12.75" x14ac:dyDescent="0.2">
      <c r="A109" s="8" t="s">
        <v>16</v>
      </c>
      <c r="B109" s="8" t="s">
        <v>17</v>
      </c>
      <c r="C109" s="8" t="s">
        <v>18</v>
      </c>
      <c r="D109" s="8" t="s">
        <v>52</v>
      </c>
      <c r="E109" s="8" t="s">
        <v>464</v>
      </c>
      <c r="F109" s="8" t="s">
        <v>28</v>
      </c>
      <c r="G109" s="8" t="s">
        <v>465</v>
      </c>
      <c r="H109" s="20">
        <v>0</v>
      </c>
      <c r="I109" s="21">
        <f t="shared" ref="I109:I110" si="180">H109/H$669</f>
        <v>0</v>
      </c>
      <c r="J109" s="22">
        <f t="shared" ref="J109:J110" si="181">I109*J$699</f>
        <v>0</v>
      </c>
      <c r="K109" s="2">
        <v>0</v>
      </c>
      <c r="L109" s="21">
        <f t="shared" ref="L109:L110" ca="1" si="182">K109/K$669</f>
        <v>0</v>
      </c>
      <c r="M109" s="22">
        <f t="shared" ref="M109:M110" ca="1" si="183">L109*M$699</f>
        <v>0</v>
      </c>
      <c r="N109" s="2">
        <v>0</v>
      </c>
      <c r="O109" s="21">
        <f t="shared" ref="O109:O110" ca="1" si="184">N109/N$669</f>
        <v>0</v>
      </c>
      <c r="P109" s="22">
        <f t="shared" ref="P109:P110" ca="1" si="185">O109*P$699</f>
        <v>0</v>
      </c>
      <c r="Q109" s="2">
        <v>0</v>
      </c>
      <c r="R109" s="21">
        <f t="shared" ref="R109:R110" ca="1" si="186">Q109/Q$669</f>
        <v>0</v>
      </c>
      <c r="S109" s="22">
        <f t="shared" ref="S109:S110" ca="1" si="187">R109*S$699</f>
        <v>0</v>
      </c>
      <c r="T109" s="2">
        <v>0</v>
      </c>
      <c r="U109" s="21">
        <f t="shared" ref="U109:U110" ca="1" si="188">T109/T$669</f>
        <v>0</v>
      </c>
      <c r="V109" s="22">
        <f t="shared" ref="V109:V110" ca="1" si="189">U109*V$699</f>
        <v>0</v>
      </c>
      <c r="W109" s="2">
        <v>0</v>
      </c>
      <c r="X109" s="21">
        <f t="shared" ref="X109:X110" ca="1" si="190">W109/W$669</f>
        <v>0</v>
      </c>
      <c r="Y109" s="22">
        <f t="shared" ref="Y109:Y110" ca="1" si="191">X109*Y$699</f>
        <v>0</v>
      </c>
      <c r="Z109" s="2">
        <v>0</v>
      </c>
      <c r="AA109" s="21">
        <f t="shared" ref="AA109:AA110" ca="1" si="192">Z109/Z$669</f>
        <v>0</v>
      </c>
      <c r="AB109" s="22">
        <f t="shared" ref="AB109:AB110" ca="1" si="193">AA109*AB$699</f>
        <v>0</v>
      </c>
      <c r="AC109" s="2">
        <v>0</v>
      </c>
      <c r="AD109" s="21">
        <f t="shared" ref="AD109:AD110" ca="1" si="194">AC109/AC$669</f>
        <v>0</v>
      </c>
      <c r="AE109" s="22">
        <f t="shared" ref="AE109:AE110" ca="1" si="195">AD109*AE$699</f>
        <v>0</v>
      </c>
      <c r="AF109" s="2">
        <v>0</v>
      </c>
      <c r="AG109" s="21">
        <f t="shared" ref="AG109:AG110" ca="1" si="196">AF109/AF$669</f>
        <v>0</v>
      </c>
      <c r="AH109" s="22">
        <f t="shared" ref="AH109:AH110" ca="1" si="197">AG109*AH$699</f>
        <v>0</v>
      </c>
      <c r="AI109" s="2">
        <v>0</v>
      </c>
      <c r="AJ109" s="21">
        <f t="shared" ref="AJ109:AJ110" ca="1" si="198">AI109/AI$669</f>
        <v>0</v>
      </c>
      <c r="AK109" s="22">
        <f t="shared" ref="AK109:AK110" ca="1" si="199">AJ109*AK$699</f>
        <v>0</v>
      </c>
      <c r="AL109" s="2">
        <v>0</v>
      </c>
    </row>
    <row r="110" spans="1:38" ht="12.75" x14ac:dyDescent="0.2">
      <c r="A110" s="8" t="s">
        <v>16</v>
      </c>
      <c r="B110" s="8" t="s">
        <v>17</v>
      </c>
      <c r="C110" s="8" t="s">
        <v>18</v>
      </c>
      <c r="D110" s="8" t="s">
        <v>52</v>
      </c>
      <c r="E110" s="8" t="s">
        <v>61</v>
      </c>
      <c r="F110" s="8" t="s">
        <v>28</v>
      </c>
      <c r="G110" s="8" t="s">
        <v>466</v>
      </c>
      <c r="H110" s="20">
        <v>0</v>
      </c>
      <c r="I110" s="21">
        <f t="shared" si="180"/>
        <v>0</v>
      </c>
      <c r="J110" s="22">
        <f t="shared" si="181"/>
        <v>0</v>
      </c>
      <c r="K110" s="2">
        <v>0</v>
      </c>
      <c r="L110" s="21">
        <f t="shared" ca="1" si="182"/>
        <v>0</v>
      </c>
      <c r="M110" s="22">
        <f t="shared" ca="1" si="183"/>
        <v>0</v>
      </c>
      <c r="N110" s="2">
        <v>108081.16749401609</v>
      </c>
      <c r="O110" s="21">
        <f t="shared" ca="1" si="184"/>
        <v>3.8320628836450198E-3</v>
      </c>
      <c r="P110" s="22">
        <f t="shared" ca="1" si="185"/>
        <v>18635.152425986274</v>
      </c>
      <c r="Q110" s="2">
        <v>0</v>
      </c>
      <c r="R110" s="21">
        <f t="shared" ca="1" si="186"/>
        <v>0</v>
      </c>
      <c r="S110" s="22">
        <f t="shared" ca="1" si="187"/>
        <v>0</v>
      </c>
      <c r="T110" s="2">
        <v>0</v>
      </c>
      <c r="U110" s="21">
        <f t="shared" ca="1" si="188"/>
        <v>0</v>
      </c>
      <c r="V110" s="22">
        <f t="shared" ca="1" si="189"/>
        <v>0</v>
      </c>
      <c r="W110" s="2">
        <v>0</v>
      </c>
      <c r="X110" s="21">
        <f t="shared" ca="1" si="190"/>
        <v>0</v>
      </c>
      <c r="Y110" s="22">
        <f t="shared" ca="1" si="191"/>
        <v>0</v>
      </c>
      <c r="Z110" s="2">
        <v>0</v>
      </c>
      <c r="AA110" s="21">
        <f t="shared" ca="1" si="192"/>
        <v>0</v>
      </c>
      <c r="AB110" s="22">
        <f t="shared" ca="1" si="193"/>
        <v>0</v>
      </c>
      <c r="AC110" s="2">
        <v>0</v>
      </c>
      <c r="AD110" s="21">
        <f t="shared" ca="1" si="194"/>
        <v>0</v>
      </c>
      <c r="AE110" s="22">
        <f t="shared" ca="1" si="195"/>
        <v>0</v>
      </c>
      <c r="AF110" s="2">
        <v>0</v>
      </c>
      <c r="AG110" s="21">
        <f t="shared" ca="1" si="196"/>
        <v>0</v>
      </c>
      <c r="AH110" s="22">
        <f t="shared" ca="1" si="197"/>
        <v>0</v>
      </c>
      <c r="AI110" s="2">
        <v>0</v>
      </c>
      <c r="AJ110" s="21">
        <f t="shared" ca="1" si="198"/>
        <v>0</v>
      </c>
      <c r="AK110" s="22">
        <f t="shared" ca="1" si="199"/>
        <v>0</v>
      </c>
      <c r="AL110" s="2">
        <v>108081.16749401609</v>
      </c>
    </row>
    <row r="111" spans="1:38" ht="12.75" x14ac:dyDescent="0.2">
      <c r="A111" s="8" t="s">
        <v>16</v>
      </c>
      <c r="B111" s="8" t="s">
        <v>17</v>
      </c>
      <c r="C111" s="8" t="s">
        <v>18</v>
      </c>
      <c r="D111" s="8" t="s">
        <v>52</v>
      </c>
      <c r="E111" s="8" t="s">
        <v>62</v>
      </c>
      <c r="F111" s="8" t="s">
        <v>21</v>
      </c>
      <c r="G111" s="8" t="s">
        <v>467</v>
      </c>
      <c r="H111" s="20">
        <v>80000</v>
      </c>
      <c r="I111" s="21">
        <f>H111/H$645</f>
        <v>5.2947973170546399E-3</v>
      </c>
      <c r="J111" s="22">
        <f>I111*J$675</f>
        <v>747.62538116811515</v>
      </c>
      <c r="K111" s="2">
        <v>80000</v>
      </c>
      <c r="L111" s="21">
        <f ca="1">K111/K$645</f>
        <v>5.2291222113429996E-3</v>
      </c>
      <c r="M111" s="22">
        <f ca="1">L111*M$675</f>
        <v>2256.1570693060507</v>
      </c>
      <c r="N111" s="2">
        <v>80000</v>
      </c>
      <c r="O111" s="21">
        <f ca="1">N111/N$645</f>
        <v>3.682509301779254E-3</v>
      </c>
      <c r="P111" s="22">
        <f ca="1">O111*P$675</f>
        <v>1630.1657053926647</v>
      </c>
      <c r="Q111" s="2">
        <v>80000</v>
      </c>
      <c r="R111" s="21">
        <f ca="1">Q111/Q$645</f>
        <v>3.1686666651385533E-3</v>
      </c>
      <c r="S111" s="22">
        <f ca="1">R111*S$675</f>
        <v>1434.960960074646</v>
      </c>
      <c r="T111" s="2">
        <v>80000</v>
      </c>
      <c r="U111" s="21">
        <f ca="1">T111/T$645</f>
        <v>3.8757521683199774E-3</v>
      </c>
      <c r="V111" s="22">
        <f ca="1">U111*V$675</f>
        <v>1792.0299797652406</v>
      </c>
      <c r="W111" s="2">
        <v>80000</v>
      </c>
      <c r="X111" s="21">
        <f ca="1">W111/W$645</f>
        <v>3.8702739138625256E-3</v>
      </c>
      <c r="Y111" s="22">
        <f ca="1">X111*Y$675</f>
        <v>1825.2869724341028</v>
      </c>
      <c r="Z111" s="2">
        <v>80000</v>
      </c>
      <c r="AA111" s="21">
        <f ca="1">Z111/Z$645</f>
        <v>3.8885514521567167E-3</v>
      </c>
      <c r="AB111" s="22">
        <f ca="1">AA111*AB$675</f>
        <v>1866.9172723442978</v>
      </c>
      <c r="AC111" s="2">
        <v>80000</v>
      </c>
      <c r="AD111" s="21">
        <f ca="1">AC111/AC$645</f>
        <v>3.3686555091761478E-3</v>
      </c>
      <c r="AE111" s="22">
        <f ca="1">AD111*AE$675</f>
        <v>1648.0410016818896</v>
      </c>
      <c r="AF111" s="2">
        <v>80000</v>
      </c>
      <c r="AG111" s="21">
        <f ca="1">AF111/AF$645</f>
        <v>3.667609787526734E-3</v>
      </c>
      <c r="AH111" s="22">
        <f ca="1">AG111*AH$675</f>
        <v>1826.5951797952425</v>
      </c>
      <c r="AI111" s="2">
        <v>80000</v>
      </c>
      <c r="AJ111" s="21">
        <f ca="1">AI111/AI$645</f>
        <v>3.137715225480522E-3</v>
      </c>
      <c r="AK111" s="22">
        <f ca="1">AJ111*AK$675</f>
        <v>1590.8179795689632</v>
      </c>
      <c r="AL111" s="2">
        <v>800000</v>
      </c>
    </row>
    <row r="112" spans="1:38" ht="12.75" x14ac:dyDescent="0.2">
      <c r="A112" s="8" t="s">
        <v>16</v>
      </c>
      <c r="B112" s="8" t="s">
        <v>17</v>
      </c>
      <c r="C112" s="8" t="s">
        <v>18</v>
      </c>
      <c r="D112" s="8" t="s">
        <v>52</v>
      </c>
      <c r="E112" s="8" t="s">
        <v>62</v>
      </c>
      <c r="F112" s="8" t="s">
        <v>27</v>
      </c>
      <c r="G112" s="8" t="s">
        <v>468</v>
      </c>
      <c r="H112" s="20">
        <v>130000</v>
      </c>
      <c r="I112" s="21">
        <f>H112/H$657</f>
        <v>2.5488574557869523E-3</v>
      </c>
      <c r="J112" s="22">
        <f>I112*J$687</f>
        <v>26439.249960586396</v>
      </c>
      <c r="K112" s="2">
        <v>130000</v>
      </c>
      <c r="L112" s="21">
        <f ca="1">K112/K$657</f>
        <v>3.3283552543835596E-3</v>
      </c>
      <c r="M112" s="22">
        <f ca="1">L112*M$687</f>
        <v>52276.974892382845</v>
      </c>
      <c r="N112" s="2">
        <v>130000</v>
      </c>
      <c r="O112" s="21">
        <f ca="1">N112/N$657</f>
        <v>2.3504162719051114E-3</v>
      </c>
      <c r="P112" s="22">
        <f ca="1">O112*P$687</f>
        <v>37876.768472645235</v>
      </c>
      <c r="Q112" s="2">
        <v>130000</v>
      </c>
      <c r="R112" s="21">
        <f ca="1">Q112/Q$657</f>
        <v>2.3537241717538912E-3</v>
      </c>
      <c r="S112" s="22">
        <f ca="1">R112*S$687</f>
        <v>38802.466752911576</v>
      </c>
      <c r="T112" s="2">
        <v>130000</v>
      </c>
      <c r="U112" s="21">
        <f ca="1">T112/T$657</f>
        <v>3.3604264361930705E-3</v>
      </c>
      <c r="V112" s="22">
        <f ca="1">U112*V$687</f>
        <v>56561.888684128724</v>
      </c>
      <c r="W112" s="2">
        <v>130000</v>
      </c>
      <c r="X112" s="21">
        <f ca="1">W112/W$657</f>
        <v>3.3174903260376272E-3</v>
      </c>
      <c r="Y112" s="22">
        <f ca="1">X112*Y$687</f>
        <v>56955.982368773475</v>
      </c>
      <c r="Z112" s="2">
        <v>130000</v>
      </c>
      <c r="AA112" s="21">
        <f ca="1">Z112/Z$657</f>
        <v>2.6801492023016352E-3</v>
      </c>
      <c r="AB112" s="22">
        <f ca="1">AA112*AB$687</f>
        <v>46842.108038912753</v>
      </c>
      <c r="AC112" s="2">
        <v>130000</v>
      </c>
      <c r="AD112" s="21">
        <f ca="1">AC112/AC$657</f>
        <v>2.3667718537350802E-3</v>
      </c>
      <c r="AE112" s="22">
        <f ca="1">AD112*AE$687</f>
        <v>42151.015282070613</v>
      </c>
      <c r="AF112" s="2">
        <v>130000</v>
      </c>
      <c r="AG112" s="21">
        <f ca="1">AF112/AF$657</f>
        <v>2.6011708537647714E-3</v>
      </c>
      <c r="AH112" s="22">
        <f ca="1">AG112*AH$687</f>
        <v>47159.40326183477</v>
      </c>
      <c r="AI112" s="2">
        <v>130000</v>
      </c>
      <c r="AJ112" s="21">
        <f ca="1">AI112/AI$657</f>
        <v>2.3426235034670301E-3</v>
      </c>
      <c r="AK112" s="22">
        <f ca="1">AJ112*AK$687</f>
        <v>43236.416927344551</v>
      </c>
      <c r="AL112" s="2">
        <v>1300000</v>
      </c>
    </row>
    <row r="113" spans="1:38" ht="12.75" x14ac:dyDescent="0.2">
      <c r="A113" s="8" t="s">
        <v>16</v>
      </c>
      <c r="B113" s="8" t="s">
        <v>17</v>
      </c>
      <c r="C113" s="8" t="s">
        <v>18</v>
      </c>
      <c r="D113" s="8" t="s">
        <v>52</v>
      </c>
      <c r="E113" s="8" t="s">
        <v>63</v>
      </c>
      <c r="F113" s="23" t="s">
        <v>37</v>
      </c>
      <c r="G113" s="8" t="s">
        <v>469</v>
      </c>
      <c r="H113" s="20">
        <v>3453399.85250411</v>
      </c>
      <c r="I113" s="21">
        <f t="shared" ref="I113:I114" si="200">H113/H$649</f>
        <v>4.8741464602778728E-2</v>
      </c>
      <c r="J113" s="22">
        <f t="shared" ref="J113:J114" si="201">I113*J$679</f>
        <v>2347072.4569401578</v>
      </c>
      <c r="K113" s="2">
        <v>3526020.3646875015</v>
      </c>
      <c r="L113" s="21">
        <f t="shared" ref="L113:L114" ca="1" si="202">K113/K$649</f>
        <v>4.2037774817363288E-2</v>
      </c>
      <c r="M113" s="22">
        <f t="shared" ref="M113:M114" ca="1" si="203">L113*M$679</f>
        <v>3839409.0571050337</v>
      </c>
      <c r="N113" s="2">
        <v>4762447.3215590287</v>
      </c>
      <c r="O113" s="21">
        <f t="shared" ref="O113:O114" ca="1" si="204">N113/N$649</f>
        <v>5.3355407626225045E-2</v>
      </c>
      <c r="P113" s="22">
        <f t="shared" ref="P113:P114" ca="1" si="205">O113*P$679</f>
        <v>13216507.865098026</v>
      </c>
      <c r="Q113" s="2">
        <v>3618957.5506030526</v>
      </c>
      <c r="R113" s="21">
        <f t="shared" ref="R113:R114" ca="1" si="206">Q113/Q$649</f>
        <v>4.5941549077567818E-2</v>
      </c>
      <c r="S113" s="22">
        <f t="shared" ref="S113:S114" ca="1" si="207">R113*S$679</f>
        <v>11641784.21233918</v>
      </c>
      <c r="T113" s="2">
        <v>3473934.3826851738</v>
      </c>
      <c r="U113" s="21">
        <f t="shared" ref="U113:U114" ca="1" si="208">T113/T$649</f>
        <v>4.4701570880668638E-2</v>
      </c>
      <c r="V113" s="22">
        <f t="shared" ref="V113:V114" ca="1" si="209">U113*V$679</f>
        <v>11565447.393720096</v>
      </c>
      <c r="W113" s="2">
        <v>3390622.8229096662</v>
      </c>
      <c r="X113" s="21">
        <f t="shared" ref="X113:X114" ca="1" si="210">W113/W$649</f>
        <v>3.8125057499669518E-2</v>
      </c>
      <c r="Y113" s="22">
        <f t="shared" ref="Y113:Y114" ca="1" si="211">X113*Y$679</f>
        <v>10061212.726215446</v>
      </c>
      <c r="Z113" s="2">
        <v>3046074.8991395133</v>
      </c>
      <c r="AA113" s="21">
        <f t="shared" ref="AA113:AA114" ca="1" si="212">Z113/Z$649</f>
        <v>3.1537918582327247E-2</v>
      </c>
      <c r="AB113" s="22">
        <f t="shared" ref="AB113:AB114" ca="1" si="213">AA113*AB$679</f>
        <v>8472676.5998186581</v>
      </c>
      <c r="AC113" s="2">
        <v>3066084.0097810626</v>
      </c>
      <c r="AD113" s="21">
        <f t="shared" ref="AD113:AD114" ca="1" si="214">AC113/AC$649</f>
        <v>3.1344182504383512E-2</v>
      </c>
      <c r="AE113" s="22">
        <f t="shared" ref="AE113:AE114" ca="1" si="215">AD113*AE$679</f>
        <v>8580621.268660631</v>
      </c>
      <c r="AF113" s="2">
        <v>3115260.9377986314</v>
      </c>
      <c r="AG113" s="21">
        <f t="shared" ref="AG113:AG114" ca="1" si="216">AF113/AF$649</f>
        <v>3.0733329812360127E-2</v>
      </c>
      <c r="AH113" s="22">
        <f t="shared" ref="AH113:AH114" ca="1" si="217">AG113*AH$679</f>
        <v>8564838.5485133529</v>
      </c>
      <c r="AI113" s="2">
        <v>5970039.6279851953</v>
      </c>
      <c r="AJ113" s="21">
        <f t="shared" ref="AJ113:AJ114" ca="1" si="218">AI113/AI$649</f>
        <v>3.11662840530063E-2</v>
      </c>
      <c r="AK113" s="22">
        <f t="shared" ref="AK113:AK114" ca="1" si="219">AJ113*AK$679</f>
        <v>8841834.1964278501</v>
      </c>
      <c r="AL113" s="2">
        <v>37422841.769652933</v>
      </c>
    </row>
    <row r="114" spans="1:38" ht="12.75" x14ac:dyDescent="0.2">
      <c r="A114" s="8" t="s">
        <v>16</v>
      </c>
      <c r="B114" s="8" t="s">
        <v>17</v>
      </c>
      <c r="C114" s="8" t="s">
        <v>18</v>
      </c>
      <c r="D114" s="8" t="s">
        <v>52</v>
      </c>
      <c r="E114" s="8" t="s">
        <v>64</v>
      </c>
      <c r="F114" s="23" t="s">
        <v>37</v>
      </c>
      <c r="G114" s="8" t="s">
        <v>470</v>
      </c>
      <c r="H114" s="20">
        <v>3282854.6354576251</v>
      </c>
      <c r="I114" s="21">
        <f t="shared" si="200"/>
        <v>4.6334380565343315E-2</v>
      </c>
      <c r="J114" s="22">
        <f t="shared" si="201"/>
        <v>2231162.9188939235</v>
      </c>
      <c r="K114" s="2">
        <v>4775411.325302341</v>
      </c>
      <c r="L114" s="21">
        <f t="shared" ca="1" si="202"/>
        <v>5.6933212287654425E-2</v>
      </c>
      <c r="M114" s="22">
        <f t="shared" ca="1" si="203"/>
        <v>5199844.4698128402</v>
      </c>
      <c r="N114" s="2">
        <v>4804608.7864917908</v>
      </c>
      <c r="O114" s="21">
        <f t="shared" ca="1" si="204"/>
        <v>5.3827757658827587E-2</v>
      </c>
      <c r="P114" s="22">
        <f t="shared" ca="1" si="205"/>
        <v>13333512.273811461</v>
      </c>
      <c r="Q114" s="2">
        <v>4581504.6519940542</v>
      </c>
      <c r="R114" s="21">
        <f t="shared" ca="1" si="206"/>
        <v>5.8160787429964771E-2</v>
      </c>
      <c r="S114" s="22">
        <f t="shared" ca="1" si="207"/>
        <v>14738191.255505327</v>
      </c>
      <c r="T114" s="2">
        <v>3873639.7570489631</v>
      </c>
      <c r="U114" s="21">
        <f t="shared" ca="1" si="208"/>
        <v>4.98448626516826E-2</v>
      </c>
      <c r="V114" s="22">
        <f t="shared" ca="1" si="209"/>
        <v>12896149.407906799</v>
      </c>
      <c r="W114" s="2">
        <v>4983039.7082816847</v>
      </c>
      <c r="X114" s="21">
        <f t="shared" ca="1" si="210"/>
        <v>5.6030613053664649E-2</v>
      </c>
      <c r="Y114" s="22">
        <f t="shared" ca="1" si="211"/>
        <v>14786493.557893539</v>
      </c>
      <c r="Z114" s="2">
        <v>4597520.3161474513</v>
      </c>
      <c r="AA114" s="21">
        <f t="shared" ca="1" si="212"/>
        <v>4.7601003327992289E-2</v>
      </c>
      <c r="AB114" s="22">
        <f t="shared" ca="1" si="213"/>
        <v>12788031.840851098</v>
      </c>
      <c r="AC114" s="2">
        <v>3691524.781427552</v>
      </c>
      <c r="AD114" s="21">
        <f t="shared" ca="1" si="214"/>
        <v>3.7737983075284982E-2</v>
      </c>
      <c r="AE114" s="22">
        <f t="shared" ca="1" si="215"/>
        <v>10330955.039802343</v>
      </c>
      <c r="AF114" s="2">
        <v>4162010.5231807278</v>
      </c>
      <c r="AG114" s="21">
        <f t="shared" ca="1" si="216"/>
        <v>4.1059944783249813E-2</v>
      </c>
      <c r="AH114" s="22">
        <f t="shared" ca="1" si="217"/>
        <v>11442684.539114753</v>
      </c>
      <c r="AI114" s="2">
        <v>11114226.37981537</v>
      </c>
      <c r="AJ114" s="21">
        <f t="shared" ca="1" si="218"/>
        <v>5.8021245748354135E-2</v>
      </c>
      <c r="AK114" s="22">
        <f t="shared" ca="1" si="219"/>
        <v>16460551.854838666</v>
      </c>
      <c r="AL114" s="2">
        <v>49866340.865147561</v>
      </c>
    </row>
    <row r="115" spans="1:38" ht="12.75" x14ac:dyDescent="0.2">
      <c r="A115" s="8" t="s">
        <v>16</v>
      </c>
      <c r="B115" s="8" t="s">
        <v>17</v>
      </c>
      <c r="C115" s="8" t="s">
        <v>18</v>
      </c>
      <c r="D115" s="8" t="s">
        <v>52</v>
      </c>
      <c r="E115" s="8" t="s">
        <v>65</v>
      </c>
      <c r="F115" s="8" t="s">
        <v>21</v>
      </c>
      <c r="G115" s="8" t="s">
        <v>471</v>
      </c>
      <c r="H115" s="20">
        <v>80000</v>
      </c>
      <c r="I115" s="21">
        <f>H115/H$645</f>
        <v>5.2947973170546399E-3</v>
      </c>
      <c r="J115" s="22">
        <f>I115*J$675</f>
        <v>747.62538116811515</v>
      </c>
      <c r="K115" s="2">
        <v>80000</v>
      </c>
      <c r="L115" s="21">
        <f ca="1">K115/K$645</f>
        <v>5.2291222113429996E-3</v>
      </c>
      <c r="M115" s="22">
        <f ca="1">L115*M$675</f>
        <v>2256.1570693060507</v>
      </c>
      <c r="N115" s="2">
        <v>80000</v>
      </c>
      <c r="O115" s="21">
        <f ca="1">N115/N$645</f>
        <v>3.682509301779254E-3</v>
      </c>
      <c r="P115" s="22">
        <f ca="1">O115*P$675</f>
        <v>1630.1657053926647</v>
      </c>
      <c r="Q115" s="2">
        <v>80000</v>
      </c>
      <c r="R115" s="21">
        <f ca="1">Q115/Q$645</f>
        <v>3.1686666651385533E-3</v>
      </c>
      <c r="S115" s="22">
        <f ca="1">R115*S$675</f>
        <v>1434.960960074646</v>
      </c>
      <c r="T115" s="2">
        <v>80000</v>
      </c>
      <c r="U115" s="21">
        <f ca="1">T115/T$645</f>
        <v>3.8757521683199774E-3</v>
      </c>
      <c r="V115" s="22">
        <f ca="1">U115*V$675</f>
        <v>1792.0299797652406</v>
      </c>
      <c r="W115" s="2">
        <v>80000</v>
      </c>
      <c r="X115" s="21">
        <f ca="1">W115/W$645</f>
        <v>3.8702739138625256E-3</v>
      </c>
      <c r="Y115" s="22">
        <f ca="1">X115*Y$675</f>
        <v>1825.2869724341028</v>
      </c>
      <c r="Z115" s="2">
        <v>80000</v>
      </c>
      <c r="AA115" s="21">
        <f ca="1">Z115/Z$645</f>
        <v>3.8885514521567167E-3</v>
      </c>
      <c r="AB115" s="22">
        <f ca="1">AA115*AB$675</f>
        <v>1866.9172723442978</v>
      </c>
      <c r="AC115" s="2">
        <v>80000</v>
      </c>
      <c r="AD115" s="21">
        <f ca="1">AC115/AC$645</f>
        <v>3.3686555091761478E-3</v>
      </c>
      <c r="AE115" s="22">
        <f ca="1">AD115*AE$675</f>
        <v>1648.0410016818896</v>
      </c>
      <c r="AF115" s="2">
        <v>80000</v>
      </c>
      <c r="AG115" s="21">
        <f ca="1">AF115/AF$645</f>
        <v>3.667609787526734E-3</v>
      </c>
      <c r="AH115" s="22">
        <f ca="1">AG115*AH$675</f>
        <v>1826.5951797952425</v>
      </c>
      <c r="AI115" s="2">
        <v>80000</v>
      </c>
      <c r="AJ115" s="21">
        <f ca="1">AI115/AI$645</f>
        <v>3.137715225480522E-3</v>
      </c>
      <c r="AK115" s="22">
        <f ca="1">AJ115*AK$675</f>
        <v>1590.8179795689632</v>
      </c>
      <c r="AL115" s="2">
        <v>800000</v>
      </c>
    </row>
    <row r="116" spans="1:38" ht="12.75" x14ac:dyDescent="0.2">
      <c r="A116" s="8" t="s">
        <v>16</v>
      </c>
      <c r="B116" s="8" t="s">
        <v>17</v>
      </c>
      <c r="C116" s="8" t="s">
        <v>18</v>
      </c>
      <c r="D116" s="8" t="s">
        <v>52</v>
      </c>
      <c r="E116" s="8" t="s">
        <v>65</v>
      </c>
      <c r="F116" s="23" t="s">
        <v>37</v>
      </c>
      <c r="G116" s="8" t="s">
        <v>472</v>
      </c>
      <c r="H116" s="20">
        <v>241225.97474367448</v>
      </c>
      <c r="I116" s="21">
        <f>H116/H$649</f>
        <v>3.4046759168979298E-3</v>
      </c>
      <c r="J116" s="22">
        <f>I116*J$679</f>
        <v>163947.08559707587</v>
      </c>
      <c r="K116" s="2">
        <v>244360.95587249612</v>
      </c>
      <c r="L116" s="21">
        <f ca="1">K116/K$649</f>
        <v>2.9133101271903868E-3</v>
      </c>
      <c r="M116" s="22">
        <f ca="1">L116*M$679</f>
        <v>266079.48058826779</v>
      </c>
      <c r="N116" s="2">
        <v>100000</v>
      </c>
      <c r="O116" s="21">
        <f ca="1">N116/N$649</f>
        <v>1.1203359118470771E-3</v>
      </c>
      <c r="P116" s="22">
        <f ca="1">O116*P$679</f>
        <v>277515.04578892613</v>
      </c>
      <c r="Q116" s="2">
        <v>100000</v>
      </c>
      <c r="R116" s="21">
        <f ca="1">Q116/Q$649</f>
        <v>1.2694691340027532E-3</v>
      </c>
      <c r="S116" s="22">
        <f ca="1">R116*S$679</f>
        <v>321688.88553001196</v>
      </c>
      <c r="T116" s="2">
        <v>100000</v>
      </c>
      <c r="U116" s="21">
        <f ca="1">T116/T$649</f>
        <v>1.2867707318673246E-3</v>
      </c>
      <c r="V116" s="22">
        <f ca="1">U116*V$679</f>
        <v>332920.72099475277</v>
      </c>
      <c r="W116" s="2">
        <v>100000</v>
      </c>
      <c r="X116" s="21">
        <f ca="1">W116/W$649</f>
        <v>1.1244263809606656E-3</v>
      </c>
      <c r="Y116" s="22">
        <f ca="1">X116*Y$679</f>
        <v>296736.41840177926</v>
      </c>
      <c r="Z116" s="2">
        <v>100000</v>
      </c>
      <c r="AA116" s="21">
        <f ca="1">Z116/Z$649</f>
        <v>1.0353625444744121E-3</v>
      </c>
      <c r="AB116" s="22">
        <f ca="1">AA116*AB$679</f>
        <v>278150.63254722033</v>
      </c>
      <c r="AC116" s="2">
        <v>100000</v>
      </c>
      <c r="AD116" s="21">
        <f ca="1">AC116/AC$649</f>
        <v>1.0222871390474942E-3</v>
      </c>
      <c r="AE116" s="22">
        <f ca="1">AD116*AE$679</f>
        <v>279856.03921118076</v>
      </c>
      <c r="AF116" s="2">
        <v>100000</v>
      </c>
      <c r="AG116" s="21">
        <f ca="1">AF116/AF$649</f>
        <v>9.8654110926828286E-4</v>
      </c>
      <c r="AH116" s="22">
        <f ca="1">AG116*AH$679</f>
        <v>274931.65803843102</v>
      </c>
      <c r="AI116" s="2">
        <v>100000</v>
      </c>
      <c r="AJ116" s="21">
        <f ca="1">AI116/AI$649</f>
        <v>5.2204484383840653E-4</v>
      </c>
      <c r="AK116" s="22">
        <f ca="1">AJ116*AK$679</f>
        <v>148103.44231185355</v>
      </c>
      <c r="AL116" s="2">
        <v>1285586.9306161706</v>
      </c>
    </row>
    <row r="117" spans="1:38" ht="12.75" x14ac:dyDescent="0.2">
      <c r="A117" s="8" t="s">
        <v>16</v>
      </c>
      <c r="B117" s="8" t="s">
        <v>17</v>
      </c>
      <c r="C117" s="8" t="s">
        <v>18</v>
      </c>
      <c r="D117" s="8" t="s">
        <v>52</v>
      </c>
      <c r="E117" s="8" t="s">
        <v>65</v>
      </c>
      <c r="F117" s="8" t="s">
        <v>26</v>
      </c>
      <c r="G117" s="8" t="s">
        <v>473</v>
      </c>
      <c r="H117" s="20">
        <v>0</v>
      </c>
      <c r="I117" s="21">
        <f>H117/H$655</f>
        <v>0</v>
      </c>
      <c r="J117" s="22">
        <f>I117*J$685</f>
        <v>0</v>
      </c>
      <c r="K117" s="2">
        <v>0</v>
      </c>
      <c r="L117" s="21">
        <f ca="1">K117/K$655</f>
        <v>0</v>
      </c>
      <c r="M117" s="22">
        <f ca="1">L117*M$685</f>
        <v>0</v>
      </c>
      <c r="N117" s="2">
        <v>0</v>
      </c>
      <c r="O117" s="21">
        <f ca="1">N117/N$655</f>
        <v>0</v>
      </c>
      <c r="P117" s="22">
        <f ca="1">O117*P$685</f>
        <v>0</v>
      </c>
      <c r="Q117" s="2">
        <v>0</v>
      </c>
      <c r="R117" s="21">
        <f ca="1">Q117/Q$655</f>
        <v>0</v>
      </c>
      <c r="S117" s="22">
        <f ca="1">R117*S$685</f>
        <v>0</v>
      </c>
      <c r="T117" s="2">
        <v>0</v>
      </c>
      <c r="U117" s="21">
        <f ca="1">T117/T$655</f>
        <v>0</v>
      </c>
      <c r="V117" s="22">
        <f ca="1">U117*V$685</f>
        <v>0</v>
      </c>
      <c r="W117" s="2">
        <v>0</v>
      </c>
      <c r="X117" s="21">
        <f ca="1">W117/W$655</f>
        <v>0</v>
      </c>
      <c r="Y117" s="22">
        <f ca="1">X117*Y$685</f>
        <v>0</v>
      </c>
      <c r="Z117" s="2">
        <v>0</v>
      </c>
      <c r="AA117" s="21">
        <f ca="1">Z117/Z$655</f>
        <v>0</v>
      </c>
      <c r="AB117" s="22">
        <f ca="1">AA117*AB$685</f>
        <v>0</v>
      </c>
      <c r="AC117" s="2">
        <v>0</v>
      </c>
      <c r="AD117" s="21">
        <f ca="1">AC117/AC$655</f>
        <v>0</v>
      </c>
      <c r="AE117" s="22">
        <f ca="1">AD117*AE$685</f>
        <v>0</v>
      </c>
      <c r="AF117" s="2">
        <v>0</v>
      </c>
      <c r="AG117" s="21">
        <f ca="1">AF117/AF$655</f>
        <v>0</v>
      </c>
      <c r="AH117" s="22">
        <f ca="1">AG117*AH$685</f>
        <v>0</v>
      </c>
      <c r="AI117" s="2">
        <v>0</v>
      </c>
      <c r="AJ117" s="21">
        <f ca="1">AI117/AI$655</f>
        <v>0</v>
      </c>
      <c r="AK117" s="22">
        <f ca="1">AJ117*AK$685</f>
        <v>0</v>
      </c>
      <c r="AL117" s="2">
        <v>0</v>
      </c>
    </row>
    <row r="118" spans="1:38" ht="12.75" x14ac:dyDescent="0.2">
      <c r="A118" s="8" t="s">
        <v>16</v>
      </c>
      <c r="B118" s="8" t="s">
        <v>17</v>
      </c>
      <c r="C118" s="8" t="s">
        <v>18</v>
      </c>
      <c r="D118" s="8" t="s">
        <v>52</v>
      </c>
      <c r="E118" s="8" t="s">
        <v>65</v>
      </c>
      <c r="F118" s="8" t="s">
        <v>27</v>
      </c>
      <c r="G118" s="8" t="s">
        <v>474</v>
      </c>
      <c r="H118" s="20">
        <v>390000</v>
      </c>
      <c r="I118" s="21">
        <f>H118/H$657</f>
        <v>7.6465723673608569E-3</v>
      </c>
      <c r="J118" s="22">
        <f>I118*J$687</f>
        <v>79317.749881759184</v>
      </c>
      <c r="K118" s="2">
        <v>390000</v>
      </c>
      <c r="L118" s="21">
        <f ca="1">K118/K$657</f>
        <v>9.9850657631506794E-3</v>
      </c>
      <c r="M118" s="22">
        <f ca="1">L118*M$687</f>
        <v>156830.92467714855</v>
      </c>
      <c r="N118" s="2">
        <v>390000</v>
      </c>
      <c r="O118" s="21">
        <f ca="1">N118/N$657</f>
        <v>7.0512488157153334E-3</v>
      </c>
      <c r="P118" s="22">
        <f ca="1">O118*P$687</f>
        <v>113630.3054179357</v>
      </c>
      <c r="Q118" s="2">
        <v>390000</v>
      </c>
      <c r="R118" s="21">
        <f ca="1">Q118/Q$657</f>
        <v>7.0611725152616728E-3</v>
      </c>
      <c r="S118" s="22">
        <f ca="1">R118*S$687</f>
        <v>116407.40025873471</v>
      </c>
      <c r="T118" s="2">
        <v>390000</v>
      </c>
      <c r="U118" s="21">
        <f ca="1">T118/T$657</f>
        <v>1.0081279308579211E-2</v>
      </c>
      <c r="V118" s="22">
        <f ca="1">U118*V$687</f>
        <v>169685.66605238616</v>
      </c>
      <c r="W118" s="2">
        <v>390000</v>
      </c>
      <c r="X118" s="21">
        <f ca="1">W118/W$657</f>
        <v>9.9524709781128803E-3</v>
      </c>
      <c r="Y118" s="22">
        <f ca="1">X118*Y$687</f>
        <v>170867.94710632041</v>
      </c>
      <c r="Z118" s="2">
        <v>390000</v>
      </c>
      <c r="AA118" s="21">
        <f ca="1">Z118/Z$657</f>
        <v>8.0404476069049057E-3</v>
      </c>
      <c r="AB118" s="22">
        <f ca="1">AA118*AB$687</f>
        <v>140526.32411673825</v>
      </c>
      <c r="AC118" s="2">
        <v>390000</v>
      </c>
      <c r="AD118" s="21">
        <f ca="1">AC118/AC$657</f>
        <v>7.1003155612052414E-3</v>
      </c>
      <c r="AE118" s="22">
        <f ca="1">AD118*AE$687</f>
        <v>126453.04584621185</v>
      </c>
      <c r="AF118" s="2">
        <v>390000</v>
      </c>
      <c r="AG118" s="21">
        <f ca="1">AF118/AF$657</f>
        <v>7.8035125612943134E-3</v>
      </c>
      <c r="AH118" s="22">
        <f ca="1">AG118*AH$687</f>
        <v>141478.2097855043</v>
      </c>
      <c r="AI118" s="2">
        <v>390000</v>
      </c>
      <c r="AJ118" s="21">
        <f ca="1">AI118/AI$657</f>
        <v>7.0278705104010906E-3</v>
      </c>
      <c r="AK118" s="22">
        <f ca="1">AJ118*AK$687</f>
        <v>129709.25078203366</v>
      </c>
      <c r="AL118" s="2">
        <v>3900000</v>
      </c>
    </row>
    <row r="119" spans="1:38" ht="12.75" x14ac:dyDescent="0.2">
      <c r="A119" s="8" t="s">
        <v>16</v>
      </c>
      <c r="B119" s="8" t="s">
        <v>17</v>
      </c>
      <c r="C119" s="8" t="s">
        <v>18</v>
      </c>
      <c r="D119" s="8" t="s">
        <v>52</v>
      </c>
      <c r="E119" s="8" t="s">
        <v>66</v>
      </c>
      <c r="F119" s="8" t="s">
        <v>28</v>
      </c>
      <c r="G119" s="8" t="s">
        <v>475</v>
      </c>
      <c r="H119" s="20">
        <v>0</v>
      </c>
      <c r="I119" s="21">
        <f>H119/H$669</f>
        <v>0</v>
      </c>
      <c r="J119" s="22">
        <f>I119*J$699</f>
        <v>0</v>
      </c>
      <c r="K119" s="2">
        <v>0</v>
      </c>
      <c r="L119" s="21">
        <f ca="1">K119/K$669</f>
        <v>0</v>
      </c>
      <c r="M119" s="22">
        <f ca="1">L119*M$699</f>
        <v>0</v>
      </c>
      <c r="N119" s="2">
        <v>108081.16749401609</v>
      </c>
      <c r="O119" s="21">
        <f ca="1">N119/N$669</f>
        <v>3.8320628836450198E-3</v>
      </c>
      <c r="P119" s="22">
        <f ca="1">O119*P$699</f>
        <v>18635.152425986274</v>
      </c>
      <c r="Q119" s="2">
        <v>0</v>
      </c>
      <c r="R119" s="21">
        <f ca="1">Q119/Q$669</f>
        <v>0</v>
      </c>
      <c r="S119" s="22">
        <f ca="1">R119*S$699</f>
        <v>0</v>
      </c>
      <c r="T119" s="2">
        <v>0</v>
      </c>
      <c r="U119" s="21">
        <f ca="1">T119/T$669</f>
        <v>0</v>
      </c>
      <c r="V119" s="22">
        <f ca="1">U119*V$699</f>
        <v>0</v>
      </c>
      <c r="W119" s="2">
        <v>0</v>
      </c>
      <c r="X119" s="21">
        <f ca="1">W119/W$669</f>
        <v>0</v>
      </c>
      <c r="Y119" s="22">
        <f ca="1">X119*Y$699</f>
        <v>0</v>
      </c>
      <c r="Z119" s="2">
        <v>0</v>
      </c>
      <c r="AA119" s="21">
        <f ca="1">Z119/Z$669</f>
        <v>0</v>
      </c>
      <c r="AB119" s="22">
        <f ca="1">AA119*AB$699</f>
        <v>0</v>
      </c>
      <c r="AC119" s="2">
        <v>0</v>
      </c>
      <c r="AD119" s="21">
        <f ca="1">AC119/AC$669</f>
        <v>0</v>
      </c>
      <c r="AE119" s="22">
        <f ca="1">AD119*AE$699</f>
        <v>0</v>
      </c>
      <c r="AF119" s="2">
        <v>0</v>
      </c>
      <c r="AG119" s="21">
        <f ca="1">AF119/AF$669</f>
        <v>0</v>
      </c>
      <c r="AH119" s="22">
        <f ca="1">AG119*AH$699</f>
        <v>0</v>
      </c>
      <c r="AI119" s="2">
        <v>0</v>
      </c>
      <c r="AJ119" s="21">
        <f ca="1">AI119/AI$669</f>
        <v>0</v>
      </c>
      <c r="AK119" s="22">
        <f ca="1">AJ119*AK$699</f>
        <v>0</v>
      </c>
      <c r="AL119" s="2">
        <v>108081.16749401609</v>
      </c>
    </row>
    <row r="120" spans="1:38" ht="12.75" x14ac:dyDescent="0.2">
      <c r="A120" s="8" t="s">
        <v>16</v>
      </c>
      <c r="B120" s="8" t="s">
        <v>17</v>
      </c>
      <c r="C120" s="8" t="s">
        <v>18</v>
      </c>
      <c r="D120" s="8" t="s">
        <v>52</v>
      </c>
      <c r="E120" s="8" t="s">
        <v>67</v>
      </c>
      <c r="F120" s="23" t="s">
        <v>37</v>
      </c>
      <c r="G120" s="8" t="s">
        <v>476</v>
      </c>
      <c r="H120" s="20">
        <v>175665.35828409542</v>
      </c>
      <c r="I120" s="21">
        <f t="shared" ref="I120:I122" si="220">H120/H$649</f>
        <v>2.4793499763805559E-3</v>
      </c>
      <c r="J120" s="22">
        <f t="shared" ref="J120:J122" si="221">I120*J$679</f>
        <v>119389.39644309093</v>
      </c>
      <c r="K120" s="2">
        <v>534485.66769612709</v>
      </c>
      <c r="L120" s="21">
        <f t="shared" ref="L120:L122" ca="1" si="222">K120/K$649</f>
        <v>6.372223021380412E-3</v>
      </c>
      <c r="M120" s="22">
        <f t="shared" ref="M120:M122" ca="1" si="223">L120*M$679</f>
        <v>581990.14787233446</v>
      </c>
      <c r="N120" s="2">
        <v>919107.29735361738</v>
      </c>
      <c r="O120" s="21">
        <f t="shared" ref="O120:O122" ca="1" si="224">N120/N$649</f>
        <v>1.0297089120659676E-2</v>
      </c>
      <c r="P120" s="22">
        <f t="shared" ref="P120:P122" ca="1" si="225">O120*P$679</f>
        <v>2550661.0371002532</v>
      </c>
      <c r="Q120" s="2">
        <v>1321509.1612957448</v>
      </c>
      <c r="R120" s="21">
        <f t="shared" ref="R120:R122" ca="1" si="226">Q120/Q$649</f>
        <v>1.6776150905668138E-2</v>
      </c>
      <c r="S120" s="22">
        <f t="shared" ref="S120:S122" ca="1" si="227">R120*S$679</f>
        <v>4251148.0931492895</v>
      </c>
      <c r="T120" s="2">
        <v>590249.34093128785</v>
      </c>
      <c r="U120" s="21">
        <f t="shared" ref="U120:U122" ca="1" si="228">T120/T$649</f>
        <v>7.5951557641435932E-3</v>
      </c>
      <c r="V120" s="22">
        <f t="shared" ref="V120:V122" ca="1" si="229">U120*V$679</f>
        <v>1965062.3614952201</v>
      </c>
      <c r="W120" s="2">
        <v>199748.35943345685</v>
      </c>
      <c r="X120" s="21">
        <f t="shared" ref="X120:X122" ca="1" si="230">W120/W$649</f>
        <v>2.2460232490059211E-3</v>
      </c>
      <c r="Y120" s="22">
        <f t="shared" ref="Y120:Y122" ca="1" si="231">X120*Y$679</f>
        <v>592726.12759915239</v>
      </c>
      <c r="Z120" s="2">
        <v>1407112.4699353669</v>
      </c>
      <c r="AA120" s="21">
        <f t="shared" ref="AA120:AA122" ca="1" si="232">Z120/Z$649</f>
        <v>1.4568715472339561E-2</v>
      </c>
      <c r="AB120" s="22">
        <f t="shared" ref="AB120:AB122" ca="1" si="233">AA120*AB$679</f>
        <v>3913892.2357760379</v>
      </c>
      <c r="AC120" s="2">
        <v>604876.06023886881</v>
      </c>
      <c r="AD120" s="21">
        <f t="shared" ref="AD120:AD122" ca="1" si="234">AC120/AC$649</f>
        <v>6.1835701709991291E-3</v>
      </c>
      <c r="AE120" s="22">
        <f t="shared" ref="AE120:AE122" ca="1" si="235">AD120*AE$679</f>
        <v>1692782.1843211339</v>
      </c>
      <c r="AF120" s="2">
        <v>1235363.4715950012</v>
      </c>
      <c r="AG120" s="21">
        <f t="shared" ref="AG120:AG122" ca="1" si="236">AF120/AF$649</f>
        <v>1.2187368496168492E-2</v>
      </c>
      <c r="AH120" s="22">
        <f t="shared" ref="AH120:AH122" ca="1" si="237">AG120*AH$679</f>
        <v>3396405.2752572587</v>
      </c>
      <c r="AI120" s="2">
        <v>3358750.5350583876</v>
      </c>
      <c r="AJ120" s="21">
        <f t="shared" ref="AJ120:AJ122" ca="1" si="238">AI120/AI$649</f>
        <v>1.7534183985667202E-2</v>
      </c>
      <c r="AK120" s="22">
        <f t="shared" ref="AK120:AK122" ca="1" si="239">AJ120*AK$679</f>
        <v>4974425.1610892713</v>
      </c>
      <c r="AL120" s="2">
        <v>10346867.721821953</v>
      </c>
    </row>
    <row r="121" spans="1:38" ht="12.75" x14ac:dyDescent="0.2">
      <c r="A121" s="8" t="s">
        <v>16</v>
      </c>
      <c r="B121" s="8" t="s">
        <v>17</v>
      </c>
      <c r="C121" s="8" t="s">
        <v>18</v>
      </c>
      <c r="D121" s="8" t="s">
        <v>52</v>
      </c>
      <c r="E121" s="8" t="s">
        <v>68</v>
      </c>
      <c r="F121" s="23" t="s">
        <v>37</v>
      </c>
      <c r="G121" s="8" t="s">
        <v>477</v>
      </c>
      <c r="H121" s="20">
        <v>2578488.9062976395</v>
      </c>
      <c r="I121" s="21">
        <f t="shared" si="220"/>
        <v>3.6392926137363488E-2</v>
      </c>
      <c r="J121" s="22">
        <f t="shared" si="221"/>
        <v>1752447.0235060158</v>
      </c>
      <c r="K121" s="2">
        <v>3154730.3342648805</v>
      </c>
      <c r="L121" s="21">
        <f t="shared" ca="1" si="222"/>
        <v>3.7611196103538587E-2</v>
      </c>
      <c r="M121" s="22">
        <f t="shared" ca="1" si="223"/>
        <v>3435119.1897253953</v>
      </c>
      <c r="N121" s="2">
        <v>4198014.0005768519</v>
      </c>
      <c r="O121" s="21">
        <f t="shared" ca="1" si="224"/>
        <v>4.7031858432830635E-2</v>
      </c>
      <c r="P121" s="22">
        <f t="shared" ca="1" si="225"/>
        <v>11650120.475926382</v>
      </c>
      <c r="Q121" s="2">
        <v>2830396.0491572805</v>
      </c>
      <c r="R121" s="21">
        <f t="shared" ca="1" si="226"/>
        <v>3.5931004214085072E-2</v>
      </c>
      <c r="S121" s="22">
        <f t="shared" ca="1" si="227"/>
        <v>9105069.5066195466</v>
      </c>
      <c r="T121" s="2">
        <v>3654701.2999420031</v>
      </c>
      <c r="U121" s="21">
        <f t="shared" ca="1" si="228"/>
        <v>4.7027626664828341E-2</v>
      </c>
      <c r="V121" s="22">
        <f t="shared" ca="1" si="229"/>
        <v>12167257.91797152</v>
      </c>
      <c r="W121" s="2">
        <v>3769755.3539358773</v>
      </c>
      <c r="X121" s="21">
        <f t="shared" ca="1" si="230"/>
        <v>4.2388123697332115E-2</v>
      </c>
      <c r="Y121" s="22">
        <f t="shared" ca="1" si="231"/>
        <v>11186237.019778639</v>
      </c>
      <c r="Z121" s="2">
        <v>3846374.7928158501</v>
      </c>
      <c r="AA121" s="21">
        <f t="shared" ca="1" si="232"/>
        <v>3.9823923924920582E-2</v>
      </c>
      <c r="AB121" s="22">
        <f t="shared" ca="1" si="233"/>
        <v>10698715.81635412</v>
      </c>
      <c r="AC121" s="2">
        <v>3070048.429880308</v>
      </c>
      <c r="AD121" s="21">
        <f t="shared" ca="1" si="234"/>
        <v>3.1384710261195915E-2</v>
      </c>
      <c r="AE121" s="22">
        <f t="shared" ca="1" si="235"/>
        <v>8591715.9377280734</v>
      </c>
      <c r="AF121" s="2">
        <v>3534584.1267917994</v>
      </c>
      <c r="AG121" s="21">
        <f t="shared" ca="1" si="236"/>
        <v>3.4870125452472464E-2</v>
      </c>
      <c r="AH121" s="22">
        <f t="shared" ca="1" si="237"/>
        <v>9717690.7445518933</v>
      </c>
      <c r="AI121" s="2">
        <v>8674437.5371738095</v>
      </c>
      <c r="AJ121" s="21">
        <f t="shared" ca="1" si="238"/>
        <v>4.5284453894799133E-2</v>
      </c>
      <c r="AK121" s="22">
        <f t="shared" ca="1" si="239"/>
        <v>12847140.593745982</v>
      </c>
      <c r="AL121" s="2">
        <v>39311530.830836296</v>
      </c>
    </row>
    <row r="122" spans="1:38" ht="12.75" x14ac:dyDescent="0.2">
      <c r="A122" s="8" t="s">
        <v>16</v>
      </c>
      <c r="B122" s="8" t="s">
        <v>17</v>
      </c>
      <c r="C122" s="8" t="s">
        <v>18</v>
      </c>
      <c r="D122" s="8" t="s">
        <v>52</v>
      </c>
      <c r="E122" s="8" t="s">
        <v>478</v>
      </c>
      <c r="F122" s="23" t="s">
        <v>37</v>
      </c>
      <c r="G122" s="8" t="s">
        <v>479</v>
      </c>
      <c r="H122" s="20">
        <v>0</v>
      </c>
      <c r="I122" s="21">
        <f t="shared" si="220"/>
        <v>0</v>
      </c>
      <c r="J122" s="22">
        <f t="shared" si="221"/>
        <v>0</v>
      </c>
      <c r="K122" s="2">
        <v>0</v>
      </c>
      <c r="L122" s="21">
        <f t="shared" ca="1" si="222"/>
        <v>0</v>
      </c>
      <c r="M122" s="22">
        <f t="shared" ca="1" si="223"/>
        <v>0</v>
      </c>
      <c r="N122" s="2">
        <v>0</v>
      </c>
      <c r="O122" s="21">
        <f t="shared" ca="1" si="224"/>
        <v>0</v>
      </c>
      <c r="P122" s="22">
        <f t="shared" ca="1" si="225"/>
        <v>0</v>
      </c>
      <c r="Q122" s="2">
        <v>0</v>
      </c>
      <c r="R122" s="21">
        <f t="shared" ca="1" si="226"/>
        <v>0</v>
      </c>
      <c r="S122" s="22">
        <f t="shared" ca="1" si="227"/>
        <v>0</v>
      </c>
      <c r="T122" s="2">
        <v>0</v>
      </c>
      <c r="U122" s="21">
        <f t="shared" ca="1" si="228"/>
        <v>0</v>
      </c>
      <c r="V122" s="22">
        <f t="shared" ca="1" si="229"/>
        <v>0</v>
      </c>
      <c r="W122" s="2">
        <v>0</v>
      </c>
      <c r="X122" s="21">
        <f t="shared" ca="1" si="230"/>
        <v>0</v>
      </c>
      <c r="Y122" s="22">
        <f t="shared" ca="1" si="231"/>
        <v>0</v>
      </c>
      <c r="Z122" s="2">
        <v>0</v>
      </c>
      <c r="AA122" s="21">
        <f t="shared" ca="1" si="232"/>
        <v>0</v>
      </c>
      <c r="AB122" s="22">
        <f t="shared" ca="1" si="233"/>
        <v>0</v>
      </c>
      <c r="AC122" s="2">
        <v>0</v>
      </c>
      <c r="AD122" s="21">
        <f t="shared" ca="1" si="234"/>
        <v>0</v>
      </c>
      <c r="AE122" s="22">
        <f t="shared" ca="1" si="235"/>
        <v>0</v>
      </c>
      <c r="AF122" s="2">
        <v>0</v>
      </c>
      <c r="AG122" s="21">
        <f t="shared" ca="1" si="236"/>
        <v>0</v>
      </c>
      <c r="AH122" s="22">
        <f t="shared" ca="1" si="237"/>
        <v>0</v>
      </c>
      <c r="AI122" s="2">
        <v>0</v>
      </c>
      <c r="AJ122" s="21">
        <f t="shared" ca="1" si="238"/>
        <v>0</v>
      </c>
      <c r="AK122" s="22">
        <f t="shared" ca="1" si="239"/>
        <v>0</v>
      </c>
      <c r="AL122" s="2">
        <v>0</v>
      </c>
    </row>
    <row r="123" spans="1:38" ht="12.75" x14ac:dyDescent="0.2">
      <c r="A123" s="8" t="s">
        <v>16</v>
      </c>
      <c r="B123" s="8" t="s">
        <v>17</v>
      </c>
      <c r="C123" s="8" t="s">
        <v>18</v>
      </c>
      <c r="D123" s="8" t="s">
        <v>52</v>
      </c>
      <c r="E123" s="8" t="s">
        <v>478</v>
      </c>
      <c r="F123" s="8" t="s">
        <v>28</v>
      </c>
      <c r="G123" s="8" t="s">
        <v>480</v>
      </c>
      <c r="H123" s="20">
        <v>0</v>
      </c>
      <c r="I123" s="21">
        <f>H123/H$669</f>
        <v>0</v>
      </c>
      <c r="J123" s="22">
        <f>I123*J$699</f>
        <v>0</v>
      </c>
      <c r="K123" s="2">
        <v>0</v>
      </c>
      <c r="L123" s="21">
        <f ca="1">K123/K$669</f>
        <v>0</v>
      </c>
      <c r="M123" s="22">
        <f ca="1">L123*M$699</f>
        <v>0</v>
      </c>
      <c r="N123" s="2">
        <v>0</v>
      </c>
      <c r="O123" s="21">
        <f ca="1">N123/N$669</f>
        <v>0</v>
      </c>
      <c r="P123" s="22">
        <f ca="1">O123*P$699</f>
        <v>0</v>
      </c>
      <c r="Q123" s="2">
        <v>0</v>
      </c>
      <c r="R123" s="21">
        <f ca="1">Q123/Q$669</f>
        <v>0</v>
      </c>
      <c r="S123" s="22">
        <f ca="1">R123*S$699</f>
        <v>0</v>
      </c>
      <c r="T123" s="2">
        <v>0</v>
      </c>
      <c r="U123" s="21">
        <f ca="1">T123/T$669</f>
        <v>0</v>
      </c>
      <c r="V123" s="22">
        <f ca="1">U123*V$699</f>
        <v>0</v>
      </c>
      <c r="W123" s="2">
        <v>0</v>
      </c>
      <c r="X123" s="21">
        <f ca="1">W123/W$669</f>
        <v>0</v>
      </c>
      <c r="Y123" s="22">
        <f ca="1">X123*Y$699</f>
        <v>0</v>
      </c>
      <c r="Z123" s="2">
        <v>0</v>
      </c>
      <c r="AA123" s="21">
        <f ca="1">Z123/Z$669</f>
        <v>0</v>
      </c>
      <c r="AB123" s="22">
        <f ca="1">AA123*AB$699</f>
        <v>0</v>
      </c>
      <c r="AC123" s="2">
        <v>0</v>
      </c>
      <c r="AD123" s="21">
        <f ca="1">AC123/AC$669</f>
        <v>0</v>
      </c>
      <c r="AE123" s="22">
        <f ca="1">AD123*AE$699</f>
        <v>0</v>
      </c>
      <c r="AF123" s="2">
        <v>0</v>
      </c>
      <c r="AG123" s="21">
        <f ca="1">AF123/AF$669</f>
        <v>0</v>
      </c>
      <c r="AH123" s="22">
        <f ca="1">AG123*AH$699</f>
        <v>0</v>
      </c>
      <c r="AI123" s="2">
        <v>0</v>
      </c>
      <c r="AJ123" s="21">
        <f ca="1">AI123/AI$669</f>
        <v>0</v>
      </c>
      <c r="AK123" s="22">
        <f ca="1">AJ123*AK$699</f>
        <v>0</v>
      </c>
      <c r="AL123" s="2">
        <v>0</v>
      </c>
    </row>
    <row r="124" spans="1:38" ht="12.75" x14ac:dyDescent="0.2">
      <c r="A124" s="8" t="s">
        <v>16</v>
      </c>
      <c r="B124" s="8" t="s">
        <v>17</v>
      </c>
      <c r="C124" s="8" t="s">
        <v>18</v>
      </c>
      <c r="D124" s="8" t="s">
        <v>52</v>
      </c>
      <c r="E124" s="8" t="s">
        <v>69</v>
      </c>
      <c r="F124" s="23" t="s">
        <v>37</v>
      </c>
      <c r="G124" s="8" t="s">
        <v>481</v>
      </c>
      <c r="H124" s="20">
        <v>0</v>
      </c>
      <c r="I124" s="21">
        <f>H124/H$649</f>
        <v>0</v>
      </c>
      <c r="J124" s="22">
        <f>I124*J$679</f>
        <v>0</v>
      </c>
      <c r="K124" s="2">
        <v>0</v>
      </c>
      <c r="L124" s="21">
        <f ca="1">K124/K$649</f>
        <v>0</v>
      </c>
      <c r="M124" s="22">
        <f ca="1">L124*M$679</f>
        <v>0</v>
      </c>
      <c r="N124" s="2">
        <v>0</v>
      </c>
      <c r="O124" s="21">
        <f ca="1">N124/N$649</f>
        <v>0</v>
      </c>
      <c r="P124" s="22">
        <f ca="1">O124*P$679</f>
        <v>0</v>
      </c>
      <c r="Q124" s="2">
        <v>0</v>
      </c>
      <c r="R124" s="21">
        <f ca="1">Q124/Q$649</f>
        <v>0</v>
      </c>
      <c r="S124" s="22">
        <f ca="1">R124*S$679</f>
        <v>0</v>
      </c>
      <c r="T124" s="2">
        <v>0</v>
      </c>
      <c r="U124" s="21">
        <f ca="1">T124/T$649</f>
        <v>0</v>
      </c>
      <c r="V124" s="22">
        <f ca="1">U124*V$679</f>
        <v>0</v>
      </c>
      <c r="W124" s="2">
        <v>0</v>
      </c>
      <c r="X124" s="21">
        <f ca="1">W124/W$649</f>
        <v>0</v>
      </c>
      <c r="Y124" s="22">
        <f ca="1">X124*Y$679</f>
        <v>0</v>
      </c>
      <c r="Z124" s="2">
        <v>3590704.1173088481</v>
      </c>
      <c r="AA124" s="21">
        <f ca="1">Z124/Z$649</f>
        <v>3.7176805513516369E-2</v>
      </c>
      <c r="AB124" s="22">
        <f ca="1">AA124*AB$679</f>
        <v>9987566.2151936442</v>
      </c>
      <c r="AC124" s="2">
        <v>1297017.5366560786</v>
      </c>
      <c r="AD124" s="21">
        <f ca="1">AC124/AC$649</f>
        <v>1.325924346842571E-2</v>
      </c>
      <c r="AE124" s="22">
        <f ca="1">AD124*AE$679</f>
        <v>3629781.9059601258</v>
      </c>
      <c r="AF124" s="2">
        <v>930496.52350135986</v>
      </c>
      <c r="AG124" s="21">
        <f ca="1">AF124/AF$649</f>
        <v>9.1797307246531228E-3</v>
      </c>
      <c r="AH124" s="22">
        <f ca="1">AG124*AH$679</f>
        <v>2558229.5200522477</v>
      </c>
      <c r="AI124" s="2">
        <v>1327078.7532530981</v>
      </c>
      <c r="AJ124" s="21">
        <f ca="1">AI124/AI$649</f>
        <v>6.9279462050328084E-3</v>
      </c>
      <c r="AK124" s="22">
        <f ca="1">AJ124*AK$679</f>
        <v>1965449.3157570674</v>
      </c>
      <c r="AL124" s="2">
        <v>7145296.9307193849</v>
      </c>
    </row>
    <row r="125" spans="1:38" ht="12.75" x14ac:dyDescent="0.2">
      <c r="A125" s="8" t="s">
        <v>16</v>
      </c>
      <c r="B125" s="8" t="s">
        <v>17</v>
      </c>
      <c r="C125" s="8" t="s">
        <v>18</v>
      </c>
      <c r="D125" s="8" t="s">
        <v>52</v>
      </c>
      <c r="E125" s="8" t="s">
        <v>69</v>
      </c>
      <c r="F125" s="8" t="s">
        <v>28</v>
      </c>
      <c r="G125" s="8" t="s">
        <v>482</v>
      </c>
      <c r="H125" s="20">
        <v>0</v>
      </c>
      <c r="I125" s="21">
        <f>H125/H$669</f>
        <v>0</v>
      </c>
      <c r="J125" s="22">
        <f>I125*J$699</f>
        <v>0</v>
      </c>
      <c r="K125" s="2">
        <v>0</v>
      </c>
      <c r="L125" s="21">
        <f ca="1">K125/K$669</f>
        <v>0</v>
      </c>
      <c r="M125" s="22">
        <f ca="1">L125*M$699</f>
        <v>0</v>
      </c>
      <c r="N125" s="2">
        <v>0</v>
      </c>
      <c r="O125" s="21">
        <f ca="1">N125/N$669</f>
        <v>0</v>
      </c>
      <c r="P125" s="22">
        <f ca="1">O125*P$699</f>
        <v>0</v>
      </c>
      <c r="Q125" s="2">
        <v>0</v>
      </c>
      <c r="R125" s="21">
        <f ca="1">Q125/Q$669</f>
        <v>0</v>
      </c>
      <c r="S125" s="22">
        <f ca="1">R125*S$699</f>
        <v>0</v>
      </c>
      <c r="T125" s="2">
        <v>0</v>
      </c>
      <c r="U125" s="21">
        <f ca="1">T125/T$669</f>
        <v>0</v>
      </c>
      <c r="V125" s="22">
        <f ca="1">U125*V$699</f>
        <v>0</v>
      </c>
      <c r="W125" s="2">
        <v>0</v>
      </c>
      <c r="X125" s="21">
        <f ca="1">W125/W$669</f>
        <v>0</v>
      </c>
      <c r="Y125" s="22">
        <f ca="1">X125*Y$699</f>
        <v>0</v>
      </c>
      <c r="Z125" s="2">
        <v>0</v>
      </c>
      <c r="AA125" s="21">
        <f ca="1">Z125/Z$669</f>
        <v>0</v>
      </c>
      <c r="AB125" s="22">
        <f ca="1">AA125*AB$699</f>
        <v>0</v>
      </c>
      <c r="AC125" s="2">
        <v>110886.00119078481</v>
      </c>
      <c r="AD125" s="21">
        <f ca="1">AC125/AC$669</f>
        <v>3.5160958868497819E-3</v>
      </c>
      <c r="AE125" s="22">
        <f ca="1">AD125*AE$699</f>
        <v>18896.637913261766</v>
      </c>
      <c r="AF125" s="2">
        <v>0</v>
      </c>
      <c r="AG125" s="21">
        <f ca="1">AF125/AF$669</f>
        <v>0</v>
      </c>
      <c r="AH125" s="22">
        <f ca="1">AG125*AH$699</f>
        <v>0</v>
      </c>
      <c r="AI125" s="2">
        <v>0</v>
      </c>
      <c r="AJ125" s="21">
        <f ca="1">AI125/AI$669</f>
        <v>0</v>
      </c>
      <c r="AK125" s="22">
        <f ca="1">AJ125*AK$699</f>
        <v>0</v>
      </c>
      <c r="AL125" s="2">
        <v>110886.00119078481</v>
      </c>
    </row>
    <row r="126" spans="1:38" ht="12.75" x14ac:dyDescent="0.2">
      <c r="A126" s="8" t="s">
        <v>16</v>
      </c>
      <c r="B126" s="8" t="s">
        <v>17</v>
      </c>
      <c r="C126" s="8" t="s">
        <v>18</v>
      </c>
      <c r="D126" s="8" t="s">
        <v>52</v>
      </c>
      <c r="E126" s="8" t="s">
        <v>70</v>
      </c>
      <c r="F126" s="23" t="s">
        <v>37</v>
      </c>
      <c r="G126" s="8" t="s">
        <v>483</v>
      </c>
      <c r="H126" s="20">
        <v>0</v>
      </c>
      <c r="I126" s="21">
        <f>H126/H$649</f>
        <v>0</v>
      </c>
      <c r="J126" s="22">
        <f>I126*J$679</f>
        <v>0</v>
      </c>
      <c r="K126" s="2">
        <v>0</v>
      </c>
      <c r="L126" s="21">
        <f ca="1">K126/K$649</f>
        <v>0</v>
      </c>
      <c r="M126" s="22">
        <f ca="1">L126*M$679</f>
        <v>0</v>
      </c>
      <c r="N126" s="2">
        <v>0</v>
      </c>
      <c r="O126" s="21">
        <f ca="1">N126/N$649</f>
        <v>0</v>
      </c>
      <c r="P126" s="22">
        <f ca="1">O126*P$679</f>
        <v>0</v>
      </c>
      <c r="Q126" s="2">
        <v>0</v>
      </c>
      <c r="R126" s="21">
        <f ca="1">Q126/Q$649</f>
        <v>0</v>
      </c>
      <c r="S126" s="22">
        <f ca="1">R126*S$679</f>
        <v>0</v>
      </c>
      <c r="T126" s="2">
        <v>0</v>
      </c>
      <c r="U126" s="21">
        <f ca="1">T126/T$649</f>
        <v>0</v>
      </c>
      <c r="V126" s="22">
        <f ca="1">U126*V$679</f>
        <v>0</v>
      </c>
      <c r="W126" s="2">
        <v>0</v>
      </c>
      <c r="X126" s="21">
        <f ca="1">W126/W$649</f>
        <v>0</v>
      </c>
      <c r="Y126" s="22">
        <f ca="1">X126*Y$679</f>
        <v>0</v>
      </c>
      <c r="Z126" s="2">
        <v>7772530.636770241</v>
      </c>
      <c r="AA126" s="21">
        <f ca="1">Z126/Z$649</f>
        <v>8.0473870970917599E-2</v>
      </c>
      <c r="AB126" s="22">
        <f ca="1">AA126*AB$679</f>
        <v>21619343.131102916</v>
      </c>
      <c r="AC126" s="2">
        <v>1099694.6750344923</v>
      </c>
      <c r="AD126" s="21">
        <f ca="1">AC126/AC$649</f>
        <v>1.1242037231667749E-2</v>
      </c>
      <c r="AE126" s="22">
        <f ca="1">AD126*AE$679</f>
        <v>3077561.960967795</v>
      </c>
      <c r="AF126" s="2">
        <v>2620190.9410253516</v>
      </c>
      <c r="AG126" s="21">
        <f ca="1">AF126/AF$649</f>
        <v>2.5849260774538561E-2</v>
      </c>
      <c r="AH126" s="22">
        <f ca="1">AG126*AH$679</f>
        <v>7203734.3979337681</v>
      </c>
      <c r="AI126" s="2">
        <v>1555265.0551869422</v>
      </c>
      <c r="AJ126" s="21">
        <f ca="1">AI126/AI$649</f>
        <v>8.1191810286239795E-3</v>
      </c>
      <c r="AK126" s="22">
        <f ca="1">AJ126*AK$679</f>
        <v>2303401.08380521</v>
      </c>
      <c r="AL126" s="2">
        <v>13047681.308017028</v>
      </c>
    </row>
    <row r="127" spans="1:38" ht="12.75" x14ac:dyDescent="0.2">
      <c r="A127" s="8" t="s">
        <v>16</v>
      </c>
      <c r="B127" s="8" t="s">
        <v>17</v>
      </c>
      <c r="C127" s="8" t="s">
        <v>18</v>
      </c>
      <c r="D127" s="8" t="s">
        <v>52</v>
      </c>
      <c r="E127" s="8" t="s">
        <v>70</v>
      </c>
      <c r="F127" s="8" t="s">
        <v>28</v>
      </c>
      <c r="G127" s="8" t="s">
        <v>484</v>
      </c>
      <c r="H127" s="20">
        <v>0</v>
      </c>
      <c r="I127" s="21">
        <f>H127/H$669</f>
        <v>0</v>
      </c>
      <c r="J127" s="22">
        <f>I127*J$699</f>
        <v>0</v>
      </c>
      <c r="K127" s="2">
        <v>0</v>
      </c>
      <c r="L127" s="21">
        <f ca="1">K127/K$669</f>
        <v>0</v>
      </c>
      <c r="M127" s="22">
        <f ca="1">L127*M$699</f>
        <v>0</v>
      </c>
      <c r="N127" s="2">
        <v>0</v>
      </c>
      <c r="O127" s="21">
        <f ca="1">N127/N$669</f>
        <v>0</v>
      </c>
      <c r="P127" s="22">
        <f ca="1">O127*P$699</f>
        <v>0</v>
      </c>
      <c r="Q127" s="2">
        <v>0</v>
      </c>
      <c r="R127" s="21">
        <f ca="1">Q127/Q$669</f>
        <v>0</v>
      </c>
      <c r="S127" s="22">
        <f ca="1">R127*S$699</f>
        <v>0</v>
      </c>
      <c r="T127" s="2">
        <v>0</v>
      </c>
      <c r="U127" s="21">
        <f ca="1">T127/T$669</f>
        <v>0</v>
      </c>
      <c r="V127" s="22">
        <f ca="1">U127*V$699</f>
        <v>0</v>
      </c>
      <c r="W127" s="2">
        <v>0</v>
      </c>
      <c r="X127" s="21">
        <f ca="1">W127/W$669</f>
        <v>0</v>
      </c>
      <c r="Y127" s="22">
        <f ca="1">X127*Y$699</f>
        <v>0</v>
      </c>
      <c r="Z127" s="2">
        <v>0</v>
      </c>
      <c r="AA127" s="21">
        <f ca="1">Z127/Z$669</f>
        <v>0</v>
      </c>
      <c r="AB127" s="22">
        <f ca="1">AA127*AB$699</f>
        <v>0</v>
      </c>
      <c r="AC127" s="2">
        <v>110886.00119078481</v>
      </c>
      <c r="AD127" s="21">
        <f ca="1">AC127/AC$669</f>
        <v>3.5160958868497819E-3</v>
      </c>
      <c r="AE127" s="22">
        <f ca="1">AD127*AE$699</f>
        <v>18896.637913261766</v>
      </c>
      <c r="AF127" s="2">
        <v>0</v>
      </c>
      <c r="AG127" s="21">
        <f ca="1">AF127/AF$669</f>
        <v>0</v>
      </c>
      <c r="AH127" s="22">
        <f ca="1">AG127*AH$699</f>
        <v>0</v>
      </c>
      <c r="AI127" s="2">
        <v>0</v>
      </c>
      <c r="AJ127" s="21">
        <f ca="1">AI127/AI$669</f>
        <v>0</v>
      </c>
      <c r="AK127" s="22">
        <f ca="1">AJ127*AK$699</f>
        <v>0</v>
      </c>
      <c r="AL127" s="2">
        <v>110886.00119078481</v>
      </c>
    </row>
    <row r="128" spans="1:38" ht="12.75" x14ac:dyDescent="0.2">
      <c r="A128" s="8" t="s">
        <v>16</v>
      </c>
      <c r="B128" s="8" t="s">
        <v>17</v>
      </c>
      <c r="C128" s="8" t="s">
        <v>18</v>
      </c>
      <c r="D128" s="8" t="s">
        <v>52</v>
      </c>
      <c r="E128" s="8" t="s">
        <v>71</v>
      </c>
      <c r="F128" s="8" t="s">
        <v>21</v>
      </c>
      <c r="G128" s="8" t="s">
        <v>485</v>
      </c>
      <c r="H128" s="20">
        <v>80000</v>
      </c>
      <c r="I128" s="21">
        <f>H128/H$645</f>
        <v>5.2947973170546399E-3</v>
      </c>
      <c r="J128" s="22">
        <f>I128*J$675</f>
        <v>747.62538116811515</v>
      </c>
      <c r="K128" s="2">
        <v>80000</v>
      </c>
      <c r="L128" s="21">
        <f ca="1">K128/K$645</f>
        <v>5.2291222113429996E-3</v>
      </c>
      <c r="M128" s="22">
        <f ca="1">L128*M$675</f>
        <v>2256.1570693060507</v>
      </c>
      <c r="N128" s="2">
        <v>80000</v>
      </c>
      <c r="O128" s="21">
        <f ca="1">N128/N$645</f>
        <v>3.682509301779254E-3</v>
      </c>
      <c r="P128" s="22">
        <f ca="1">O128*P$675</f>
        <v>1630.1657053926647</v>
      </c>
      <c r="Q128" s="2">
        <v>80000</v>
      </c>
      <c r="R128" s="21">
        <f ca="1">Q128/Q$645</f>
        <v>3.1686666651385533E-3</v>
      </c>
      <c r="S128" s="22">
        <f ca="1">R128*S$675</f>
        <v>1434.960960074646</v>
      </c>
      <c r="T128" s="2">
        <v>80000</v>
      </c>
      <c r="U128" s="21">
        <f ca="1">T128/T$645</f>
        <v>3.8757521683199774E-3</v>
      </c>
      <c r="V128" s="22">
        <f ca="1">U128*V$675</f>
        <v>1792.0299797652406</v>
      </c>
      <c r="W128" s="2">
        <v>80000</v>
      </c>
      <c r="X128" s="21">
        <f ca="1">W128/W$645</f>
        <v>3.8702739138625256E-3</v>
      </c>
      <c r="Y128" s="22">
        <f ca="1">X128*Y$675</f>
        <v>1825.2869724341028</v>
      </c>
      <c r="Z128" s="2">
        <v>80000</v>
      </c>
      <c r="AA128" s="21">
        <f ca="1">Z128/Z$645</f>
        <v>3.8885514521567167E-3</v>
      </c>
      <c r="AB128" s="22">
        <f ca="1">AA128*AB$675</f>
        <v>1866.9172723442978</v>
      </c>
      <c r="AC128" s="2">
        <v>80000</v>
      </c>
      <c r="AD128" s="21">
        <f ca="1">AC128/AC$645</f>
        <v>3.3686555091761478E-3</v>
      </c>
      <c r="AE128" s="22">
        <f ca="1">AD128*AE$675</f>
        <v>1648.0410016818896</v>
      </c>
      <c r="AF128" s="2">
        <v>80000</v>
      </c>
      <c r="AG128" s="21">
        <f ca="1">AF128/AF$645</f>
        <v>3.667609787526734E-3</v>
      </c>
      <c r="AH128" s="22">
        <f ca="1">AG128*AH$675</f>
        <v>1826.5951797952425</v>
      </c>
      <c r="AI128" s="2">
        <v>80000</v>
      </c>
      <c r="AJ128" s="21">
        <f ca="1">AI128/AI$645</f>
        <v>3.137715225480522E-3</v>
      </c>
      <c r="AK128" s="22">
        <f ca="1">AJ128*AK$675</f>
        <v>1590.8179795689632</v>
      </c>
      <c r="AL128" s="2">
        <v>800000</v>
      </c>
    </row>
    <row r="129" spans="1:38" ht="12.75" x14ac:dyDescent="0.2">
      <c r="A129" s="8" t="s">
        <v>16</v>
      </c>
      <c r="B129" s="8" t="s">
        <v>17</v>
      </c>
      <c r="C129" s="8" t="s">
        <v>18</v>
      </c>
      <c r="D129" s="8" t="s">
        <v>52</v>
      </c>
      <c r="E129" s="8" t="s">
        <v>71</v>
      </c>
      <c r="F129" s="23" t="s">
        <v>37</v>
      </c>
      <c r="G129" s="8" t="s">
        <v>486</v>
      </c>
      <c r="H129" s="20">
        <v>100000</v>
      </c>
      <c r="I129" s="21">
        <f>H129/H$649</f>
        <v>1.4114051857457397E-3</v>
      </c>
      <c r="J129" s="22">
        <f>I129*J$679</f>
        <v>67964.109491643772</v>
      </c>
      <c r="K129" s="2">
        <v>100000</v>
      </c>
      <c r="L129" s="21">
        <f ca="1">K129/K$649</f>
        <v>1.1922158827658656E-3</v>
      </c>
      <c r="M129" s="22">
        <f ca="1">L129*M$679</f>
        <v>108887.88662584218</v>
      </c>
      <c r="N129" s="2">
        <v>100000</v>
      </c>
      <c r="O129" s="21">
        <f ca="1">N129/N$649</f>
        <v>1.1203359118470771E-3</v>
      </c>
      <c r="P129" s="22">
        <f ca="1">O129*P$679</f>
        <v>277515.04578892613</v>
      </c>
      <c r="Q129" s="2">
        <v>100000</v>
      </c>
      <c r="R129" s="21">
        <f ca="1">Q129/Q$649</f>
        <v>1.2694691340027532E-3</v>
      </c>
      <c r="S129" s="22">
        <f ca="1">R129*S$679</f>
        <v>321688.88553001196</v>
      </c>
      <c r="T129" s="2">
        <v>100000</v>
      </c>
      <c r="U129" s="21">
        <f ca="1">T129/T$649</f>
        <v>1.2867707318673246E-3</v>
      </c>
      <c r="V129" s="22">
        <f ca="1">U129*V$679</f>
        <v>332920.72099475277</v>
      </c>
      <c r="W129" s="2">
        <v>100000</v>
      </c>
      <c r="X129" s="21">
        <f ca="1">W129/W$649</f>
        <v>1.1244263809606656E-3</v>
      </c>
      <c r="Y129" s="22">
        <f ca="1">X129*Y$679</f>
        <v>296736.41840177926</v>
      </c>
      <c r="Z129" s="2">
        <v>100000</v>
      </c>
      <c r="AA129" s="21">
        <f ca="1">Z129/Z$649</f>
        <v>1.0353625444744121E-3</v>
      </c>
      <c r="AB129" s="22">
        <f ca="1">AA129*AB$679</f>
        <v>278150.63254722033</v>
      </c>
      <c r="AC129" s="2">
        <v>100000</v>
      </c>
      <c r="AD129" s="21">
        <f ca="1">AC129/AC$649</f>
        <v>1.0222871390474942E-3</v>
      </c>
      <c r="AE129" s="22">
        <f ca="1">AD129*AE$679</f>
        <v>279856.03921118076</v>
      </c>
      <c r="AF129" s="2">
        <v>100000</v>
      </c>
      <c r="AG129" s="21">
        <f ca="1">AF129/AF$649</f>
        <v>9.8654110926828286E-4</v>
      </c>
      <c r="AH129" s="22">
        <f ca="1">AG129*AH$679</f>
        <v>274931.65803843102</v>
      </c>
      <c r="AI129" s="2">
        <v>100000</v>
      </c>
      <c r="AJ129" s="21">
        <f ca="1">AI129/AI$649</f>
        <v>5.2204484383840653E-4</v>
      </c>
      <c r="AK129" s="22">
        <f ca="1">AJ129*AK$679</f>
        <v>148103.44231185355</v>
      </c>
      <c r="AL129" s="2">
        <v>1000000</v>
      </c>
    </row>
    <row r="130" spans="1:38" ht="12.75" x14ac:dyDescent="0.2">
      <c r="A130" s="8" t="s">
        <v>16</v>
      </c>
      <c r="B130" s="8" t="s">
        <v>17</v>
      </c>
      <c r="C130" s="8" t="s">
        <v>18</v>
      </c>
      <c r="D130" s="8" t="s">
        <v>52</v>
      </c>
      <c r="E130" s="8" t="s">
        <v>71</v>
      </c>
      <c r="F130" s="8" t="s">
        <v>27</v>
      </c>
      <c r="G130" s="8" t="s">
        <v>487</v>
      </c>
      <c r="H130" s="20">
        <v>1010000</v>
      </c>
      <c r="I130" s="21">
        <f>H130/H$657</f>
        <v>1.9802661771883244E-2</v>
      </c>
      <c r="J130" s="22">
        <f>I130*J$687</f>
        <v>205412.63430917123</v>
      </c>
      <c r="K130" s="2">
        <v>1010000</v>
      </c>
      <c r="L130" s="21">
        <f ca="1">K130/K$657</f>
        <v>2.5858760053287654E-2</v>
      </c>
      <c r="M130" s="22">
        <f ca="1">L130*M$687</f>
        <v>406151.88185620512</v>
      </c>
      <c r="N130" s="2">
        <v>1010000</v>
      </c>
      <c r="O130" s="21">
        <f ca="1">N130/N$657</f>
        <v>1.8260926420185866E-2</v>
      </c>
      <c r="P130" s="22">
        <f ca="1">O130*P$687</f>
        <v>294273.3550567053</v>
      </c>
      <c r="Q130" s="2">
        <v>1010000</v>
      </c>
      <c r="R130" s="21">
        <f ca="1">Q130/Q$657</f>
        <v>1.8286626257472537E-2</v>
      </c>
      <c r="S130" s="22">
        <f ca="1">R130*S$687</f>
        <v>301465.31861877447</v>
      </c>
      <c r="T130" s="2">
        <v>1010000</v>
      </c>
      <c r="U130" s="21">
        <f ca="1">T130/T$657</f>
        <v>2.61079284658077E-2</v>
      </c>
      <c r="V130" s="22">
        <f ca="1">U130*V$687</f>
        <v>439442.36593053851</v>
      </c>
      <c r="W130" s="2">
        <v>1010000</v>
      </c>
      <c r="X130" s="21">
        <f ca="1">W130/W$657</f>
        <v>2.5774347917676948E-2</v>
      </c>
      <c r="Y130" s="22">
        <f ca="1">X130*Y$687</f>
        <v>442504.17071124003</v>
      </c>
      <c r="Z130" s="2">
        <v>1010000</v>
      </c>
      <c r="AA130" s="21">
        <f ca="1">Z130/Z$657</f>
        <v>2.0822697648651165E-2</v>
      </c>
      <c r="AB130" s="22">
        <f ca="1">AA130*AB$687</f>
        <v>363927.14707155293</v>
      </c>
      <c r="AC130" s="2">
        <v>1010000</v>
      </c>
      <c r="AD130" s="21">
        <f ca="1">AC130/AC$657</f>
        <v>1.8387996709787933E-2</v>
      </c>
      <c r="AE130" s="22">
        <f ca="1">AD130*AE$687</f>
        <v>327480.96488377941</v>
      </c>
      <c r="AF130" s="2">
        <v>1010000</v>
      </c>
      <c r="AG130" s="21">
        <f ca="1">AF130/AF$657</f>
        <v>2.020909663309553E-2</v>
      </c>
      <c r="AH130" s="22">
        <f ca="1">AG130*AH$687</f>
        <v>366392.28688040853</v>
      </c>
      <c r="AI130" s="2">
        <v>1010000</v>
      </c>
      <c r="AJ130" s="21">
        <f ca="1">AI130/AI$657</f>
        <v>1.8200382603859235E-2</v>
      </c>
      <c r="AK130" s="22">
        <f ca="1">AJ130*AK$687</f>
        <v>335913.70074321533</v>
      </c>
      <c r="AL130" s="2">
        <v>10100000</v>
      </c>
    </row>
    <row r="131" spans="1:38" ht="12.75" x14ac:dyDescent="0.2">
      <c r="A131" s="8" t="s">
        <v>16</v>
      </c>
      <c r="B131" s="8" t="s">
        <v>17</v>
      </c>
      <c r="C131" s="8" t="s">
        <v>18</v>
      </c>
      <c r="D131" s="8" t="s">
        <v>52</v>
      </c>
      <c r="E131" s="8" t="s">
        <v>72</v>
      </c>
      <c r="F131" s="23" t="s">
        <v>37</v>
      </c>
      <c r="G131" s="8" t="s">
        <v>488</v>
      </c>
      <c r="H131" s="20">
        <v>0</v>
      </c>
      <c r="I131" s="21">
        <f t="shared" ref="I131:I132" si="240">H131/H$649</f>
        <v>0</v>
      </c>
      <c r="J131" s="22">
        <f t="shared" ref="J131:J132" si="241">I131*J$679</f>
        <v>0</v>
      </c>
      <c r="K131" s="2">
        <v>0</v>
      </c>
      <c r="L131" s="21">
        <f t="shared" ref="L131:L132" ca="1" si="242">K131/K$649</f>
        <v>0</v>
      </c>
      <c r="M131" s="22">
        <f t="shared" ref="M131:M132" ca="1" si="243">L131*M$679</f>
        <v>0</v>
      </c>
      <c r="N131" s="2">
        <v>0</v>
      </c>
      <c r="O131" s="21">
        <f t="shared" ref="O131:O132" ca="1" si="244">N131/N$649</f>
        <v>0</v>
      </c>
      <c r="P131" s="22">
        <f t="shared" ref="P131:P132" ca="1" si="245">O131*P$679</f>
        <v>0</v>
      </c>
      <c r="Q131" s="2">
        <v>0</v>
      </c>
      <c r="R131" s="21">
        <f t="shared" ref="R131:R132" ca="1" si="246">Q131/Q$649</f>
        <v>0</v>
      </c>
      <c r="S131" s="22">
        <f t="shared" ref="S131:S132" ca="1" si="247">R131*S$679</f>
        <v>0</v>
      </c>
      <c r="T131" s="2">
        <v>0</v>
      </c>
      <c r="U131" s="21">
        <f t="shared" ref="U131:U132" ca="1" si="248">T131/T$649</f>
        <v>0</v>
      </c>
      <c r="V131" s="22">
        <f t="shared" ref="V131:V132" ca="1" si="249">U131*V$679</f>
        <v>0</v>
      </c>
      <c r="W131" s="2">
        <v>0</v>
      </c>
      <c r="X131" s="21">
        <f t="shared" ref="X131:X132" ca="1" si="250">W131/W$649</f>
        <v>0</v>
      </c>
      <c r="Y131" s="22">
        <f t="shared" ref="Y131:Y132" ca="1" si="251">X131*Y$679</f>
        <v>0</v>
      </c>
      <c r="Z131" s="2">
        <v>0</v>
      </c>
      <c r="AA131" s="21">
        <f t="shared" ref="AA131:AA132" ca="1" si="252">Z131/Z$649</f>
        <v>0</v>
      </c>
      <c r="AB131" s="22">
        <f t="shared" ref="AB131:AB132" ca="1" si="253">AA131*AB$679</f>
        <v>0</v>
      </c>
      <c r="AC131" s="2">
        <v>528078.87032472051</v>
      </c>
      <c r="AD131" s="21">
        <f t="shared" ref="AD131:AD132" ca="1" si="254">AC131/AC$649</f>
        <v>5.3984823753569118E-3</v>
      </c>
      <c r="AE131" s="22">
        <f t="shared" ref="AE131:AE132" ca="1" si="255">AD131*AE$679</f>
        <v>1477860.61040191</v>
      </c>
      <c r="AF131" s="2">
        <v>1817497.4755388654</v>
      </c>
      <c r="AG131" s="21">
        <f t="shared" ref="AG131:AG132" ca="1" si="256">AF131/AF$649</f>
        <v>1.7930359756104158E-2</v>
      </c>
      <c r="AH131" s="22">
        <f t="shared" ref="AH131:AH132" ca="1" si="257">AG131*AH$679</f>
        <v>4996875.9443056295</v>
      </c>
      <c r="AI131" s="2">
        <v>1566213.1561807934</v>
      </c>
      <c r="AJ131" s="21">
        <f t="shared" ref="AJ131:AJ132" ca="1" si="258">AI131/AI$649</f>
        <v>8.1763350253606024E-3</v>
      </c>
      <c r="AK131" s="22">
        <f t="shared" ref="AK131:AK132" ca="1" si="259">AJ131*AK$679</f>
        <v>2319615.5982448822</v>
      </c>
      <c r="AL131" s="2">
        <v>3911789.5020443792</v>
      </c>
    </row>
    <row r="132" spans="1:38" ht="12.75" x14ac:dyDescent="0.2">
      <c r="A132" s="8" t="s">
        <v>16</v>
      </c>
      <c r="B132" s="8" t="s">
        <v>17</v>
      </c>
      <c r="C132" s="8" t="s">
        <v>18</v>
      </c>
      <c r="D132" s="8" t="s">
        <v>52</v>
      </c>
      <c r="E132" s="8" t="s">
        <v>73</v>
      </c>
      <c r="F132" s="23" t="s">
        <v>37</v>
      </c>
      <c r="G132" s="8" t="s">
        <v>489</v>
      </c>
      <c r="H132" s="20">
        <v>0</v>
      </c>
      <c r="I132" s="21">
        <f t="shared" si="240"/>
        <v>0</v>
      </c>
      <c r="J132" s="22">
        <f t="shared" si="241"/>
        <v>0</v>
      </c>
      <c r="K132" s="2">
        <v>0</v>
      </c>
      <c r="L132" s="21">
        <f t="shared" ca="1" si="242"/>
        <v>0</v>
      </c>
      <c r="M132" s="22">
        <f t="shared" ca="1" si="243"/>
        <v>0</v>
      </c>
      <c r="N132" s="2">
        <v>0</v>
      </c>
      <c r="O132" s="21">
        <f t="shared" ca="1" si="244"/>
        <v>0</v>
      </c>
      <c r="P132" s="22">
        <f t="shared" ca="1" si="245"/>
        <v>0</v>
      </c>
      <c r="Q132" s="2">
        <v>0</v>
      </c>
      <c r="R132" s="21">
        <f t="shared" ca="1" si="246"/>
        <v>0</v>
      </c>
      <c r="S132" s="22">
        <f t="shared" ca="1" si="247"/>
        <v>0</v>
      </c>
      <c r="T132" s="2">
        <v>0</v>
      </c>
      <c r="U132" s="21">
        <f t="shared" ca="1" si="248"/>
        <v>0</v>
      </c>
      <c r="V132" s="22">
        <f t="shared" ca="1" si="249"/>
        <v>0</v>
      </c>
      <c r="W132" s="2">
        <v>0</v>
      </c>
      <c r="X132" s="21">
        <f t="shared" ca="1" si="250"/>
        <v>0</v>
      </c>
      <c r="Y132" s="22">
        <f t="shared" ca="1" si="251"/>
        <v>0</v>
      </c>
      <c r="Z132" s="2">
        <v>0</v>
      </c>
      <c r="AA132" s="21">
        <f t="shared" ca="1" si="252"/>
        <v>0</v>
      </c>
      <c r="AB132" s="22">
        <f t="shared" ca="1" si="253"/>
        <v>0</v>
      </c>
      <c r="AC132" s="2">
        <v>549847.33751724614</v>
      </c>
      <c r="AD132" s="21">
        <f t="shared" ca="1" si="254"/>
        <v>5.6210186158338745E-3</v>
      </c>
      <c r="AE132" s="22">
        <f t="shared" ca="1" si="255"/>
        <v>1538780.9804838975</v>
      </c>
      <c r="AF132" s="2">
        <v>0</v>
      </c>
      <c r="AG132" s="21">
        <f t="shared" ca="1" si="256"/>
        <v>0</v>
      </c>
      <c r="AH132" s="22">
        <f t="shared" ca="1" si="257"/>
        <v>0</v>
      </c>
      <c r="AI132" s="2">
        <v>0</v>
      </c>
      <c r="AJ132" s="21">
        <f t="shared" ca="1" si="258"/>
        <v>0</v>
      </c>
      <c r="AK132" s="22">
        <f t="shared" ca="1" si="259"/>
        <v>0</v>
      </c>
      <c r="AL132" s="2">
        <v>549847.33751724614</v>
      </c>
    </row>
    <row r="133" spans="1:38" ht="12.75" x14ac:dyDescent="0.2">
      <c r="A133" s="8" t="s">
        <v>16</v>
      </c>
      <c r="B133" s="8" t="s">
        <v>17</v>
      </c>
      <c r="C133" s="8" t="s">
        <v>18</v>
      </c>
      <c r="D133" s="8" t="s">
        <v>74</v>
      </c>
      <c r="E133" s="8" t="s">
        <v>75</v>
      </c>
      <c r="F133" s="8" t="s">
        <v>21</v>
      </c>
      <c r="G133" s="8" t="s">
        <v>490</v>
      </c>
      <c r="H133" s="20">
        <v>500000</v>
      </c>
      <c r="I133" s="21">
        <f t="shared" ref="I133:I134" si="260">H133/H$645</f>
        <v>3.3092483231591495E-2</v>
      </c>
      <c r="J133" s="22">
        <f t="shared" ref="J133:J134" si="261">I133*J$675</f>
        <v>4672.6586323007186</v>
      </c>
      <c r="K133" s="2">
        <v>500000</v>
      </c>
      <c r="L133" s="21">
        <f t="shared" ref="L133:L134" ca="1" si="262">K133/K$645</f>
        <v>3.2682013820893745E-2</v>
      </c>
      <c r="M133" s="22">
        <f t="shared" ref="M133:M134" ca="1" si="263">L133*M$675</f>
        <v>14100.981683162816</v>
      </c>
      <c r="N133" s="2">
        <v>500000</v>
      </c>
      <c r="O133" s="21">
        <f t="shared" ref="O133:O134" ca="1" si="264">N133/N$645</f>
        <v>2.3015683136120336E-2</v>
      </c>
      <c r="P133" s="22">
        <f t="shared" ref="P133:P134" ca="1" si="265">O133*P$675</f>
        <v>10188.535658704153</v>
      </c>
      <c r="Q133" s="2">
        <v>500000</v>
      </c>
      <c r="R133" s="21">
        <f t="shared" ref="R133:R134" ca="1" si="266">Q133/Q$645</f>
        <v>1.980416665711596E-2</v>
      </c>
      <c r="S133" s="22">
        <f t="shared" ref="S133:S134" ca="1" si="267">R133*S$675</f>
        <v>8968.5060004665374</v>
      </c>
      <c r="T133" s="2">
        <v>500000</v>
      </c>
      <c r="U133" s="21">
        <f t="shared" ref="U133:U134" ca="1" si="268">T133/T$645</f>
        <v>2.4223451051999859E-2</v>
      </c>
      <c r="V133" s="22">
        <f t="shared" ref="V133:V134" ca="1" si="269">U133*V$675</f>
        <v>11200.187373532754</v>
      </c>
      <c r="W133" s="2">
        <v>500000</v>
      </c>
      <c r="X133" s="21">
        <f t="shared" ref="X133:X134" ca="1" si="270">W133/W$645</f>
        <v>2.4189211961640786E-2</v>
      </c>
      <c r="Y133" s="22">
        <f t="shared" ref="Y133:Y134" ca="1" si="271">X133*Y$675</f>
        <v>11408.043577713142</v>
      </c>
      <c r="Z133" s="2">
        <v>500000</v>
      </c>
      <c r="AA133" s="21">
        <f t="shared" ref="AA133:AA134" ca="1" si="272">Z133/Z$645</f>
        <v>2.4303446575979479E-2</v>
      </c>
      <c r="AB133" s="22">
        <f t="shared" ref="AB133:AB134" ca="1" si="273">AA133*AB$675</f>
        <v>11668.23295215186</v>
      </c>
      <c r="AC133" s="2">
        <v>500000</v>
      </c>
      <c r="AD133" s="21">
        <f t="shared" ref="AD133:AD134" ca="1" si="274">AC133/AC$645</f>
        <v>2.1054096932350923E-2</v>
      </c>
      <c r="AE133" s="22">
        <f t="shared" ref="AE133:AE134" ca="1" si="275">AD133*AE$675</f>
        <v>10300.256260511809</v>
      </c>
      <c r="AF133" s="2">
        <v>1063582.8801887573</v>
      </c>
      <c r="AG133" s="21">
        <f t="shared" ref="AG133:AG134" ca="1" si="276">AF133/AF$645</f>
        <v>4.8760087265326997E-2</v>
      </c>
      <c r="AH133" s="22">
        <f t="shared" ref="AH133:AH134" ca="1" si="277">AG133*AH$675</f>
        <v>24284.192028319063</v>
      </c>
      <c r="AI133" s="2">
        <v>500000</v>
      </c>
      <c r="AJ133" s="21">
        <f t="shared" ref="AJ133:AJ134" ca="1" si="278">AI133/AI$645</f>
        <v>1.9610720159253262E-2</v>
      </c>
      <c r="AK133" s="22">
        <f t="shared" ref="AK133:AK134" ca="1" si="279">AJ133*AK$675</f>
        <v>9942.6123723060191</v>
      </c>
      <c r="AL133" s="2">
        <v>5563582.8801887576</v>
      </c>
    </row>
    <row r="134" spans="1:38" ht="12.75" x14ac:dyDescent="0.2">
      <c r="A134" s="8" t="s">
        <v>16</v>
      </c>
      <c r="B134" s="8" t="s">
        <v>17</v>
      </c>
      <c r="C134" s="8" t="s">
        <v>18</v>
      </c>
      <c r="D134" s="8" t="s">
        <v>74</v>
      </c>
      <c r="E134" s="8" t="s">
        <v>75</v>
      </c>
      <c r="F134" s="8" t="s">
        <v>21</v>
      </c>
      <c r="G134" s="8" t="s">
        <v>491</v>
      </c>
      <c r="H134" s="20">
        <v>0</v>
      </c>
      <c r="I134" s="21">
        <f t="shared" si="260"/>
        <v>0</v>
      </c>
      <c r="J134" s="22">
        <f t="shared" si="261"/>
        <v>0</v>
      </c>
      <c r="K134" s="2">
        <v>0</v>
      </c>
      <c r="L134" s="21">
        <f t="shared" ca="1" si="262"/>
        <v>0</v>
      </c>
      <c r="M134" s="22">
        <f t="shared" ca="1" si="263"/>
        <v>0</v>
      </c>
      <c r="N134" s="2">
        <v>0</v>
      </c>
      <c r="O134" s="21">
        <f t="shared" ca="1" si="264"/>
        <v>0</v>
      </c>
      <c r="P134" s="22">
        <f t="shared" ca="1" si="265"/>
        <v>0</v>
      </c>
      <c r="Q134" s="2">
        <v>0</v>
      </c>
      <c r="R134" s="21">
        <f t="shared" ca="1" si="266"/>
        <v>0</v>
      </c>
      <c r="S134" s="22">
        <f t="shared" ca="1" si="267"/>
        <v>0</v>
      </c>
      <c r="T134" s="2">
        <v>0</v>
      </c>
      <c r="U134" s="21">
        <f t="shared" ca="1" si="268"/>
        <v>0</v>
      </c>
      <c r="V134" s="22">
        <f t="shared" ca="1" si="269"/>
        <v>0</v>
      </c>
      <c r="W134" s="2">
        <v>0</v>
      </c>
      <c r="X134" s="21">
        <f t="shared" ca="1" si="270"/>
        <v>0</v>
      </c>
      <c r="Y134" s="22">
        <f t="shared" ca="1" si="271"/>
        <v>0</v>
      </c>
      <c r="Z134" s="2">
        <v>0</v>
      </c>
      <c r="AA134" s="21">
        <f t="shared" ca="1" si="272"/>
        <v>0</v>
      </c>
      <c r="AB134" s="22">
        <f t="shared" ca="1" si="273"/>
        <v>0</v>
      </c>
      <c r="AC134" s="2">
        <v>0</v>
      </c>
      <c r="AD134" s="21">
        <f t="shared" ca="1" si="274"/>
        <v>0</v>
      </c>
      <c r="AE134" s="22">
        <f t="shared" ca="1" si="275"/>
        <v>0</v>
      </c>
      <c r="AF134" s="2">
        <v>21580.68582760384</v>
      </c>
      <c r="AG134" s="21">
        <f t="shared" ca="1" si="276"/>
        <v>9.8936918203574144E-4</v>
      </c>
      <c r="AH134" s="22">
        <f t="shared" ca="1" si="277"/>
        <v>492.73970886720849</v>
      </c>
      <c r="AI134" s="2">
        <v>0</v>
      </c>
      <c r="AJ134" s="21">
        <f t="shared" ca="1" si="278"/>
        <v>0</v>
      </c>
      <c r="AK134" s="22">
        <f t="shared" ca="1" si="279"/>
        <v>0</v>
      </c>
      <c r="AL134" s="2">
        <v>21580.68582760384</v>
      </c>
    </row>
    <row r="135" spans="1:38" ht="12.75" x14ac:dyDescent="0.2">
      <c r="A135" s="8" t="s">
        <v>16</v>
      </c>
      <c r="B135" s="8" t="s">
        <v>17</v>
      </c>
      <c r="C135" s="8" t="s">
        <v>18</v>
      </c>
      <c r="D135" s="8" t="s">
        <v>74</v>
      </c>
      <c r="E135" s="8" t="s">
        <v>75</v>
      </c>
      <c r="F135" s="8" t="s">
        <v>24</v>
      </c>
      <c r="G135" s="8" t="s">
        <v>492</v>
      </c>
      <c r="H135" s="20">
        <v>266281.13445341249</v>
      </c>
      <c r="I135" s="21">
        <f t="shared" ref="I135:I136" si="280">H135/H$646</f>
        <v>3.2430161449092769E-3</v>
      </c>
      <c r="J135" s="22">
        <f t="shared" ref="J135:J136" si="281">I135*J$676</f>
        <v>6977.8032580325962</v>
      </c>
      <c r="K135" s="2">
        <v>226740.06446451339</v>
      </c>
      <c r="L135" s="21">
        <f t="shared" ref="L135:L136" ca="1" si="282">K135/K$646</f>
        <v>3.5901429867764879E-3</v>
      </c>
      <c r="M135" s="22">
        <f t="shared" ref="M135:M136" ca="1" si="283">L135*M$676</f>
        <v>13958.523681488708</v>
      </c>
      <c r="N135" s="2">
        <v>732706.55902144406</v>
      </c>
      <c r="O135" s="21">
        <f t="shared" ref="O135:O136" ca="1" si="284">N135/N$646</f>
        <v>7.8163862732409106E-3</v>
      </c>
      <c r="P135" s="22">
        <f t="shared" ref="P135:P136" ca="1" si="285">O135*P$676</f>
        <v>132793.38093175448</v>
      </c>
      <c r="Q135" s="2">
        <v>291190.870372665</v>
      </c>
      <c r="R135" s="21">
        <f t="shared" ref="R135:R136" ca="1" si="286">Q135/Q$646</f>
        <v>2.6180920030307443E-3</v>
      </c>
      <c r="S135" s="22">
        <f t="shared" ref="S135:S136" ca="1" si="287">R135*S$676</f>
        <v>45502.048864604047</v>
      </c>
      <c r="T135" s="2">
        <v>137393.64519116792</v>
      </c>
      <c r="U135" s="21">
        <f t="shared" ref="U135:U136" ca="1" si="288">T135/T$646</f>
        <v>1.6376448277842044E-3</v>
      </c>
      <c r="V135" s="22">
        <f t="shared" ref="V135:V136" ca="1" si="289">U135*V$676</f>
        <v>29059.725548473605</v>
      </c>
      <c r="W135" s="2">
        <v>310316.21546296991</v>
      </c>
      <c r="X135" s="21">
        <f t="shared" ref="X135:X136" ca="1" si="290">W135/W$646</f>
        <v>3.5502504285865122E-3</v>
      </c>
      <c r="Y135" s="22">
        <f t="shared" ref="Y135:Y136" ca="1" si="291">X135*Y$676</f>
        <v>64258.554343900258</v>
      </c>
      <c r="Z135" s="2">
        <v>583915.15819678991</v>
      </c>
      <c r="AA135" s="21">
        <f t="shared" ref="AA135:AA136" ca="1" si="292">Z135/Z$646</f>
        <v>5.030901939477337E-3</v>
      </c>
      <c r="AB135" s="22">
        <f t="shared" ref="AB135:AB136" ca="1" si="293">AA135*AB$676</f>
        <v>92696.981536882391</v>
      </c>
      <c r="AC135" s="2">
        <v>267110.03043538751</v>
      </c>
      <c r="AD135" s="21">
        <f t="shared" ref="AD135:AD136" ca="1" si="294">AC135/AC$646</f>
        <v>2.5672349338355669E-3</v>
      </c>
      <c r="AE135" s="22">
        <f t="shared" ref="AE135:AE136" ca="1" si="295">AD135*AE$676</f>
        <v>48201.387314177984</v>
      </c>
      <c r="AF135" s="2">
        <v>445018.31108563236</v>
      </c>
      <c r="AG135" s="21">
        <f t="shared" ref="AG135:AG136" ca="1" si="296">AF135/AF$646</f>
        <v>4.7275117185809883E-3</v>
      </c>
      <c r="AH135" s="22">
        <f t="shared" ref="AH135:AH136" ca="1" si="297">AG135*AH$676</f>
        <v>90359.603466861765</v>
      </c>
      <c r="AI135" s="2">
        <v>246615.59109674502</v>
      </c>
      <c r="AJ135" s="21">
        <f t="shared" ref="AJ135:AJ136" ca="1" si="298">AI135/AI$646</f>
        <v>1.9960981232142556E-3</v>
      </c>
      <c r="AK135" s="22">
        <f t="shared" ref="AK135:AK136" ca="1" si="299">AJ135*AK$676</f>
        <v>38839.297545693116</v>
      </c>
      <c r="AL135" s="2">
        <v>3507287.5797807276</v>
      </c>
    </row>
    <row r="136" spans="1:38" ht="12.75" x14ac:dyDescent="0.2">
      <c r="A136" s="8" t="s">
        <v>16</v>
      </c>
      <c r="B136" s="8" t="s">
        <v>17</v>
      </c>
      <c r="C136" s="8" t="s">
        <v>18</v>
      </c>
      <c r="D136" s="8" t="s">
        <v>74</v>
      </c>
      <c r="E136" s="8" t="s">
        <v>75</v>
      </c>
      <c r="F136" s="8" t="s">
        <v>24</v>
      </c>
      <c r="G136" s="8" t="s">
        <v>493</v>
      </c>
      <c r="H136" s="20">
        <v>0</v>
      </c>
      <c r="I136" s="21">
        <f t="shared" si="280"/>
        <v>0</v>
      </c>
      <c r="J136" s="22">
        <f t="shared" si="281"/>
        <v>0</v>
      </c>
      <c r="K136" s="2">
        <v>0</v>
      </c>
      <c r="L136" s="21">
        <f t="shared" ca="1" si="282"/>
        <v>0</v>
      </c>
      <c r="M136" s="22">
        <f t="shared" ca="1" si="283"/>
        <v>0</v>
      </c>
      <c r="N136" s="2">
        <v>0</v>
      </c>
      <c r="O136" s="21">
        <f t="shared" ca="1" si="284"/>
        <v>0</v>
      </c>
      <c r="P136" s="22">
        <f t="shared" ca="1" si="285"/>
        <v>0</v>
      </c>
      <c r="Q136" s="2">
        <v>0</v>
      </c>
      <c r="R136" s="21">
        <f t="shared" ca="1" si="286"/>
        <v>0</v>
      </c>
      <c r="S136" s="22">
        <f t="shared" ca="1" si="287"/>
        <v>0</v>
      </c>
      <c r="T136" s="2">
        <v>0</v>
      </c>
      <c r="U136" s="21">
        <f t="shared" ca="1" si="288"/>
        <v>0</v>
      </c>
      <c r="V136" s="22">
        <f t="shared" ca="1" si="289"/>
        <v>0</v>
      </c>
      <c r="W136" s="2">
        <v>144125.32531726366</v>
      </c>
      <c r="X136" s="21">
        <f t="shared" ca="1" si="290"/>
        <v>1.6489019022560385E-3</v>
      </c>
      <c r="Y136" s="22">
        <f t="shared" ca="1" si="291"/>
        <v>29844.670009959053</v>
      </c>
      <c r="Z136" s="2">
        <v>0</v>
      </c>
      <c r="AA136" s="21">
        <f t="shared" ca="1" si="292"/>
        <v>0</v>
      </c>
      <c r="AB136" s="22">
        <f t="shared" ca="1" si="293"/>
        <v>0</v>
      </c>
      <c r="AC136" s="2">
        <v>392542.79436379386</v>
      </c>
      <c r="AD136" s="21">
        <f t="shared" ca="1" si="294"/>
        <v>3.7727882141810175E-3</v>
      </c>
      <c r="AE136" s="22">
        <f t="shared" ca="1" si="295"/>
        <v>70836.378692622195</v>
      </c>
      <c r="AF136" s="2">
        <v>35569.482569109634</v>
      </c>
      <c r="AG136" s="21">
        <f t="shared" ca="1" si="296"/>
        <v>3.7786118341762089E-4</v>
      </c>
      <c r="AH136" s="22">
        <f t="shared" ca="1" si="297"/>
        <v>7222.2743658018553</v>
      </c>
      <c r="AI136" s="2">
        <v>0</v>
      </c>
      <c r="AJ136" s="21">
        <f t="shared" ca="1" si="298"/>
        <v>0</v>
      </c>
      <c r="AK136" s="22">
        <f t="shared" ca="1" si="299"/>
        <v>0</v>
      </c>
      <c r="AL136" s="2">
        <v>572237.60225016717</v>
      </c>
    </row>
    <row r="137" spans="1:38" ht="12.75" x14ac:dyDescent="0.2">
      <c r="A137" s="8" t="s">
        <v>16</v>
      </c>
      <c r="B137" s="8" t="s">
        <v>17</v>
      </c>
      <c r="C137" s="8" t="s">
        <v>18</v>
      </c>
      <c r="D137" s="8" t="s">
        <v>74</v>
      </c>
      <c r="E137" s="8" t="s">
        <v>75</v>
      </c>
      <c r="F137" s="23" t="s">
        <v>37</v>
      </c>
      <c r="G137" s="8" t="s">
        <v>494</v>
      </c>
      <c r="H137" s="20">
        <v>0</v>
      </c>
      <c r="I137" s="21">
        <f t="shared" ref="I137:I138" si="300">H137/H$649</f>
        <v>0</v>
      </c>
      <c r="J137" s="22">
        <f t="shared" ref="J137:J138" si="301">I137*J$679</f>
        <v>0</v>
      </c>
      <c r="K137" s="2">
        <v>0</v>
      </c>
      <c r="L137" s="21">
        <f t="shared" ref="L137:L138" ca="1" si="302">K137/K$649</f>
        <v>0</v>
      </c>
      <c r="M137" s="22">
        <f t="shared" ref="M137:M138" ca="1" si="303">L137*M$679</f>
        <v>0</v>
      </c>
      <c r="N137" s="2">
        <v>0</v>
      </c>
      <c r="O137" s="21">
        <f t="shared" ref="O137:O138" ca="1" si="304">N137/N$649</f>
        <v>0</v>
      </c>
      <c r="P137" s="22">
        <f t="shared" ref="P137:P138" ca="1" si="305">O137*P$679</f>
        <v>0</v>
      </c>
      <c r="Q137" s="2">
        <v>0</v>
      </c>
      <c r="R137" s="21">
        <f t="shared" ref="R137:R138" ca="1" si="306">Q137/Q$649</f>
        <v>0</v>
      </c>
      <c r="S137" s="22">
        <f t="shared" ref="S137:S138" ca="1" si="307">R137*S$679</f>
        <v>0</v>
      </c>
      <c r="T137" s="2">
        <v>0</v>
      </c>
      <c r="U137" s="21">
        <f t="shared" ref="U137:U138" ca="1" si="308">T137/T$649</f>
        <v>0</v>
      </c>
      <c r="V137" s="22">
        <f t="shared" ref="V137:V138" ca="1" si="309">U137*V$679</f>
        <v>0</v>
      </c>
      <c r="W137" s="2">
        <v>120104.43776438637</v>
      </c>
      <c r="X137" s="21">
        <f t="shared" ref="X137:X138" ca="1" si="310">W137/W$649</f>
        <v>1.3504859829272446E-3</v>
      </c>
      <c r="Y137" s="22">
        <f t="shared" ref="Y137:Y138" ca="1" si="311">X137*Y$679</f>
        <v>356393.60696363408</v>
      </c>
      <c r="Z137" s="2">
        <v>0</v>
      </c>
      <c r="AA137" s="21">
        <f t="shared" ref="AA137:AA138" ca="1" si="312">Z137/Z$649</f>
        <v>0</v>
      </c>
      <c r="AB137" s="22">
        <f t="shared" ref="AB137:AB138" ca="1" si="313">AA137*AB$679</f>
        <v>0</v>
      </c>
      <c r="AC137" s="2">
        <v>0</v>
      </c>
      <c r="AD137" s="21">
        <f t="shared" ref="AD137:AD138" ca="1" si="314">AC137/AC$649</f>
        <v>0</v>
      </c>
      <c r="AE137" s="22">
        <f t="shared" ref="AE137:AE138" ca="1" si="315">AD137*AE$679</f>
        <v>0</v>
      </c>
      <c r="AF137" s="2">
        <v>0</v>
      </c>
      <c r="AG137" s="21">
        <f t="shared" ref="AG137:AG138" ca="1" si="316">AF137/AF$649</f>
        <v>0</v>
      </c>
      <c r="AH137" s="22">
        <f t="shared" ref="AH137:AH138" ca="1" si="317">AG137*AH$679</f>
        <v>0</v>
      </c>
      <c r="AI137" s="2">
        <v>0</v>
      </c>
      <c r="AJ137" s="21">
        <f t="shared" ref="AJ137:AJ138" ca="1" si="318">AI137/AI$649</f>
        <v>0</v>
      </c>
      <c r="AK137" s="22">
        <f t="shared" ref="AK137:AK138" ca="1" si="319">AJ137*AK$679</f>
        <v>0</v>
      </c>
      <c r="AL137" s="2">
        <v>120104.43776438637</v>
      </c>
    </row>
    <row r="138" spans="1:38" ht="12.75" x14ac:dyDescent="0.2">
      <c r="A138" s="8" t="s">
        <v>16</v>
      </c>
      <c r="B138" s="8" t="s">
        <v>17</v>
      </c>
      <c r="C138" s="8" t="s">
        <v>18</v>
      </c>
      <c r="D138" s="8" t="s">
        <v>74</v>
      </c>
      <c r="E138" s="8" t="s">
        <v>75</v>
      </c>
      <c r="F138" s="23" t="s">
        <v>37</v>
      </c>
      <c r="G138" s="8" t="s">
        <v>495</v>
      </c>
      <c r="H138" s="20">
        <v>0</v>
      </c>
      <c r="I138" s="21">
        <f t="shared" si="300"/>
        <v>0</v>
      </c>
      <c r="J138" s="22">
        <f t="shared" si="301"/>
        <v>0</v>
      </c>
      <c r="K138" s="2">
        <v>0</v>
      </c>
      <c r="L138" s="21">
        <f t="shared" ca="1" si="302"/>
        <v>0</v>
      </c>
      <c r="M138" s="22">
        <f t="shared" ca="1" si="303"/>
        <v>0</v>
      </c>
      <c r="N138" s="2">
        <v>0</v>
      </c>
      <c r="O138" s="21">
        <f t="shared" ca="1" si="304"/>
        <v>0</v>
      </c>
      <c r="P138" s="22">
        <f t="shared" ca="1" si="305"/>
        <v>0</v>
      </c>
      <c r="Q138" s="2">
        <v>0</v>
      </c>
      <c r="R138" s="21">
        <f t="shared" ca="1" si="306"/>
        <v>0</v>
      </c>
      <c r="S138" s="22">
        <f t="shared" ca="1" si="307"/>
        <v>0</v>
      </c>
      <c r="T138" s="2">
        <v>0</v>
      </c>
      <c r="U138" s="21">
        <f t="shared" ca="1" si="308"/>
        <v>0</v>
      </c>
      <c r="V138" s="22">
        <f t="shared" ca="1" si="309"/>
        <v>0</v>
      </c>
      <c r="W138" s="2">
        <v>0</v>
      </c>
      <c r="X138" s="21">
        <f t="shared" ca="1" si="310"/>
        <v>0</v>
      </c>
      <c r="Y138" s="22">
        <f t="shared" ca="1" si="311"/>
        <v>0</v>
      </c>
      <c r="Z138" s="2">
        <v>0</v>
      </c>
      <c r="AA138" s="21">
        <f t="shared" ca="1" si="312"/>
        <v>0</v>
      </c>
      <c r="AB138" s="22">
        <f t="shared" ca="1" si="313"/>
        <v>0</v>
      </c>
      <c r="AC138" s="2">
        <v>0</v>
      </c>
      <c r="AD138" s="21">
        <f t="shared" ca="1" si="314"/>
        <v>0</v>
      </c>
      <c r="AE138" s="22">
        <f t="shared" ca="1" si="315"/>
        <v>0</v>
      </c>
      <c r="AF138" s="2">
        <v>0</v>
      </c>
      <c r="AG138" s="21">
        <f t="shared" ca="1" si="316"/>
        <v>0</v>
      </c>
      <c r="AH138" s="22">
        <f t="shared" ca="1" si="317"/>
        <v>0</v>
      </c>
      <c r="AI138" s="2">
        <v>0</v>
      </c>
      <c r="AJ138" s="21">
        <f t="shared" ca="1" si="318"/>
        <v>0</v>
      </c>
      <c r="AK138" s="22">
        <f t="shared" ca="1" si="319"/>
        <v>0</v>
      </c>
      <c r="AL138" s="2">
        <v>0</v>
      </c>
    </row>
    <row r="139" spans="1:38" ht="12.75" x14ac:dyDescent="0.2">
      <c r="A139" s="8" t="s">
        <v>16</v>
      </c>
      <c r="B139" s="8" t="s">
        <v>17</v>
      </c>
      <c r="C139" s="8" t="s">
        <v>18</v>
      </c>
      <c r="D139" s="8" t="s">
        <v>74</v>
      </c>
      <c r="E139" s="8" t="s">
        <v>75</v>
      </c>
      <c r="F139" s="8" t="s">
        <v>25</v>
      </c>
      <c r="G139" s="8" t="s">
        <v>496</v>
      </c>
      <c r="H139" s="20">
        <v>0</v>
      </c>
      <c r="I139" s="21">
        <f>H139/H$652</f>
        <v>0</v>
      </c>
      <c r="J139" s="22">
        <f>I139*J$682</f>
        <v>0</v>
      </c>
      <c r="K139" s="2">
        <v>50115.738289817993</v>
      </c>
      <c r="L139" s="21">
        <f ca="1">K139/K$652</f>
        <v>2.2308220503034744E-3</v>
      </c>
      <c r="M139" s="22">
        <f ca="1">L139*M$682</f>
        <v>80461.519485016892</v>
      </c>
      <c r="N139" s="2">
        <v>895558.91626197053</v>
      </c>
      <c r="O139" s="21">
        <f ca="1">N139/N$652</f>
        <v>1.7945420912762987E-2</v>
      </c>
      <c r="P139" s="22">
        <f ca="1">O139*P$682</f>
        <v>664085.97943213733</v>
      </c>
      <c r="Q139" s="2">
        <v>0</v>
      </c>
      <c r="R139" s="21">
        <f ca="1">Q139/Q$652</f>
        <v>0</v>
      </c>
      <c r="S139" s="22">
        <f ca="1">R139*S$682</f>
        <v>0</v>
      </c>
      <c r="T139" s="2">
        <v>46742.056488959897</v>
      </c>
      <c r="U139" s="21">
        <f ca="1">T139/T$652</f>
        <v>1.0653526164758735E-3</v>
      </c>
      <c r="V139" s="22">
        <f ca="1">U139*V$682</f>
        <v>41178.01568152706</v>
      </c>
      <c r="W139" s="2">
        <v>70060.922029225389</v>
      </c>
      <c r="X139" s="21">
        <f ca="1">W139/W$652</f>
        <v>1.520825603076241E-3</v>
      </c>
      <c r="Y139" s="22">
        <f ca="1">X139*Y$682</f>
        <v>59958.619480924586</v>
      </c>
      <c r="Z139" s="2">
        <v>455211.11521002924</v>
      </c>
      <c r="AA139" s="21">
        <f ca="1">Z139/Z$652</f>
        <v>9.8524011442532467E-3</v>
      </c>
      <c r="AB139" s="22">
        <f ca="1">AA139*AB$682</f>
        <v>395423.13376034121</v>
      </c>
      <c r="AC139" s="2">
        <v>0</v>
      </c>
      <c r="AD139" s="21">
        <f ca="1">AC139/AC$652</f>
        <v>0</v>
      </c>
      <c r="AE139" s="22">
        <f ca="1">AD139*AE$682</f>
        <v>0</v>
      </c>
      <c r="AF139" s="2">
        <v>0</v>
      </c>
      <c r="AG139" s="21">
        <f ca="1">AF139/AF$652</f>
        <v>0</v>
      </c>
      <c r="AH139" s="22">
        <f ca="1">AG139*AH$682</f>
        <v>0</v>
      </c>
      <c r="AI139" s="2">
        <v>0</v>
      </c>
      <c r="AJ139" s="21">
        <f ca="1">AI139/AI$652</f>
        <v>0</v>
      </c>
      <c r="AK139" s="22">
        <f ca="1">AJ139*AK$682</f>
        <v>0</v>
      </c>
      <c r="AL139" s="2">
        <v>1517688.7482800032</v>
      </c>
    </row>
    <row r="140" spans="1:38" ht="12.75" x14ac:dyDescent="0.2">
      <c r="A140" s="8" t="s">
        <v>16</v>
      </c>
      <c r="B140" s="8" t="s">
        <v>17</v>
      </c>
      <c r="C140" s="8" t="s">
        <v>18</v>
      </c>
      <c r="D140" s="8" t="s">
        <v>74</v>
      </c>
      <c r="E140" s="8" t="s">
        <v>75</v>
      </c>
      <c r="F140" s="8" t="s">
        <v>26</v>
      </c>
      <c r="G140" s="8" t="s">
        <v>497</v>
      </c>
      <c r="H140" s="20">
        <v>21138.55533152476</v>
      </c>
      <c r="I140" s="21">
        <f t="shared" ref="I140:I141" si="320">H140/H$655</f>
        <v>5.3296513572457615E-4</v>
      </c>
      <c r="J140" s="22">
        <f t="shared" ref="J140:J141" si="321">I140*J$685</f>
        <v>1286.2996298382786</v>
      </c>
      <c r="K140" s="2">
        <v>0</v>
      </c>
      <c r="L140" s="21">
        <f t="shared" ref="L140:L141" ca="1" si="322">K140/K$655</f>
        <v>0</v>
      </c>
      <c r="M140" s="22">
        <f t="shared" ref="M140:M141" ca="1" si="323">L140*M$685</f>
        <v>0</v>
      </c>
      <c r="N140" s="2">
        <v>49048.050478763209</v>
      </c>
      <c r="O140" s="21">
        <f t="shared" ref="O140:O141" ca="1" si="324">N140/N$655</f>
        <v>4.2402917218092493E-4</v>
      </c>
      <c r="P140" s="22">
        <f t="shared" ref="P140:P141" ca="1" si="325">O140*P$685</f>
        <v>1203.7985766689658</v>
      </c>
      <c r="Q140" s="2">
        <v>77383.604198287314</v>
      </c>
      <c r="R140" s="21">
        <f t="shared" ref="R140:R141" ca="1" si="326">Q140/Q$655</f>
        <v>5.5584710923969882E-4</v>
      </c>
      <c r="S140" s="22">
        <f t="shared" ref="S140:S141" ca="1" si="327">R140*S$685</f>
        <v>1614.3179442507144</v>
      </c>
      <c r="T140" s="2">
        <v>10683.898626047978</v>
      </c>
      <c r="U140" s="21">
        <f t="shared" ref="U140:U141" ca="1" si="328">T140/T$655</f>
        <v>1.0754880835011996E-4</v>
      </c>
      <c r="V140" s="22">
        <f t="shared" ref="V140:V141" ca="1" si="329">U140*V$685</f>
        <v>318.90774561874377</v>
      </c>
      <c r="W140" s="2">
        <v>32027.850070503035</v>
      </c>
      <c r="X140" s="21">
        <f t="shared" ref="X140:X141" ca="1" si="330">W140/W$655</f>
        <v>2.9875408427247542E-4</v>
      </c>
      <c r="Y140" s="22">
        <f t="shared" ref="Y140:Y141" ca="1" si="331">X140*Y$685</f>
        <v>903.59431140413153</v>
      </c>
      <c r="Z140" s="2">
        <v>13042.682561648195</v>
      </c>
      <c r="AA140" s="21">
        <f t="shared" ref="AA140:AA141" ca="1" si="332">Z140/Z$655</f>
        <v>1.1306992719482673E-4</v>
      </c>
      <c r="AB140" s="22">
        <f t="shared" ref="AB140:AB141" ca="1" si="333">AA140*AB$685</f>
        <v>348.14048314564513</v>
      </c>
      <c r="AC140" s="2">
        <v>0</v>
      </c>
      <c r="AD140" s="21">
        <f t="shared" ref="AD140:AD141" ca="1" si="334">AC140/AC$655</f>
        <v>0</v>
      </c>
      <c r="AE140" s="22">
        <f t="shared" ref="AE140:AE141" ca="1" si="335">AD140*AE$685</f>
        <v>0</v>
      </c>
      <c r="AF140" s="2">
        <v>61596.103578084629</v>
      </c>
      <c r="AG140" s="21">
        <f t="shared" ref="AG140:AG141" ca="1" si="336">AF140/AF$655</f>
        <v>5.1138104306484714E-4</v>
      </c>
      <c r="AH140" s="22">
        <f t="shared" ref="AH140:AH141" ca="1" si="337">AG140*AH$685</f>
        <v>1633.330238340669</v>
      </c>
      <c r="AI140" s="2">
        <v>27073.662257536864</v>
      </c>
      <c r="AJ140" s="21">
        <f t="shared" ref="AJ140:AJ141" ca="1" si="338">AI140/AI$655</f>
        <v>1.4621592146661113E-4</v>
      </c>
      <c r="AK140" s="22">
        <f t="shared" ref="AK140:AK141" ca="1" si="339">AJ140*AK$685</f>
        <v>475.41383973352879</v>
      </c>
      <c r="AL140" s="2">
        <v>291994.40710239596</v>
      </c>
    </row>
    <row r="141" spans="1:38" ht="12.75" x14ac:dyDescent="0.2">
      <c r="A141" s="8" t="s">
        <v>16</v>
      </c>
      <c r="B141" s="8" t="s">
        <v>17</v>
      </c>
      <c r="C141" s="8" t="s">
        <v>18</v>
      </c>
      <c r="D141" s="8" t="s">
        <v>74</v>
      </c>
      <c r="E141" s="8" t="s">
        <v>75</v>
      </c>
      <c r="F141" s="8" t="s">
        <v>26</v>
      </c>
      <c r="G141" s="8" t="s">
        <v>498</v>
      </c>
      <c r="H141" s="20">
        <v>0</v>
      </c>
      <c r="I141" s="21">
        <f t="shared" si="320"/>
        <v>0</v>
      </c>
      <c r="J141" s="22">
        <f t="shared" si="321"/>
        <v>0</v>
      </c>
      <c r="K141" s="2">
        <v>0</v>
      </c>
      <c r="L141" s="21">
        <f t="shared" ca="1" si="322"/>
        <v>0</v>
      </c>
      <c r="M141" s="22">
        <f t="shared" ca="1" si="323"/>
        <v>0</v>
      </c>
      <c r="N141" s="2">
        <v>0</v>
      </c>
      <c r="O141" s="21">
        <f t="shared" ca="1" si="324"/>
        <v>0</v>
      </c>
      <c r="P141" s="22">
        <f t="shared" ca="1" si="325"/>
        <v>0</v>
      </c>
      <c r="Q141" s="2">
        <v>0</v>
      </c>
      <c r="R141" s="21">
        <f t="shared" ca="1" si="326"/>
        <v>0</v>
      </c>
      <c r="S141" s="22">
        <f t="shared" ca="1" si="327"/>
        <v>0</v>
      </c>
      <c r="T141" s="2">
        <v>0</v>
      </c>
      <c r="U141" s="21">
        <f t="shared" ca="1" si="328"/>
        <v>0</v>
      </c>
      <c r="V141" s="22">
        <f t="shared" ca="1" si="329"/>
        <v>0</v>
      </c>
      <c r="W141" s="2">
        <v>0</v>
      </c>
      <c r="X141" s="21">
        <f t="shared" ca="1" si="330"/>
        <v>0</v>
      </c>
      <c r="Y141" s="22">
        <f t="shared" ca="1" si="331"/>
        <v>0</v>
      </c>
      <c r="Z141" s="2">
        <v>0</v>
      </c>
      <c r="AA141" s="21">
        <f t="shared" ca="1" si="332"/>
        <v>0</v>
      </c>
      <c r="AB141" s="22">
        <f t="shared" ca="1" si="333"/>
        <v>0</v>
      </c>
      <c r="AC141" s="2">
        <v>0</v>
      </c>
      <c r="AD141" s="21">
        <f t="shared" ca="1" si="334"/>
        <v>0</v>
      </c>
      <c r="AE141" s="22">
        <f t="shared" ca="1" si="335"/>
        <v>0</v>
      </c>
      <c r="AF141" s="2">
        <v>150386.31711001057</v>
      </c>
      <c r="AG141" s="21">
        <f t="shared" ca="1" si="336"/>
        <v>1.2485320862691729E-3</v>
      </c>
      <c r="AH141" s="22">
        <f t="shared" ca="1" si="337"/>
        <v>3987.7606682878268</v>
      </c>
      <c r="AI141" s="2">
        <v>0</v>
      </c>
      <c r="AJ141" s="21">
        <f t="shared" ca="1" si="338"/>
        <v>0</v>
      </c>
      <c r="AK141" s="22">
        <f t="shared" ca="1" si="339"/>
        <v>0</v>
      </c>
      <c r="AL141" s="2">
        <v>150386.31711001057</v>
      </c>
    </row>
    <row r="142" spans="1:38" ht="12.75" x14ac:dyDescent="0.2">
      <c r="A142" s="8" t="s">
        <v>16</v>
      </c>
      <c r="B142" s="8" t="s">
        <v>17</v>
      </c>
      <c r="C142" s="8" t="s">
        <v>18</v>
      </c>
      <c r="D142" s="8" t="s">
        <v>74</v>
      </c>
      <c r="E142" s="8" t="s">
        <v>75</v>
      </c>
      <c r="F142" s="8" t="s">
        <v>27</v>
      </c>
      <c r="G142" s="8" t="s">
        <v>499</v>
      </c>
      <c r="H142" s="20">
        <v>3094468.3105625533</v>
      </c>
      <c r="I142" s="21">
        <f t="shared" ref="I142:I143" si="340">H142/H$657</f>
        <v>6.0671989423644761E-2</v>
      </c>
      <c r="J142" s="22">
        <f t="shared" ref="J142:J143" si="341">I142*J$687</f>
        <v>629349.39352366806</v>
      </c>
      <c r="K142" s="2">
        <v>395833.02504380356</v>
      </c>
      <c r="L142" s="21">
        <f t="shared" ref="L142:L143" ca="1" si="342">K142/K$657</f>
        <v>1.0134407144331406E-2</v>
      </c>
      <c r="M142" s="22">
        <f t="shared" ref="M142:M143" ca="1" si="343">L142*M$687</f>
        <v>159176.56239839131</v>
      </c>
      <c r="N142" s="2">
        <v>320000</v>
      </c>
      <c r="O142" s="21">
        <f t="shared" ref="O142:O143" ca="1" si="344">N142/N$657</f>
        <v>5.7856400539202735E-3</v>
      </c>
      <c r="P142" s="22">
        <f t="shared" ref="P142:P143" ca="1" si="345">O142*P$687</f>
        <v>93235.122394203645</v>
      </c>
      <c r="Q142" s="2">
        <v>320000</v>
      </c>
      <c r="R142" s="21">
        <f t="shared" ref="R142:R143" ca="1" si="346">Q142/Q$657</f>
        <v>5.793782576624963E-3</v>
      </c>
      <c r="S142" s="22">
        <f t="shared" ref="S142:S143" ca="1" si="347">R142*S$687</f>
        <v>95513.764314859262</v>
      </c>
      <c r="T142" s="2">
        <v>320000</v>
      </c>
      <c r="U142" s="21">
        <f t="shared" ref="U142:U143" ca="1" si="348">T142/T$657</f>
        <v>8.2718189198598656E-3</v>
      </c>
      <c r="V142" s="22">
        <f t="shared" ref="V142:V143" ca="1" si="349">U142*V$687</f>
        <v>139229.26445323991</v>
      </c>
      <c r="W142" s="2">
        <v>320000</v>
      </c>
      <c r="X142" s="21">
        <f t="shared" ref="X142:X143" ca="1" si="350">W142/W$657</f>
        <v>8.1661300333233898E-3</v>
      </c>
      <c r="Y142" s="22">
        <f t="shared" ref="Y142:Y143" ca="1" si="351">X142*Y$687</f>
        <v>140199.3412154424</v>
      </c>
      <c r="Z142" s="2">
        <v>320000</v>
      </c>
      <c r="AA142" s="21">
        <f t="shared" ref="AA142:AA143" ca="1" si="352">Z142/Z$657</f>
        <v>6.5972903441271014E-3</v>
      </c>
      <c r="AB142" s="22">
        <f t="shared" ref="AB142:AB143" ca="1" si="353">AA142*AB$687</f>
        <v>115303.65055732369</v>
      </c>
      <c r="AC142" s="2">
        <v>320000</v>
      </c>
      <c r="AD142" s="21">
        <f t="shared" ref="AD142:AD143" ca="1" si="354">AC142/AC$657</f>
        <v>5.8258999476555823E-3</v>
      </c>
      <c r="AE142" s="22">
        <f t="shared" ref="AE142:AE143" ca="1" si="355">AD142*AE$687</f>
        <v>103756.34530971228</v>
      </c>
      <c r="AF142" s="2">
        <v>320000</v>
      </c>
      <c r="AG142" s="21">
        <f t="shared" ref="AG142:AG143" ca="1" si="356">AF142/AF$657</f>
        <v>6.4028821015748218E-3</v>
      </c>
      <c r="AH142" s="22">
        <f t="shared" ref="AH142:AH143" ca="1" si="357">AG142*AH$687</f>
        <v>116084.68495220866</v>
      </c>
      <c r="AI142" s="2">
        <v>320000</v>
      </c>
      <c r="AJ142" s="21">
        <f t="shared" ref="AJ142:AJ143" ca="1" si="358">AI142/AI$657</f>
        <v>5.7664578546880747E-3</v>
      </c>
      <c r="AK142" s="22">
        <f t="shared" ref="AK142:AK143" ca="1" si="359">AJ142*AK$687</f>
        <v>106428.10320577121</v>
      </c>
      <c r="AL142" s="2">
        <v>6050301.3356063571</v>
      </c>
    </row>
    <row r="143" spans="1:38" ht="12.75" x14ac:dyDescent="0.2">
      <c r="A143" s="8" t="s">
        <v>16</v>
      </c>
      <c r="B143" s="8" t="s">
        <v>17</v>
      </c>
      <c r="C143" s="8" t="s">
        <v>18</v>
      </c>
      <c r="D143" s="8" t="s">
        <v>74</v>
      </c>
      <c r="E143" s="8" t="s">
        <v>75</v>
      </c>
      <c r="F143" s="8" t="s">
        <v>27</v>
      </c>
      <c r="G143" s="8" t="s">
        <v>500</v>
      </c>
      <c r="H143" s="20">
        <v>0</v>
      </c>
      <c r="I143" s="21">
        <f t="shared" si="340"/>
        <v>0</v>
      </c>
      <c r="J143" s="22">
        <f t="shared" si="341"/>
        <v>0</v>
      </c>
      <c r="K143" s="2">
        <v>0</v>
      </c>
      <c r="L143" s="21">
        <f t="shared" ca="1" si="342"/>
        <v>0</v>
      </c>
      <c r="M143" s="22">
        <f t="shared" ca="1" si="343"/>
        <v>0</v>
      </c>
      <c r="N143" s="2">
        <v>0</v>
      </c>
      <c r="O143" s="21">
        <f t="shared" ca="1" si="344"/>
        <v>0</v>
      </c>
      <c r="P143" s="22">
        <f t="shared" ca="1" si="345"/>
        <v>0</v>
      </c>
      <c r="Q143" s="2">
        <v>0</v>
      </c>
      <c r="R143" s="21">
        <f t="shared" ca="1" si="346"/>
        <v>0</v>
      </c>
      <c r="S143" s="22">
        <f t="shared" ca="1" si="347"/>
        <v>0</v>
      </c>
      <c r="T143" s="2">
        <v>0</v>
      </c>
      <c r="U143" s="21">
        <f t="shared" ca="1" si="348"/>
        <v>0</v>
      </c>
      <c r="V143" s="22">
        <f t="shared" ca="1" si="349"/>
        <v>0</v>
      </c>
      <c r="W143" s="2">
        <v>0</v>
      </c>
      <c r="X143" s="21">
        <f t="shared" ca="1" si="350"/>
        <v>0</v>
      </c>
      <c r="Y143" s="22">
        <f t="shared" ca="1" si="351"/>
        <v>0</v>
      </c>
      <c r="Z143" s="2">
        <v>0</v>
      </c>
      <c r="AA143" s="21">
        <f t="shared" ca="1" si="352"/>
        <v>0</v>
      </c>
      <c r="AB143" s="22">
        <f t="shared" ca="1" si="353"/>
        <v>0</v>
      </c>
      <c r="AC143" s="2">
        <v>0</v>
      </c>
      <c r="AD143" s="21">
        <f t="shared" ca="1" si="354"/>
        <v>0</v>
      </c>
      <c r="AE143" s="22">
        <f t="shared" ca="1" si="355"/>
        <v>0</v>
      </c>
      <c r="AF143" s="2">
        <v>0</v>
      </c>
      <c r="AG143" s="21">
        <f t="shared" ca="1" si="356"/>
        <v>0</v>
      </c>
      <c r="AH143" s="22">
        <f t="shared" ca="1" si="357"/>
        <v>0</v>
      </c>
      <c r="AI143" s="2">
        <v>0</v>
      </c>
      <c r="AJ143" s="21">
        <f t="shared" ca="1" si="358"/>
        <v>0</v>
      </c>
      <c r="AK143" s="22">
        <f t="shared" ca="1" si="359"/>
        <v>0</v>
      </c>
      <c r="AL143" s="2">
        <v>0</v>
      </c>
    </row>
    <row r="144" spans="1:38" ht="12.75" x14ac:dyDescent="0.2">
      <c r="A144" s="8" t="s">
        <v>16</v>
      </c>
      <c r="B144" s="8" t="s">
        <v>17</v>
      </c>
      <c r="C144" s="8" t="s">
        <v>18</v>
      </c>
      <c r="D144" s="8" t="s">
        <v>74</v>
      </c>
      <c r="E144" s="8" t="s">
        <v>75</v>
      </c>
      <c r="F144" s="8" t="s">
        <v>28</v>
      </c>
      <c r="G144" s="8" t="s">
        <v>501</v>
      </c>
      <c r="H144" s="20">
        <v>0</v>
      </c>
      <c r="I144" s="21">
        <f t="shared" ref="I144:I145" si="360">H144/H$669</f>
        <v>0</v>
      </c>
      <c r="J144" s="22">
        <f t="shared" ref="J144:J145" si="361">I144*J$699</f>
        <v>0</v>
      </c>
      <c r="K144" s="2">
        <v>57764.982555106006</v>
      </c>
      <c r="L144" s="21">
        <f t="shared" ref="L144:L145" ca="1" si="362">K144/K$669</f>
        <v>7.9627975656163114E-3</v>
      </c>
      <c r="M144" s="22">
        <f t="shared" ref="M144:M145" ca="1" si="363">L144*M$699</f>
        <v>37741.454766095638</v>
      </c>
      <c r="N144" s="2">
        <v>62473.126626066958</v>
      </c>
      <c r="O144" s="21">
        <f t="shared" ref="O144:O145" ca="1" si="364">N144/N$669</f>
        <v>2.2150107675535709E-3</v>
      </c>
      <c r="P144" s="22">
        <f t="shared" ref="P144:P145" ca="1" si="365">O144*P$699</f>
        <v>10771.499459137089</v>
      </c>
      <c r="Q144" s="2">
        <v>0</v>
      </c>
      <c r="R144" s="21">
        <f t="shared" ref="R144:R145" ca="1" si="366">Q144/Q$669</f>
        <v>0</v>
      </c>
      <c r="S144" s="22">
        <f t="shared" ref="S144:S145" ca="1" si="367">R144*S$699</f>
        <v>0</v>
      </c>
      <c r="T144" s="2">
        <v>345223.47435417527</v>
      </c>
      <c r="U144" s="21">
        <f t="shared" ref="U144:U145" ca="1" si="368">T144/T$669</f>
        <v>1.2093068533049815E-2</v>
      </c>
      <c r="V144" s="22">
        <f t="shared" ref="V144:V145" ca="1" si="369">U144*V$699</f>
        <v>61424.016561563294</v>
      </c>
      <c r="W144" s="2">
        <v>142123.58468785722</v>
      </c>
      <c r="X144" s="21">
        <f t="shared" ref="X144:X145" ca="1" si="370">W144/W$669</f>
        <v>5.0951694610085092E-3</v>
      </c>
      <c r="Y144" s="22">
        <f t="shared" ref="Y144:Y145" ca="1" si="371">X144*Y$699</f>
        <v>26397.360418035965</v>
      </c>
      <c r="Z144" s="2">
        <v>0</v>
      </c>
      <c r="AA144" s="21">
        <f t="shared" ref="AA144:AA145" ca="1" si="372">Z144/Z$669</f>
        <v>0</v>
      </c>
      <c r="AB144" s="22">
        <f t="shared" ref="AB144:AB145" ca="1" si="373">AA144*AB$699</f>
        <v>0</v>
      </c>
      <c r="AC144" s="2">
        <v>373615.80075473973</v>
      </c>
      <c r="AD144" s="21">
        <f t="shared" ref="AD144:AD145" ca="1" si="374">AC144/AC$669</f>
        <v>1.1847022763816651E-2</v>
      </c>
      <c r="AE144" s="22">
        <f t="shared" ref="AE144:AE145" ca="1" si="375">AD144*AE$699</f>
        <v>63669.736754132289</v>
      </c>
      <c r="AF144" s="2">
        <v>0</v>
      </c>
      <c r="AG144" s="21">
        <f t="shared" ref="AG144:AG145" ca="1" si="376">AF144/AF$669</f>
        <v>0</v>
      </c>
      <c r="AH144" s="22">
        <f t="shared" ref="AH144:AH145" ca="1" si="377">AG144*AH$699</f>
        <v>0</v>
      </c>
      <c r="AI144" s="2">
        <v>108793.00065777784</v>
      </c>
      <c r="AJ144" s="21">
        <f t="shared" ref="AJ144:AJ145" ca="1" si="378">AI144/AI$669</f>
        <v>2.4868115776458801E-3</v>
      </c>
      <c r="AK144" s="22">
        <f t="shared" ref="AK144:AK145" ca="1" si="379">AJ144*AK$699</f>
        <v>13850.398469006748</v>
      </c>
      <c r="AL144" s="2">
        <v>1089993.9696357229</v>
      </c>
    </row>
    <row r="145" spans="1:38" ht="12.75" x14ac:dyDescent="0.2">
      <c r="A145" s="8" t="s">
        <v>16</v>
      </c>
      <c r="B145" s="8" t="s">
        <v>17</v>
      </c>
      <c r="C145" s="8" t="s">
        <v>18</v>
      </c>
      <c r="D145" s="8" t="s">
        <v>74</v>
      </c>
      <c r="E145" s="8" t="s">
        <v>75</v>
      </c>
      <c r="F145" s="8" t="s">
        <v>28</v>
      </c>
      <c r="G145" s="8" t="s">
        <v>502</v>
      </c>
      <c r="H145" s="20">
        <v>0</v>
      </c>
      <c r="I145" s="21">
        <f t="shared" si="360"/>
        <v>0</v>
      </c>
      <c r="J145" s="22">
        <f t="shared" si="361"/>
        <v>0</v>
      </c>
      <c r="K145" s="2">
        <v>0</v>
      </c>
      <c r="L145" s="21">
        <f t="shared" ca="1" si="362"/>
        <v>0</v>
      </c>
      <c r="M145" s="22">
        <f t="shared" ca="1" si="363"/>
        <v>0</v>
      </c>
      <c r="N145" s="2">
        <v>0</v>
      </c>
      <c r="O145" s="21">
        <f t="shared" ca="1" si="364"/>
        <v>0</v>
      </c>
      <c r="P145" s="22">
        <f t="shared" ca="1" si="365"/>
        <v>0</v>
      </c>
      <c r="Q145" s="2">
        <v>0</v>
      </c>
      <c r="R145" s="21">
        <f t="shared" ca="1" si="366"/>
        <v>0</v>
      </c>
      <c r="S145" s="22">
        <f t="shared" ca="1" si="367"/>
        <v>0</v>
      </c>
      <c r="T145" s="2">
        <v>0</v>
      </c>
      <c r="U145" s="21">
        <f t="shared" ca="1" si="368"/>
        <v>0</v>
      </c>
      <c r="V145" s="22">
        <f t="shared" ca="1" si="369"/>
        <v>0</v>
      </c>
      <c r="W145" s="2">
        <v>0</v>
      </c>
      <c r="X145" s="21">
        <f t="shared" ca="1" si="370"/>
        <v>0</v>
      </c>
      <c r="Y145" s="22">
        <f t="shared" ca="1" si="371"/>
        <v>0</v>
      </c>
      <c r="Z145" s="2">
        <v>0</v>
      </c>
      <c r="AA145" s="21">
        <f t="shared" ca="1" si="372"/>
        <v>0</v>
      </c>
      <c r="AB145" s="22">
        <f t="shared" ca="1" si="373"/>
        <v>0</v>
      </c>
      <c r="AC145" s="2">
        <v>0</v>
      </c>
      <c r="AD145" s="21">
        <f t="shared" ca="1" si="374"/>
        <v>0</v>
      </c>
      <c r="AE145" s="22">
        <f t="shared" ca="1" si="375"/>
        <v>0</v>
      </c>
      <c r="AF145" s="2">
        <v>24636.942554509096</v>
      </c>
      <c r="AG145" s="21">
        <f t="shared" ca="1" si="376"/>
        <v>6.1378590241508389E-4</v>
      </c>
      <c r="AH145" s="22">
        <f t="shared" ca="1" si="377"/>
        <v>3358.0605181516671</v>
      </c>
      <c r="AI145" s="2">
        <v>27813.210908674788</v>
      </c>
      <c r="AJ145" s="21">
        <f t="shared" ca="1" si="378"/>
        <v>6.3575978676027364E-4</v>
      </c>
      <c r="AK145" s="22">
        <f t="shared" ca="1" si="379"/>
        <v>3540.8900522878498</v>
      </c>
      <c r="AL145" s="2">
        <v>52450.153463183888</v>
      </c>
    </row>
    <row r="146" spans="1:38" ht="12.75" x14ac:dyDescent="0.2">
      <c r="A146" s="8" t="s">
        <v>16</v>
      </c>
      <c r="B146" s="8" t="s">
        <v>17</v>
      </c>
      <c r="C146" s="8" t="s">
        <v>18</v>
      </c>
      <c r="D146" s="8" t="s">
        <v>74</v>
      </c>
      <c r="E146" s="8" t="s">
        <v>75</v>
      </c>
      <c r="F146" s="8" t="s">
        <v>34</v>
      </c>
      <c r="G146" s="8" t="s">
        <v>503</v>
      </c>
      <c r="H146" s="20">
        <v>0</v>
      </c>
      <c r="I146" s="21">
        <f>H146/H$653</f>
        <v>0</v>
      </c>
      <c r="J146" s="22">
        <f>I146*J$683</f>
        <v>0</v>
      </c>
      <c r="K146" s="2">
        <v>0</v>
      </c>
      <c r="L146" s="21">
        <f ca="1">K146/K$653</f>
        <v>0</v>
      </c>
      <c r="M146" s="22">
        <f ca="1">L146*M$683</f>
        <v>0</v>
      </c>
      <c r="N146" s="2">
        <v>0</v>
      </c>
      <c r="O146" s="21">
        <f ca="1">N146/N$653</f>
        <v>0</v>
      </c>
      <c r="P146" s="22">
        <f ca="1">O146*P$683</f>
        <v>0</v>
      </c>
      <c r="Q146" s="2">
        <v>0</v>
      </c>
      <c r="R146" s="21">
        <f ca="1">Q146/Q$653</f>
        <v>0</v>
      </c>
      <c r="S146" s="22">
        <f ca="1">R146*S$683</f>
        <v>0</v>
      </c>
      <c r="T146" s="2">
        <v>1717436.7041372124</v>
      </c>
      <c r="U146" s="21">
        <f ca="1">T146/T$653</f>
        <v>0.13023682913707665</v>
      </c>
      <c r="V146" s="22">
        <f ca="1">U146*V$683</f>
        <v>215034.1314753223</v>
      </c>
      <c r="W146" s="2">
        <v>0</v>
      </c>
      <c r="X146" s="21">
        <f ca="1">W146/W$653</f>
        <v>0</v>
      </c>
      <c r="Y146" s="22">
        <f ca="1">X146*Y$683</f>
        <v>0</v>
      </c>
      <c r="Z146" s="2">
        <v>0</v>
      </c>
      <c r="AA146" s="21">
        <f ca="1">Z146/Z$653</f>
        <v>0</v>
      </c>
      <c r="AB146" s="22">
        <f ca="1">AA146*AB$683</f>
        <v>0</v>
      </c>
      <c r="AC146" s="2">
        <v>0</v>
      </c>
      <c r="AD146" s="21">
        <f ca="1">AC146/AC$653</f>
        <v>0</v>
      </c>
      <c r="AE146" s="22">
        <f ca="1">AD146*AE$683</f>
        <v>0</v>
      </c>
      <c r="AF146" s="2">
        <v>0</v>
      </c>
      <c r="AG146" s="21">
        <f ca="1">AF146/AF$653</f>
        <v>0</v>
      </c>
      <c r="AH146" s="22">
        <f ca="1">AG146*AH$683</f>
        <v>0</v>
      </c>
      <c r="AI146" s="2">
        <v>0</v>
      </c>
      <c r="AJ146" s="21">
        <f ca="1">AI146/AI$653</f>
        <v>0</v>
      </c>
      <c r="AK146" s="22">
        <f ca="1">AJ146*AK$683</f>
        <v>0</v>
      </c>
      <c r="AL146" s="2">
        <v>1717436.7041372124</v>
      </c>
    </row>
    <row r="147" spans="1:38" ht="12.75" x14ac:dyDescent="0.2">
      <c r="A147" s="8" t="s">
        <v>16</v>
      </c>
      <c r="B147" s="8" t="s">
        <v>17</v>
      </c>
      <c r="C147" s="8" t="s">
        <v>18</v>
      </c>
      <c r="D147" s="8" t="s">
        <v>74</v>
      </c>
      <c r="E147" s="8" t="s">
        <v>76</v>
      </c>
      <c r="F147" s="8" t="s">
        <v>21</v>
      </c>
      <c r="G147" s="8" t="s">
        <v>504</v>
      </c>
      <c r="H147" s="20">
        <v>1100000</v>
      </c>
      <c r="I147" s="21">
        <f>H147/H$645</f>
        <v>7.2803463109501296E-2</v>
      </c>
      <c r="J147" s="22">
        <f>I147*J$675</f>
        <v>10279.848991061583</v>
      </c>
      <c r="K147" s="2">
        <v>1100000</v>
      </c>
      <c r="L147" s="21">
        <f ca="1">K147/K$645</f>
        <v>7.1900430405966234E-2</v>
      </c>
      <c r="M147" s="22">
        <f ca="1">L147*M$675</f>
        <v>31022.15970295819</v>
      </c>
      <c r="N147" s="2">
        <v>1100000</v>
      </c>
      <c r="O147" s="21">
        <f ca="1">N147/N$645</f>
        <v>5.0634502899464744E-2</v>
      </c>
      <c r="P147" s="22">
        <f ca="1">O147*P$675</f>
        <v>22414.77844914914</v>
      </c>
      <c r="Q147" s="2">
        <v>1100000</v>
      </c>
      <c r="R147" s="21">
        <f ca="1">Q147/Q$645</f>
        <v>4.3569166645655112E-2</v>
      </c>
      <c r="S147" s="22">
        <f ca="1">R147*S$675</f>
        <v>19730.713201026381</v>
      </c>
      <c r="T147" s="2">
        <v>1100000</v>
      </c>
      <c r="U147" s="21">
        <f ca="1">T147/T$645</f>
        <v>5.3291592314399693E-2</v>
      </c>
      <c r="V147" s="22">
        <f ca="1">U147*V$675</f>
        <v>24640.412221772058</v>
      </c>
      <c r="W147" s="2">
        <v>1100000</v>
      </c>
      <c r="X147" s="21">
        <f ca="1">W147/W$645</f>
        <v>5.3216266315609731E-2</v>
      </c>
      <c r="Y147" s="22">
        <f ca="1">X147*Y$675</f>
        <v>25097.695870968913</v>
      </c>
      <c r="Z147" s="2">
        <v>1100000</v>
      </c>
      <c r="AA147" s="21">
        <f ca="1">Z147/Z$645</f>
        <v>5.3467582467154856E-2</v>
      </c>
      <c r="AB147" s="22">
        <f ca="1">AA147*AB$675</f>
        <v>25670.112494734094</v>
      </c>
      <c r="AC147" s="2">
        <v>1100000</v>
      </c>
      <c r="AD147" s="21">
        <f ca="1">AC147/AC$645</f>
        <v>4.6319013251172034E-2</v>
      </c>
      <c r="AE147" s="22">
        <f ca="1">AD147*AE$675</f>
        <v>22660.563773125981</v>
      </c>
      <c r="AF147" s="2">
        <v>1100000</v>
      </c>
      <c r="AG147" s="21">
        <f ca="1">AF147/AF$645</f>
        <v>5.0429634578492588E-2</v>
      </c>
      <c r="AH147" s="22">
        <f ca="1">AG147*AH$675</f>
        <v>25115.683722184582</v>
      </c>
      <c r="AI147" s="2">
        <v>1100000</v>
      </c>
      <c r="AJ147" s="21">
        <f ca="1">AI147/AI$645</f>
        <v>4.3143584350357173E-2</v>
      </c>
      <c r="AK147" s="22">
        <f ca="1">AJ147*AK$675</f>
        <v>21873.747219073241</v>
      </c>
      <c r="AL147" s="2">
        <v>11000000</v>
      </c>
    </row>
    <row r="148" spans="1:38" ht="12.75" x14ac:dyDescent="0.2">
      <c r="A148" s="8" t="s">
        <v>16</v>
      </c>
      <c r="B148" s="8" t="s">
        <v>17</v>
      </c>
      <c r="C148" s="8" t="s">
        <v>18</v>
      </c>
      <c r="D148" s="8" t="s">
        <v>74</v>
      </c>
      <c r="E148" s="8" t="s">
        <v>76</v>
      </c>
      <c r="F148" s="23" t="s">
        <v>37</v>
      </c>
      <c r="G148" s="8" t="s">
        <v>505</v>
      </c>
      <c r="H148" s="20">
        <v>1165377.6065214567</v>
      </c>
      <c r="I148" s="21">
        <f>H148/H$649</f>
        <v>1.644819997196342E-2</v>
      </c>
      <c r="J148" s="22">
        <f>I148*J$679</f>
        <v>792038.51248734037</v>
      </c>
      <c r="K148" s="2">
        <v>1189471.9208871964</v>
      </c>
      <c r="L148" s="21">
        <f ca="1">K148/K$649</f>
        <v>1.4181073161857388E-2</v>
      </c>
      <c r="M148" s="22">
        <f ca="1">L148*M$679</f>
        <v>1295190.8366618778</v>
      </c>
      <c r="N148" s="2">
        <v>1236223.1057198779</v>
      </c>
      <c r="O148" s="21">
        <f ca="1">N148/N$649</f>
        <v>1.384985140393105E-2</v>
      </c>
      <c r="P148" s="22">
        <f ca="1">O148*P$679</f>
        <v>3430705.1178918043</v>
      </c>
      <c r="Q148" s="2">
        <v>1276536.3082656013</v>
      </c>
      <c r="R148" s="21">
        <f ca="1">Q148/Q$649</f>
        <v>1.6205234417770043E-2</v>
      </c>
      <c r="S148" s="22">
        <f ca="1">R148*S$679</f>
        <v>4106475.4234455707</v>
      </c>
      <c r="T148" s="2">
        <v>1295656.5075882704</v>
      </c>
      <c r="U148" s="21">
        <f ca="1">T148/T$649</f>
        <v>1.6672128725180205E-2</v>
      </c>
      <c r="V148" s="22">
        <f ca="1">U148*V$679</f>
        <v>4313508.9866783042</v>
      </c>
      <c r="W148" s="2">
        <v>1314188.0646658856</v>
      </c>
      <c r="X148" s="21">
        <f ca="1">W148/W$649</f>
        <v>1.4777077294539628E-2</v>
      </c>
      <c r="Y148" s="22">
        <f ca="1">X148*Y$679</f>
        <v>3899674.5941532073</v>
      </c>
      <c r="Z148" s="2">
        <v>1334237.9632151909</v>
      </c>
      <c r="AA148" s="21">
        <f ca="1">Z148/Z$649</f>
        <v>1.3814200125288372E-2</v>
      </c>
      <c r="AB148" s="22">
        <f ca="1">AA148*AB$679</f>
        <v>3711191.3343682024</v>
      </c>
      <c r="AC148" s="2">
        <v>1332879.371275191</v>
      </c>
      <c r="AD148" s="21">
        <f ca="1">AC148/AC$649</f>
        <v>1.3625854391563377E-2</v>
      </c>
      <c r="AE148" s="22">
        <f ca="1">AD148*AE$679</f>
        <v>3730143.4159136373</v>
      </c>
      <c r="AF148" s="2">
        <v>1330951.632581996</v>
      </c>
      <c r="AG148" s="21">
        <f ca="1">AF148/AF$649</f>
        <v>1.3130384999898744E-2</v>
      </c>
      <c r="AH148" s="22">
        <f ca="1">AG148*AH$679</f>
        <v>3659207.3911472484</v>
      </c>
      <c r="AI148" s="2">
        <v>2618399.7190856854</v>
      </c>
      <c r="AJ148" s="21">
        <f ca="1">AI148/AI$649</f>
        <v>1.3669220724566142E-2</v>
      </c>
      <c r="AK148" s="22">
        <f ca="1">AJ148*AK$679</f>
        <v>3877940.1174498037</v>
      </c>
      <c r="AL148" s="2">
        <v>14093922.199806351</v>
      </c>
    </row>
    <row r="149" spans="1:38" ht="12.75" x14ac:dyDescent="0.2">
      <c r="A149" s="8" t="s">
        <v>16</v>
      </c>
      <c r="B149" s="8" t="s">
        <v>17</v>
      </c>
      <c r="C149" s="8" t="s">
        <v>18</v>
      </c>
      <c r="D149" s="8" t="s">
        <v>74</v>
      </c>
      <c r="E149" s="8" t="s">
        <v>76</v>
      </c>
      <c r="F149" s="8" t="s">
        <v>28</v>
      </c>
      <c r="G149" s="8" t="s">
        <v>506</v>
      </c>
      <c r="H149" s="20">
        <v>102630.32845396915</v>
      </c>
      <c r="I149" s="21">
        <f>H149/H$669</f>
        <v>1.207922977677982E-2</v>
      </c>
      <c r="J149" s="22">
        <f>I149*J$699</f>
        <v>134622.60516839867</v>
      </c>
      <c r="K149" s="2">
        <v>0</v>
      </c>
      <c r="L149" s="21">
        <f ca="1">K149/K$669</f>
        <v>0</v>
      </c>
      <c r="M149" s="22">
        <f ca="1">L149*M$699</f>
        <v>0</v>
      </c>
      <c r="N149" s="2">
        <v>0</v>
      </c>
      <c r="O149" s="21">
        <f ca="1">N149/N$669</f>
        <v>0</v>
      </c>
      <c r="P149" s="22">
        <f ca="1">O149*P$699</f>
        <v>0</v>
      </c>
      <c r="Q149" s="2">
        <v>0</v>
      </c>
      <c r="R149" s="21">
        <f ca="1">Q149/Q$669</f>
        <v>0</v>
      </c>
      <c r="S149" s="22">
        <f ca="1">R149*S$699</f>
        <v>0</v>
      </c>
      <c r="T149" s="2">
        <v>0</v>
      </c>
      <c r="U149" s="21">
        <f ca="1">T149/T$669</f>
        <v>0</v>
      </c>
      <c r="V149" s="22">
        <f ca="1">U149*V$699</f>
        <v>0</v>
      </c>
      <c r="W149" s="2">
        <v>0</v>
      </c>
      <c r="X149" s="21">
        <f ca="1">W149/W$669</f>
        <v>0</v>
      </c>
      <c r="Y149" s="22">
        <f ca="1">X149*Y$699</f>
        <v>0</v>
      </c>
      <c r="Z149" s="2">
        <v>0</v>
      </c>
      <c r="AA149" s="21">
        <f ca="1">Z149/Z$669</f>
        <v>0</v>
      </c>
      <c r="AB149" s="22">
        <f ca="1">AA149*AB$699</f>
        <v>0</v>
      </c>
      <c r="AC149" s="2">
        <v>55448.281384095651</v>
      </c>
      <c r="AD149" s="21">
        <f ca="1">AC149/AC$669</f>
        <v>1.7582153925098918E-3</v>
      </c>
      <c r="AE149" s="22">
        <f ca="1">AD149*AE$699</f>
        <v>9449.2188822387161</v>
      </c>
      <c r="AF149" s="2">
        <v>0</v>
      </c>
      <c r="AG149" s="21">
        <f ca="1">AF149/AF$669</f>
        <v>0</v>
      </c>
      <c r="AH149" s="22">
        <f ca="1">AG149*AH$699</f>
        <v>0</v>
      </c>
      <c r="AI149" s="2">
        <v>0</v>
      </c>
      <c r="AJ149" s="21">
        <f ca="1">AI149/AI$669</f>
        <v>0</v>
      </c>
      <c r="AK149" s="22">
        <f ca="1">AJ149*AK$699</f>
        <v>0</v>
      </c>
      <c r="AL149" s="2">
        <v>158078.60983806482</v>
      </c>
    </row>
    <row r="150" spans="1:38" ht="12.75" x14ac:dyDescent="0.2">
      <c r="A150" s="8" t="s">
        <v>16</v>
      </c>
      <c r="B150" s="8" t="s">
        <v>17</v>
      </c>
      <c r="C150" s="8" t="s">
        <v>18</v>
      </c>
      <c r="D150" s="8" t="s">
        <v>74</v>
      </c>
      <c r="E150" s="8" t="s">
        <v>77</v>
      </c>
      <c r="F150" s="8" t="s">
        <v>21</v>
      </c>
      <c r="G150" s="8" t="s">
        <v>507</v>
      </c>
      <c r="H150" s="20">
        <v>900000</v>
      </c>
      <c r="I150" s="21">
        <f>H150/H$645</f>
        <v>5.9566469816864691E-2</v>
      </c>
      <c r="J150" s="22">
        <f>I150*J$675</f>
        <v>8410.7855381412937</v>
      </c>
      <c r="K150" s="2">
        <v>900000</v>
      </c>
      <c r="L150" s="21">
        <f ca="1">K150/K$645</f>
        <v>5.8827624877608745E-2</v>
      </c>
      <c r="M150" s="22">
        <f ca="1">L150*M$675</f>
        <v>25381.76702969307</v>
      </c>
      <c r="N150" s="2">
        <v>900000</v>
      </c>
      <c r="O150" s="21">
        <f ca="1">N150/N$645</f>
        <v>4.1428229645016607E-2</v>
      </c>
      <c r="P150" s="22">
        <f ca="1">O150*P$675</f>
        <v>18339.364185667477</v>
      </c>
      <c r="Q150" s="2">
        <v>900000</v>
      </c>
      <c r="R150" s="21">
        <f ca="1">Q150/Q$645</f>
        <v>3.5647499982808729E-2</v>
      </c>
      <c r="S150" s="22">
        <f ca="1">R150*S$675</f>
        <v>16143.310800839768</v>
      </c>
      <c r="T150" s="2">
        <v>900000</v>
      </c>
      <c r="U150" s="21">
        <f ca="1">T150/T$645</f>
        <v>4.3602211893599745E-2</v>
      </c>
      <c r="V150" s="22">
        <f ca="1">U150*V$675</f>
        <v>20160.337272358956</v>
      </c>
      <c r="W150" s="2">
        <v>900000</v>
      </c>
      <c r="X150" s="21">
        <f ca="1">W150/W$645</f>
        <v>4.3540581530953415E-2</v>
      </c>
      <c r="Y150" s="22">
        <f ca="1">X150*Y$675</f>
        <v>20534.478439883656</v>
      </c>
      <c r="Z150" s="2">
        <v>900000</v>
      </c>
      <c r="AA150" s="21">
        <f ca="1">Z150/Z$645</f>
        <v>4.3746203836763066E-2</v>
      </c>
      <c r="AB150" s="22">
        <f ca="1">AA150*AB$675</f>
        <v>21002.819313873351</v>
      </c>
      <c r="AC150" s="2">
        <v>900000</v>
      </c>
      <c r="AD150" s="21">
        <f ca="1">AC150/AC$645</f>
        <v>3.7897374478231667E-2</v>
      </c>
      <c r="AE150" s="22">
        <f ca="1">AD150*AE$675</f>
        <v>18540.461268921259</v>
      </c>
      <c r="AF150" s="2">
        <v>900000</v>
      </c>
      <c r="AG150" s="21">
        <f ca="1">AF150/AF$645</f>
        <v>4.1260610109675758E-2</v>
      </c>
      <c r="AH150" s="22">
        <f ca="1">AG150*AH$675</f>
        <v>20549.195772696479</v>
      </c>
      <c r="AI150" s="2">
        <v>900000</v>
      </c>
      <c r="AJ150" s="21">
        <f ca="1">AI150/AI$645</f>
        <v>3.5299296286655873E-2</v>
      </c>
      <c r="AK150" s="22">
        <f ca="1">AJ150*AK$675</f>
        <v>17896.702270150836</v>
      </c>
      <c r="AL150" s="2">
        <v>9000000</v>
      </c>
    </row>
    <row r="151" spans="1:38" ht="12.75" x14ac:dyDescent="0.2">
      <c r="A151" s="8" t="s">
        <v>16</v>
      </c>
      <c r="B151" s="8" t="s">
        <v>17</v>
      </c>
      <c r="C151" s="8" t="s">
        <v>18</v>
      </c>
      <c r="D151" s="8" t="s">
        <v>74</v>
      </c>
      <c r="E151" s="8" t="s">
        <v>77</v>
      </c>
      <c r="F151" s="8" t="s">
        <v>24</v>
      </c>
      <c r="G151" s="8" t="s">
        <v>508</v>
      </c>
      <c r="H151" s="20">
        <v>2047613.5630404945</v>
      </c>
      <c r="I151" s="21">
        <f>H151/H$646</f>
        <v>2.4937718014106321E-2</v>
      </c>
      <c r="J151" s="22">
        <f>I151*J$676</f>
        <v>53656.991587871722</v>
      </c>
      <c r="K151" s="2">
        <v>261446.51349922409</v>
      </c>
      <c r="L151" s="21">
        <f ca="1">K151/K$646</f>
        <v>4.139675840143844E-3</v>
      </c>
      <c r="M151" s="22">
        <f ca="1">L151*M$676</f>
        <v>16095.114724167939</v>
      </c>
      <c r="N151" s="2">
        <v>724442.66972180863</v>
      </c>
      <c r="O151" s="21">
        <f ca="1">N151/N$646</f>
        <v>7.7282285379375445E-3</v>
      </c>
      <c r="P151" s="22">
        <f ca="1">O151*P$676</f>
        <v>131295.6602054518</v>
      </c>
      <c r="Q151" s="2">
        <v>77236.815506323604</v>
      </c>
      <c r="R151" s="21">
        <f ca="1">Q151/Q$646</f>
        <v>6.9443485215685253E-4</v>
      </c>
      <c r="S151" s="22">
        <f ca="1">R151*S$676</f>
        <v>12069.174245804428</v>
      </c>
      <c r="T151" s="2">
        <v>251323.91797818159</v>
      </c>
      <c r="U151" s="21">
        <f ca="1">T151/T$646</f>
        <v>2.9956211861382966E-3</v>
      </c>
      <c r="V151" s="22">
        <f ca="1">U151*V$676</f>
        <v>53156.782251836885</v>
      </c>
      <c r="W151" s="2">
        <v>1556585.6080012056</v>
      </c>
      <c r="X151" s="21">
        <f ca="1">W151/W$646</f>
        <v>1.7808507730390673E-2</v>
      </c>
      <c r="Y151" s="22">
        <f ca="1">X151*Y$676</f>
        <v>322329.08207342576</v>
      </c>
      <c r="Z151" s="2">
        <v>665987.1471880693</v>
      </c>
      <c r="AA151" s="21">
        <f ca="1">Z151/Z$646</f>
        <v>5.7380185861286587E-3</v>
      </c>
      <c r="AB151" s="22">
        <f ca="1">AA151*AB$676</f>
        <v>105725.9730631751</v>
      </c>
      <c r="AC151" s="2">
        <v>8185.1696821461346</v>
      </c>
      <c r="AD151" s="21">
        <f ca="1">AC151/AC$646</f>
        <v>7.866890476979042E-5</v>
      </c>
      <c r="AE151" s="22">
        <f ca="1">AD151*AE$676</f>
        <v>1477.0562282453457</v>
      </c>
      <c r="AF151" s="2">
        <v>0</v>
      </c>
      <c r="AG151" s="21">
        <f ca="1">AF151/AF$646</f>
        <v>0</v>
      </c>
      <c r="AH151" s="22">
        <f ca="1">AG151*AH$676</f>
        <v>0</v>
      </c>
      <c r="AI151" s="2">
        <v>0</v>
      </c>
      <c r="AJ151" s="21">
        <f ca="1">AI151/AI$646</f>
        <v>0</v>
      </c>
      <c r="AK151" s="22">
        <f ca="1">AJ151*AK$676</f>
        <v>0</v>
      </c>
      <c r="AL151" s="2">
        <v>5592821.4046174539</v>
      </c>
    </row>
    <row r="152" spans="1:38" ht="12.75" x14ac:dyDescent="0.2">
      <c r="A152" s="8" t="s">
        <v>16</v>
      </c>
      <c r="B152" s="8" t="s">
        <v>17</v>
      </c>
      <c r="C152" s="8" t="s">
        <v>18</v>
      </c>
      <c r="D152" s="8" t="s">
        <v>74</v>
      </c>
      <c r="E152" s="8" t="s">
        <v>77</v>
      </c>
      <c r="F152" s="23" t="s">
        <v>37</v>
      </c>
      <c r="G152" s="8" t="s">
        <v>509</v>
      </c>
      <c r="H152" s="20">
        <v>3287768.1134345564</v>
      </c>
      <c r="I152" s="21">
        <f>H152/H$649</f>
        <v>4.6403729648310202E-2</v>
      </c>
      <c r="J152" s="22">
        <f>I152*J$679</f>
        <v>2234502.320446013</v>
      </c>
      <c r="K152" s="2">
        <v>3765844.1083274917</v>
      </c>
      <c r="L152" s="21">
        <f ca="1">K152/K$649</f>
        <v>4.4896991579682945E-2</v>
      </c>
      <c r="M152" s="22">
        <f ca="1">L152*M$679</f>
        <v>4100548.0631815968</v>
      </c>
      <c r="N152" s="2">
        <v>2829431.1419856008</v>
      </c>
      <c r="O152" s="21">
        <f ca="1">N152/N$649</f>
        <v>3.169913318464955E-2</v>
      </c>
      <c r="P152" s="22">
        <f ca="1">O152*P$679</f>
        <v>7852097.1292474773</v>
      </c>
      <c r="Q152" s="2">
        <v>2914136.383427267</v>
      </c>
      <c r="R152" s="21">
        <f ca="1">Q152/Q$649</f>
        <v>3.6994061910353281E-2</v>
      </c>
      <c r="S152" s="22">
        <f ca="1">R152*S$679</f>
        <v>9374452.8546717726</v>
      </c>
      <c r="T152" s="2">
        <v>2954309.5150717855</v>
      </c>
      <c r="U152" s="21">
        <f ca="1">T152/T$649</f>
        <v>3.8015190168715227E-2</v>
      </c>
      <c r="V152" s="22">
        <f ca="1">U152*V$679</f>
        <v>9835508.5379935745</v>
      </c>
      <c r="W152" s="2">
        <v>2993248.6865855288</v>
      </c>
      <c r="X152" s="21">
        <f ca="1">W152/W$649</f>
        <v>3.3656877879726314E-2</v>
      </c>
      <c r="Y152" s="22">
        <f ca="1">X152*Y$679</f>
        <v>8882058.9464321956</v>
      </c>
      <c r="Z152" s="2">
        <v>3035376.157079651</v>
      </c>
      <c r="AA152" s="21">
        <f ca="1">Z152/Z$649</f>
        <v>3.1427147814309504E-2</v>
      </c>
      <c r="AB152" s="22">
        <f ca="1">AA152*AB$679</f>
        <v>8442917.9811045565</v>
      </c>
      <c r="AC152" s="2">
        <v>3063880.4217458027</v>
      </c>
      <c r="AD152" s="21">
        <f ca="1">AC152/AC$649</f>
        <v>3.1321655507301462E-2</v>
      </c>
      <c r="AE152" s="22">
        <f ca="1">AD152*AE$679</f>
        <v>8574454.3944646213</v>
      </c>
      <c r="AF152" s="2">
        <v>3094530.021050123</v>
      </c>
      <c r="AG152" s="21">
        <f ca="1">AF152/AF$649</f>
        <v>3.0528810796307908E-2</v>
      </c>
      <c r="AH152" s="22">
        <f ca="1">AG152*AH$679</f>
        <v>8507842.6953701116</v>
      </c>
      <c r="AI152" s="2">
        <v>5668185.2481974559</v>
      </c>
      <c r="AJ152" s="21">
        <f ca="1">AI152/AI$649</f>
        <v>2.9590468827424006E-2</v>
      </c>
      <c r="AK152" s="22">
        <f ca="1">AJ152*AK$679</f>
        <v>8394777.4691931121</v>
      </c>
      <c r="AL152" s="2">
        <v>33606709.796905264</v>
      </c>
    </row>
    <row r="153" spans="1:38" ht="12.75" x14ac:dyDescent="0.2">
      <c r="A153" s="8" t="s">
        <v>16</v>
      </c>
      <c r="B153" s="8" t="s">
        <v>17</v>
      </c>
      <c r="C153" s="8" t="s">
        <v>18</v>
      </c>
      <c r="D153" s="8" t="s">
        <v>74</v>
      </c>
      <c r="E153" s="8" t="s">
        <v>77</v>
      </c>
      <c r="F153" s="8" t="s">
        <v>25</v>
      </c>
      <c r="G153" s="8" t="s">
        <v>510</v>
      </c>
      <c r="H153" s="20">
        <v>239790.48704198399</v>
      </c>
      <c r="I153" s="21">
        <f>H153/H$652</f>
        <v>1.7189041019782879E-2</v>
      </c>
      <c r="J153" s="22">
        <f>I153*J$682</f>
        <v>1237172.8735249371</v>
      </c>
      <c r="K153" s="2">
        <v>0</v>
      </c>
      <c r="L153" s="21">
        <f ca="1">K153/K$652</f>
        <v>0</v>
      </c>
      <c r="M153" s="22">
        <f ca="1">L153*M$682</f>
        <v>0</v>
      </c>
      <c r="N153" s="2">
        <v>0</v>
      </c>
      <c r="O153" s="21">
        <f ca="1">N153/N$652</f>
        <v>0</v>
      </c>
      <c r="P153" s="22">
        <f ca="1">O153*P$682</f>
        <v>0</v>
      </c>
      <c r="Q153" s="2">
        <v>314804.50707906706</v>
      </c>
      <c r="R153" s="21">
        <f ca="1">Q153/Q$652</f>
        <v>6.3424493661146594E-3</v>
      </c>
      <c r="S153" s="22">
        <f ca="1">R153*S$682</f>
        <v>240106.16127628362</v>
      </c>
      <c r="T153" s="2">
        <v>0</v>
      </c>
      <c r="U153" s="21">
        <f ca="1">T153/T$652</f>
        <v>0</v>
      </c>
      <c r="V153" s="22">
        <f ca="1">U153*V$682</f>
        <v>0</v>
      </c>
      <c r="W153" s="2">
        <v>0</v>
      </c>
      <c r="X153" s="21">
        <f ca="1">W153/W$652</f>
        <v>0</v>
      </c>
      <c r="Y153" s="22">
        <f ca="1">X153*Y$682</f>
        <v>0</v>
      </c>
      <c r="Z153" s="2">
        <v>182996.82165577824</v>
      </c>
      <c r="AA153" s="21">
        <f ca="1">Z153/Z$652</f>
        <v>3.9607075373021862E-3</v>
      </c>
      <c r="AB153" s="22">
        <f ca="1">AA153*AB$682</f>
        <v>158961.79655877574</v>
      </c>
      <c r="AC153" s="2">
        <v>0</v>
      </c>
      <c r="AD153" s="21">
        <f ca="1">AC153/AC$652</f>
        <v>0</v>
      </c>
      <c r="AE153" s="22">
        <f ca="1">AD153*AE$682</f>
        <v>0</v>
      </c>
      <c r="AF153" s="2">
        <v>0</v>
      </c>
      <c r="AG153" s="21">
        <f ca="1">AF153/AF$652</f>
        <v>0</v>
      </c>
      <c r="AH153" s="22">
        <f ca="1">AG153*AH$682</f>
        <v>0</v>
      </c>
      <c r="AI153" s="2">
        <v>0</v>
      </c>
      <c r="AJ153" s="21">
        <f ca="1">AI153/AI$652</f>
        <v>0</v>
      </c>
      <c r="AK153" s="22">
        <f ca="1">AJ153*AK$682</f>
        <v>0</v>
      </c>
      <c r="AL153" s="2">
        <v>737591.81577682926</v>
      </c>
    </row>
    <row r="154" spans="1:38" ht="12.75" x14ac:dyDescent="0.2">
      <c r="A154" s="8" t="s">
        <v>16</v>
      </c>
      <c r="B154" s="8" t="s">
        <v>17</v>
      </c>
      <c r="C154" s="8" t="s">
        <v>18</v>
      </c>
      <c r="D154" s="8" t="s">
        <v>74</v>
      </c>
      <c r="E154" s="8" t="s">
        <v>77</v>
      </c>
      <c r="F154" s="8" t="s">
        <v>27</v>
      </c>
      <c r="G154" s="8" t="s">
        <v>511</v>
      </c>
      <c r="H154" s="20">
        <v>0</v>
      </c>
      <c r="I154" s="21">
        <f>H154/H$657</f>
        <v>0</v>
      </c>
      <c r="J154" s="22">
        <f>I154*J$687</f>
        <v>0</v>
      </c>
      <c r="K154" s="2">
        <v>0</v>
      </c>
      <c r="L154" s="21">
        <f ca="1">K154/K$657</f>
        <v>0</v>
      </c>
      <c r="M154" s="22">
        <f ca="1">L154*M$687</f>
        <v>0</v>
      </c>
      <c r="N154" s="2">
        <v>0</v>
      </c>
      <c r="O154" s="21">
        <f ca="1">N154/N$657</f>
        <v>0</v>
      </c>
      <c r="P154" s="22">
        <f ca="1">O154*P$687</f>
        <v>0</v>
      </c>
      <c r="Q154" s="2">
        <v>0</v>
      </c>
      <c r="R154" s="21">
        <f ca="1">Q154/Q$657</f>
        <v>0</v>
      </c>
      <c r="S154" s="22">
        <f ca="1">R154*S$687</f>
        <v>0</v>
      </c>
      <c r="T154" s="2">
        <v>0</v>
      </c>
      <c r="U154" s="21">
        <f ca="1">T154/T$657</f>
        <v>0</v>
      </c>
      <c r="V154" s="22">
        <f ca="1">U154*V$687</f>
        <v>0</v>
      </c>
      <c r="W154" s="2">
        <v>0</v>
      </c>
      <c r="X154" s="21">
        <f ca="1">W154/W$657</f>
        <v>0</v>
      </c>
      <c r="Y154" s="22">
        <f ca="1">X154*Y$687</f>
        <v>0</v>
      </c>
      <c r="Z154" s="2">
        <v>0</v>
      </c>
      <c r="AA154" s="21">
        <f ca="1">Z154/Z$657</f>
        <v>0</v>
      </c>
      <c r="AB154" s="22">
        <f ca="1">AA154*AB$687</f>
        <v>0</v>
      </c>
      <c r="AC154" s="2">
        <v>0</v>
      </c>
      <c r="AD154" s="21">
        <f ca="1">AC154/AC$657</f>
        <v>0</v>
      </c>
      <c r="AE154" s="22">
        <f ca="1">AD154*AE$687</f>
        <v>0</v>
      </c>
      <c r="AF154" s="2">
        <v>0</v>
      </c>
      <c r="AG154" s="21">
        <f ca="1">AF154/AF$657</f>
        <v>0</v>
      </c>
      <c r="AH154" s="22">
        <f ca="1">AG154*AH$687</f>
        <v>0</v>
      </c>
      <c r="AI154" s="2">
        <v>0</v>
      </c>
      <c r="AJ154" s="21">
        <f ca="1">AI154/AI$657</f>
        <v>0</v>
      </c>
      <c r="AK154" s="22">
        <f ca="1">AJ154*AK$687</f>
        <v>0</v>
      </c>
      <c r="AL154" s="2">
        <v>0</v>
      </c>
    </row>
    <row r="155" spans="1:38" ht="12.75" x14ac:dyDescent="0.2">
      <c r="A155" s="8" t="s">
        <v>16</v>
      </c>
      <c r="B155" s="8" t="s">
        <v>17</v>
      </c>
      <c r="C155" s="8" t="s">
        <v>18</v>
      </c>
      <c r="D155" s="8" t="s">
        <v>74</v>
      </c>
      <c r="E155" s="8" t="s">
        <v>77</v>
      </c>
      <c r="F155" s="8" t="s">
        <v>28</v>
      </c>
      <c r="G155" s="8" t="s">
        <v>512</v>
      </c>
      <c r="H155" s="20">
        <v>102630.32845396915</v>
      </c>
      <c r="I155" s="21">
        <f>H155/H$669</f>
        <v>1.207922977677982E-2</v>
      </c>
      <c r="J155" s="22">
        <f>I155*J$699</f>
        <v>134622.60516839867</v>
      </c>
      <c r="K155" s="2">
        <v>0</v>
      </c>
      <c r="L155" s="21">
        <f ca="1">K155/K$669</f>
        <v>0</v>
      </c>
      <c r="M155" s="22">
        <f ca="1">L155*M$699</f>
        <v>0</v>
      </c>
      <c r="N155" s="2">
        <v>0</v>
      </c>
      <c r="O155" s="21">
        <f ca="1">N155/N$669</f>
        <v>0</v>
      </c>
      <c r="P155" s="22">
        <f ca="1">O155*P$699</f>
        <v>0</v>
      </c>
      <c r="Q155" s="2">
        <v>0</v>
      </c>
      <c r="R155" s="21">
        <f ca="1">Q155/Q$669</f>
        <v>0</v>
      </c>
      <c r="S155" s="22">
        <f ca="1">R155*S$699</f>
        <v>0</v>
      </c>
      <c r="T155" s="2">
        <v>0</v>
      </c>
      <c r="U155" s="21">
        <f ca="1">T155/T$669</f>
        <v>0</v>
      </c>
      <c r="V155" s="22">
        <f ca="1">U155*V$699</f>
        <v>0</v>
      </c>
      <c r="W155" s="2">
        <v>109995.91448463444</v>
      </c>
      <c r="X155" s="21">
        <f ca="1">W155/W$669</f>
        <v>3.9433836794133198E-3</v>
      </c>
      <c r="Y155" s="22">
        <f ca="1">X155*Y$699</f>
        <v>20430.119360832847</v>
      </c>
      <c r="Z155" s="2">
        <v>0</v>
      </c>
      <c r="AA155" s="21">
        <f ca="1">Z155/Z$669</f>
        <v>0</v>
      </c>
      <c r="AB155" s="22">
        <f ca="1">AA155*AB$699</f>
        <v>0</v>
      </c>
      <c r="AC155" s="2">
        <v>0</v>
      </c>
      <c r="AD155" s="21">
        <f ca="1">AC155/AC$669</f>
        <v>0</v>
      </c>
      <c r="AE155" s="22">
        <f ca="1">AD155*AE$699</f>
        <v>0</v>
      </c>
      <c r="AF155" s="2">
        <v>0</v>
      </c>
      <c r="AG155" s="21">
        <f ca="1">AF155/AF$669</f>
        <v>0</v>
      </c>
      <c r="AH155" s="22">
        <f ca="1">AG155*AH$699</f>
        <v>0</v>
      </c>
      <c r="AI155" s="2">
        <v>0</v>
      </c>
      <c r="AJ155" s="21">
        <f ca="1">AI155/AI$669</f>
        <v>0</v>
      </c>
      <c r="AK155" s="22">
        <f ca="1">AJ155*AK$699</f>
        <v>0</v>
      </c>
      <c r="AL155" s="2">
        <v>212626.24293860359</v>
      </c>
    </row>
    <row r="156" spans="1:38" ht="12.75" x14ac:dyDescent="0.2">
      <c r="A156" s="8" t="s">
        <v>16</v>
      </c>
      <c r="B156" s="8" t="s">
        <v>17</v>
      </c>
      <c r="C156" s="8" t="s">
        <v>18</v>
      </c>
      <c r="D156" s="8" t="s">
        <v>74</v>
      </c>
      <c r="E156" s="8" t="s">
        <v>77</v>
      </c>
      <c r="F156" s="8" t="s">
        <v>55</v>
      </c>
      <c r="G156" s="8" t="s">
        <v>513</v>
      </c>
      <c r="H156" s="20">
        <v>620945.06286353979</v>
      </c>
      <c r="I156" s="21">
        <f>H156/H$654</f>
        <v>0.28145327124648484</v>
      </c>
      <c r="J156" s="22">
        <f>I156*J$684</f>
        <v>433180.50797639613</v>
      </c>
      <c r="K156" s="2">
        <v>0</v>
      </c>
      <c r="L156" s="21">
        <f ca="1">K156/K$654</f>
        <v>0</v>
      </c>
      <c r="M156" s="22">
        <f ca="1">L156*M$684</f>
        <v>0</v>
      </c>
      <c r="N156" s="2">
        <v>0</v>
      </c>
      <c r="O156" s="21">
        <f ca="1">N156/N$654</f>
        <v>0</v>
      </c>
      <c r="P156" s="22">
        <f ca="1">O156*P$684</f>
        <v>0</v>
      </c>
      <c r="Q156" s="2">
        <v>0</v>
      </c>
      <c r="R156" s="21">
        <f ca="1">Q156/Q$654</f>
        <v>0</v>
      </c>
      <c r="S156" s="22">
        <f ca="1">R156*S$684</f>
        <v>0</v>
      </c>
      <c r="T156" s="2">
        <v>0</v>
      </c>
      <c r="U156" s="21">
        <f ca="1">T156/T$654</f>
        <v>0</v>
      </c>
      <c r="V156" s="22">
        <f ca="1">U156*V$684</f>
        <v>0</v>
      </c>
      <c r="W156" s="2">
        <v>0</v>
      </c>
      <c r="X156" s="21">
        <f ca="1">W156/W$654</f>
        <v>0</v>
      </c>
      <c r="Y156" s="22">
        <f ca="1">X156*Y$684</f>
        <v>0</v>
      </c>
      <c r="Z156" s="2">
        <v>0</v>
      </c>
      <c r="AA156" s="21">
        <f ca="1">Z156/Z$654</f>
        <v>0</v>
      </c>
      <c r="AB156" s="22">
        <f ca="1">AA156*AB$684</f>
        <v>0</v>
      </c>
      <c r="AC156" s="2">
        <v>0</v>
      </c>
      <c r="AD156" s="21">
        <f ca="1">AC156/AC$654</f>
        <v>0</v>
      </c>
      <c r="AE156" s="22">
        <f ca="1">AD156*AE$684</f>
        <v>0</v>
      </c>
      <c r="AF156" s="2">
        <v>0</v>
      </c>
      <c r="AG156" s="21">
        <f ca="1">AF156/AF$654</f>
        <v>0</v>
      </c>
      <c r="AH156" s="22">
        <f ca="1">AG156*AH$684</f>
        <v>0</v>
      </c>
      <c r="AI156" s="2">
        <v>0</v>
      </c>
      <c r="AJ156" s="21">
        <f ca="1">AI156/AI$654</f>
        <v>0</v>
      </c>
      <c r="AK156" s="22">
        <f ca="1">AJ156*AK$684</f>
        <v>0</v>
      </c>
      <c r="AL156" s="2">
        <v>620945.06286353979</v>
      </c>
    </row>
    <row r="157" spans="1:38" ht="12.75" x14ac:dyDescent="0.2">
      <c r="A157" s="8" t="s">
        <v>16</v>
      </c>
      <c r="B157" s="8" t="s">
        <v>17</v>
      </c>
      <c r="C157" s="8" t="s">
        <v>18</v>
      </c>
      <c r="D157" s="8" t="s">
        <v>74</v>
      </c>
      <c r="E157" s="8" t="s">
        <v>78</v>
      </c>
      <c r="F157" s="8" t="s">
        <v>21</v>
      </c>
      <c r="G157" s="8" t="s">
        <v>514</v>
      </c>
      <c r="H157" s="20">
        <v>900000</v>
      </c>
      <c r="I157" s="21">
        <f>H157/H$645</f>
        <v>5.9566469816864691E-2</v>
      </c>
      <c r="J157" s="22">
        <f>I157*J$675</f>
        <v>8410.7855381412937</v>
      </c>
      <c r="K157" s="2">
        <v>900000</v>
      </c>
      <c r="L157" s="21">
        <f ca="1">K157/K$645</f>
        <v>5.8827624877608745E-2</v>
      </c>
      <c r="M157" s="22">
        <f ca="1">L157*M$675</f>
        <v>25381.76702969307</v>
      </c>
      <c r="N157" s="2">
        <v>900000</v>
      </c>
      <c r="O157" s="21">
        <f ca="1">N157/N$645</f>
        <v>4.1428229645016607E-2</v>
      </c>
      <c r="P157" s="22">
        <f ca="1">O157*P$675</f>
        <v>18339.364185667477</v>
      </c>
      <c r="Q157" s="2">
        <v>900000</v>
      </c>
      <c r="R157" s="21">
        <f ca="1">Q157/Q$645</f>
        <v>3.5647499982808729E-2</v>
      </c>
      <c r="S157" s="22">
        <f ca="1">R157*S$675</f>
        <v>16143.310800839768</v>
      </c>
      <c r="T157" s="2">
        <v>900000</v>
      </c>
      <c r="U157" s="21">
        <f ca="1">T157/T$645</f>
        <v>4.3602211893599745E-2</v>
      </c>
      <c r="V157" s="22">
        <f ca="1">U157*V$675</f>
        <v>20160.337272358956</v>
      </c>
      <c r="W157" s="2">
        <v>900000</v>
      </c>
      <c r="X157" s="21">
        <f ca="1">W157/W$645</f>
        <v>4.3540581530953415E-2</v>
      </c>
      <c r="Y157" s="22">
        <f ca="1">X157*Y$675</f>
        <v>20534.478439883656</v>
      </c>
      <c r="Z157" s="2">
        <v>900000</v>
      </c>
      <c r="AA157" s="21">
        <f ca="1">Z157/Z$645</f>
        <v>4.3746203836763066E-2</v>
      </c>
      <c r="AB157" s="22">
        <f ca="1">AA157*AB$675</f>
        <v>21002.819313873351</v>
      </c>
      <c r="AC157" s="2">
        <v>900000</v>
      </c>
      <c r="AD157" s="21">
        <f ca="1">AC157/AC$645</f>
        <v>3.7897374478231667E-2</v>
      </c>
      <c r="AE157" s="22">
        <f ca="1">AD157*AE$675</f>
        <v>18540.461268921259</v>
      </c>
      <c r="AF157" s="2">
        <v>900000</v>
      </c>
      <c r="AG157" s="21">
        <f ca="1">AF157/AF$645</f>
        <v>4.1260610109675758E-2</v>
      </c>
      <c r="AH157" s="22">
        <f ca="1">AG157*AH$675</f>
        <v>20549.195772696479</v>
      </c>
      <c r="AI157" s="2">
        <v>900000</v>
      </c>
      <c r="AJ157" s="21">
        <f ca="1">AI157/AI$645</f>
        <v>3.5299296286655873E-2</v>
      </c>
      <c r="AK157" s="22">
        <f ca="1">AJ157*AK$675</f>
        <v>17896.702270150836</v>
      </c>
      <c r="AL157" s="2">
        <v>9000000</v>
      </c>
    </row>
    <row r="158" spans="1:38" ht="12.75" x14ac:dyDescent="0.2">
      <c r="A158" s="8" t="s">
        <v>16</v>
      </c>
      <c r="B158" s="8" t="s">
        <v>17</v>
      </c>
      <c r="C158" s="8" t="s">
        <v>18</v>
      </c>
      <c r="D158" s="8" t="s">
        <v>74</v>
      </c>
      <c r="E158" s="8" t="s">
        <v>78</v>
      </c>
      <c r="F158" s="23" t="s">
        <v>37</v>
      </c>
      <c r="G158" s="8" t="s">
        <v>515</v>
      </c>
      <c r="H158" s="20">
        <v>1021473.9052811614</v>
      </c>
      <c r="I158" s="21">
        <f>H158/H$649</f>
        <v>1.4417135670177836E-2</v>
      </c>
      <c r="J158" s="22">
        <f>I158*J$679</f>
        <v>694235.64341385814</v>
      </c>
      <c r="K158" s="2">
        <v>1042373.0631018145</v>
      </c>
      <c r="L158" s="21">
        <f ca="1">K158/K$649</f>
        <v>1.2427337215972891E-2</v>
      </c>
      <c r="M158" s="22">
        <f ca="1">L158*M$679</f>
        <v>1135017.9991686221</v>
      </c>
      <c r="N158" s="2">
        <v>1082925.8962892592</v>
      </c>
      <c r="O158" s="21">
        <f ca="1">N158/N$649</f>
        <v>1.2132407714820404E-2</v>
      </c>
      <c r="P158" s="22">
        <f ca="1">O158*P$679</f>
        <v>3005282.2969472767</v>
      </c>
      <c r="Q158" s="2">
        <v>1117893.1419227447</v>
      </c>
      <c r="R158" s="21">
        <f ca="1">Q158/Q$649</f>
        <v>1.4191308387842836E-2</v>
      </c>
      <c r="S158" s="22">
        <f ca="1">R158*S$679</f>
        <v>3596137.9896677127</v>
      </c>
      <c r="T158" s="2">
        <v>1134477.9308478755</v>
      </c>
      <c r="U158" s="21">
        <f ca="1">T158/T$649</f>
        <v>1.4598129973644489E-2</v>
      </c>
      <c r="V158" s="22">
        <f ca="1">U158*V$679</f>
        <v>3776912.1069051004</v>
      </c>
      <c r="W158" s="2">
        <v>1150552.5207502989</v>
      </c>
      <c r="X158" s="21">
        <f ca="1">W158/W$649</f>
        <v>1.2937116070124295E-2</v>
      </c>
      <c r="Y158" s="22">
        <f ca="1">X158*Y$679</f>
        <v>3414108.3419058244</v>
      </c>
      <c r="Z158" s="2">
        <v>1167943.8137896152</v>
      </c>
      <c r="AA158" s="21">
        <f ca="1">Z158/Z$649</f>
        <v>1.209245278848365E-2</v>
      </c>
      <c r="AB158" s="22">
        <f ca="1">AA158*AB$679</f>
        <v>3248643.1058519436</v>
      </c>
      <c r="AC158" s="2">
        <v>1179711.0454794723</v>
      </c>
      <c r="AD158" s="21">
        <f ca="1">AC158/AC$649</f>
        <v>1.2060034295859379E-2</v>
      </c>
      <c r="AE158" s="22">
        <f ca="1">AD158*AE$679</f>
        <v>3301492.6060156617</v>
      </c>
      <c r="AF158" s="2">
        <v>1192363.7510772105</v>
      </c>
      <c r="AG158" s="21">
        <f ca="1">AF158/AF$649</f>
        <v>1.1763158576390018E-2</v>
      </c>
      <c r="AH158" s="22">
        <f ca="1">AG158*AH$679</f>
        <v>3278185.4306858052</v>
      </c>
      <c r="AI158" s="2">
        <v>2354650.9804508174</v>
      </c>
      <c r="AJ158" s="21">
        <f ca="1">AI158/AI$649</f>
        <v>1.2292334033833979E-2</v>
      </c>
      <c r="AK158" s="22">
        <f ca="1">AJ158*AK$679</f>
        <v>3487319.1564774709</v>
      </c>
      <c r="AL158" s="2">
        <v>12444366.048990272</v>
      </c>
    </row>
    <row r="159" spans="1:38" ht="12.75" x14ac:dyDescent="0.2">
      <c r="A159" s="8" t="s">
        <v>16</v>
      </c>
      <c r="B159" s="8" t="s">
        <v>17</v>
      </c>
      <c r="C159" s="8" t="s">
        <v>18</v>
      </c>
      <c r="D159" s="8" t="s">
        <v>74</v>
      </c>
      <c r="E159" s="8" t="s">
        <v>78</v>
      </c>
      <c r="F159" s="8" t="s">
        <v>27</v>
      </c>
      <c r="G159" s="8" t="s">
        <v>516</v>
      </c>
      <c r="H159" s="20">
        <v>0</v>
      </c>
      <c r="I159" s="21">
        <f>H159/H$657</f>
        <v>0</v>
      </c>
      <c r="J159" s="22">
        <f>I159*J$687</f>
        <v>0</v>
      </c>
      <c r="K159" s="2">
        <v>0</v>
      </c>
      <c r="L159" s="21">
        <f ca="1">K159/K$657</f>
        <v>0</v>
      </c>
      <c r="M159" s="22">
        <f ca="1">L159*M$687</f>
        <v>0</v>
      </c>
      <c r="N159" s="2">
        <v>0</v>
      </c>
      <c r="O159" s="21">
        <f ca="1">N159/N$657</f>
        <v>0</v>
      </c>
      <c r="P159" s="22">
        <f ca="1">O159*P$687</f>
        <v>0</v>
      </c>
      <c r="Q159" s="2">
        <v>0</v>
      </c>
      <c r="R159" s="21">
        <f ca="1">Q159/Q$657</f>
        <v>0</v>
      </c>
      <c r="S159" s="22">
        <f ca="1">R159*S$687</f>
        <v>0</v>
      </c>
      <c r="T159" s="2">
        <v>0</v>
      </c>
      <c r="U159" s="21">
        <f ca="1">T159/T$657</f>
        <v>0</v>
      </c>
      <c r="V159" s="22">
        <f ca="1">U159*V$687</f>
        <v>0</v>
      </c>
      <c r="W159" s="2">
        <v>0</v>
      </c>
      <c r="X159" s="21">
        <f ca="1">W159/W$657</f>
        <v>0</v>
      </c>
      <c r="Y159" s="22">
        <f ca="1">X159*Y$687</f>
        <v>0</v>
      </c>
      <c r="Z159" s="2">
        <v>0</v>
      </c>
      <c r="AA159" s="21">
        <f ca="1">Z159/Z$657</f>
        <v>0</v>
      </c>
      <c r="AB159" s="22">
        <f ca="1">AA159*AB$687</f>
        <v>0</v>
      </c>
      <c r="AC159" s="2">
        <v>0</v>
      </c>
      <c r="AD159" s="21">
        <f ca="1">AC159/AC$657</f>
        <v>0</v>
      </c>
      <c r="AE159" s="22">
        <f ca="1">AD159*AE$687</f>
        <v>0</v>
      </c>
      <c r="AF159" s="2">
        <v>0</v>
      </c>
      <c r="AG159" s="21">
        <f ca="1">AF159/AF$657</f>
        <v>0</v>
      </c>
      <c r="AH159" s="22">
        <f ca="1">AG159*AH$687</f>
        <v>0</v>
      </c>
      <c r="AI159" s="2">
        <v>0</v>
      </c>
      <c r="AJ159" s="21">
        <f ca="1">AI159/AI$657</f>
        <v>0</v>
      </c>
      <c r="AK159" s="22">
        <f ca="1">AJ159*AK$687</f>
        <v>0</v>
      </c>
      <c r="AL159" s="2">
        <v>0</v>
      </c>
    </row>
    <row r="160" spans="1:38" ht="12.75" x14ac:dyDescent="0.2">
      <c r="A160" s="8" t="s">
        <v>16</v>
      </c>
      <c r="B160" s="8" t="s">
        <v>17</v>
      </c>
      <c r="C160" s="8" t="s">
        <v>18</v>
      </c>
      <c r="D160" s="8" t="s">
        <v>74</v>
      </c>
      <c r="E160" s="8" t="s">
        <v>78</v>
      </c>
      <c r="F160" s="8" t="s">
        <v>28</v>
      </c>
      <c r="G160" s="8" t="s">
        <v>517</v>
      </c>
      <c r="H160" s="20">
        <v>0</v>
      </c>
      <c r="I160" s="21">
        <f>H160/H$669</f>
        <v>0</v>
      </c>
      <c r="J160" s="22">
        <f>I160*J$699</f>
        <v>0</v>
      </c>
      <c r="K160" s="2">
        <v>0</v>
      </c>
      <c r="L160" s="21">
        <f ca="1">K160/K$669</f>
        <v>0</v>
      </c>
      <c r="M160" s="22">
        <f ca="1">L160*M$699</f>
        <v>0</v>
      </c>
      <c r="N160" s="2">
        <v>0</v>
      </c>
      <c r="O160" s="21">
        <f ca="1">N160/N$669</f>
        <v>0</v>
      </c>
      <c r="P160" s="22">
        <f ca="1">O160*P$699</f>
        <v>0</v>
      </c>
      <c r="Q160" s="2">
        <v>0</v>
      </c>
      <c r="R160" s="21">
        <f ca="1">Q160/Q$669</f>
        <v>0</v>
      </c>
      <c r="S160" s="22">
        <f ca="1">R160*S$699</f>
        <v>0</v>
      </c>
      <c r="T160" s="2">
        <v>0</v>
      </c>
      <c r="U160" s="21">
        <f ca="1">T160/T$669</f>
        <v>0</v>
      </c>
      <c r="V160" s="22">
        <f ca="1">U160*V$699</f>
        <v>0</v>
      </c>
      <c r="W160" s="2">
        <v>109995.91448463444</v>
      </c>
      <c r="X160" s="21">
        <f ca="1">W160/W$669</f>
        <v>3.9433836794133198E-3</v>
      </c>
      <c r="Y160" s="22">
        <f ca="1">X160*Y$699</f>
        <v>20430.119360832847</v>
      </c>
      <c r="Z160" s="2">
        <v>0</v>
      </c>
      <c r="AA160" s="21">
        <f ca="1">Z160/Z$669</f>
        <v>0</v>
      </c>
      <c r="AB160" s="22">
        <f ca="1">AA160*AB$699</f>
        <v>0</v>
      </c>
      <c r="AC160" s="2">
        <v>55448.281384095651</v>
      </c>
      <c r="AD160" s="21">
        <f ca="1">AC160/AC$669</f>
        <v>1.7582153925098918E-3</v>
      </c>
      <c r="AE160" s="22">
        <f ca="1">AD160*AE$699</f>
        <v>9449.2188822387161</v>
      </c>
      <c r="AF160" s="2">
        <v>0</v>
      </c>
      <c r="AG160" s="21">
        <f ca="1">AF160/AF$669</f>
        <v>0</v>
      </c>
      <c r="AH160" s="22">
        <f ca="1">AG160*AH$699</f>
        <v>0</v>
      </c>
      <c r="AI160" s="2">
        <v>0</v>
      </c>
      <c r="AJ160" s="21">
        <f ca="1">AI160/AI$669</f>
        <v>0</v>
      </c>
      <c r="AK160" s="22">
        <f ca="1">AJ160*AK$699</f>
        <v>0</v>
      </c>
      <c r="AL160" s="2">
        <v>165444.19586873008</v>
      </c>
    </row>
    <row r="161" spans="1:38" ht="12.75" x14ac:dyDescent="0.2">
      <c r="A161" s="8" t="s">
        <v>16</v>
      </c>
      <c r="B161" s="8" t="s">
        <v>17</v>
      </c>
      <c r="C161" s="8" t="s">
        <v>18</v>
      </c>
      <c r="D161" s="8" t="s">
        <v>74</v>
      </c>
      <c r="E161" s="8" t="s">
        <v>79</v>
      </c>
      <c r="F161" s="8" t="s">
        <v>21</v>
      </c>
      <c r="G161" s="8" t="s">
        <v>518</v>
      </c>
      <c r="H161" s="20">
        <v>200000</v>
      </c>
      <c r="I161" s="21">
        <f>H161/H$645</f>
        <v>1.3236993292636598E-2</v>
      </c>
      <c r="J161" s="22">
        <f>I161*J$675</f>
        <v>1869.0634529202875</v>
      </c>
      <c r="K161" s="2">
        <v>200000</v>
      </c>
      <c r="L161" s="21">
        <f ca="1">K161/K$645</f>
        <v>1.3072805528357498E-2</v>
      </c>
      <c r="M161" s="22">
        <f ca="1">L161*M$675</f>
        <v>5640.3926732651262</v>
      </c>
      <c r="N161" s="2">
        <v>200000</v>
      </c>
      <c r="O161" s="21">
        <f ca="1">N161/N$645</f>
        <v>9.2062732544481354E-3</v>
      </c>
      <c r="P161" s="22">
        <f ca="1">O161*P$675</f>
        <v>4075.4142634816617</v>
      </c>
      <c r="Q161" s="2">
        <v>200000</v>
      </c>
      <c r="R161" s="21">
        <f ca="1">Q161/Q$645</f>
        <v>7.9216666628463828E-3</v>
      </c>
      <c r="S161" s="22">
        <f ca="1">R161*S$675</f>
        <v>3587.4024001866146</v>
      </c>
      <c r="T161" s="2">
        <v>200000</v>
      </c>
      <c r="U161" s="21">
        <f ca="1">T161/T$645</f>
        <v>9.6893804207999444E-3</v>
      </c>
      <c r="V161" s="22">
        <f ca="1">U161*V$675</f>
        <v>4480.0749494131014</v>
      </c>
      <c r="W161" s="2">
        <v>200000</v>
      </c>
      <c r="X161" s="21">
        <f ca="1">W161/W$645</f>
        <v>9.6756847846563142E-3</v>
      </c>
      <c r="Y161" s="22">
        <f ca="1">X161*Y$675</f>
        <v>4563.217431085257</v>
      </c>
      <c r="Z161" s="2">
        <v>200000</v>
      </c>
      <c r="AA161" s="21">
        <f ca="1">Z161/Z$645</f>
        <v>9.7213786303917919E-3</v>
      </c>
      <c r="AB161" s="22">
        <f ca="1">AA161*AB$675</f>
        <v>4667.2931808607445</v>
      </c>
      <c r="AC161" s="2">
        <v>200000</v>
      </c>
      <c r="AD161" s="21">
        <f ca="1">AC161/AC$645</f>
        <v>8.4216387729403701E-3</v>
      </c>
      <c r="AE161" s="22">
        <f ca="1">AD161*AE$675</f>
        <v>4120.102504204724</v>
      </c>
      <c r="AF161" s="2">
        <v>200000</v>
      </c>
      <c r="AG161" s="21">
        <f ca="1">AF161/AF$645</f>
        <v>9.1690244688168339E-3</v>
      </c>
      <c r="AH161" s="22">
        <f ca="1">AG161*AH$675</f>
        <v>4566.4879494881061</v>
      </c>
      <c r="AI161" s="2">
        <v>200000</v>
      </c>
      <c r="AJ161" s="21">
        <f ca="1">AI161/AI$645</f>
        <v>7.8442880637013043E-3</v>
      </c>
      <c r="AK161" s="22">
        <f ca="1">AJ161*AK$675</f>
        <v>3977.0449489224075</v>
      </c>
      <c r="AL161" s="2">
        <v>2000000</v>
      </c>
    </row>
    <row r="162" spans="1:38" ht="12.75" x14ac:dyDescent="0.2">
      <c r="A162" s="8" t="s">
        <v>16</v>
      </c>
      <c r="B162" s="8" t="s">
        <v>17</v>
      </c>
      <c r="C162" s="8" t="s">
        <v>18</v>
      </c>
      <c r="D162" s="8" t="s">
        <v>74</v>
      </c>
      <c r="E162" s="8" t="s">
        <v>79</v>
      </c>
      <c r="F162" s="8" t="s">
        <v>24</v>
      </c>
      <c r="G162" s="8" t="s">
        <v>519</v>
      </c>
      <c r="H162" s="20">
        <v>101729.29753296291</v>
      </c>
      <c r="I162" s="21">
        <f t="shared" ref="I162:I163" si="380">H162/H$646</f>
        <v>1.2389527894526749E-3</v>
      </c>
      <c r="J162" s="22">
        <f t="shared" ref="J162:J163" si="381">I162*J$676</f>
        <v>2665.7803798979535</v>
      </c>
      <c r="K162" s="2">
        <v>0</v>
      </c>
      <c r="L162" s="21">
        <f t="shared" ref="L162:L163" ca="1" si="382">K162/K$646</f>
        <v>0</v>
      </c>
      <c r="M162" s="22">
        <f t="shared" ref="M162:M163" ca="1" si="383">L162*M$676</f>
        <v>0</v>
      </c>
      <c r="N162" s="2">
        <v>0</v>
      </c>
      <c r="O162" s="21">
        <f t="shared" ref="O162:O163" ca="1" si="384">N162/N$646</f>
        <v>0</v>
      </c>
      <c r="P162" s="22">
        <f t="shared" ref="P162:P163" ca="1" si="385">O162*P$676</f>
        <v>0</v>
      </c>
      <c r="Q162" s="2">
        <v>0</v>
      </c>
      <c r="R162" s="21">
        <f t="shared" ref="R162:R163" ca="1" si="386">Q162/Q$646</f>
        <v>0</v>
      </c>
      <c r="S162" s="22">
        <f t="shared" ref="S162:S163" ca="1" si="387">R162*S$676</f>
        <v>0</v>
      </c>
      <c r="T162" s="2">
        <v>0</v>
      </c>
      <c r="U162" s="21">
        <f t="shared" ref="U162:U163" ca="1" si="388">T162/T$646</f>
        <v>0</v>
      </c>
      <c r="V162" s="22">
        <f t="shared" ref="V162:V163" ca="1" si="389">U162*V$676</f>
        <v>0</v>
      </c>
      <c r="W162" s="2">
        <v>0</v>
      </c>
      <c r="X162" s="21">
        <f t="shared" ref="X162:X163" ca="1" si="390">W162/W$646</f>
        <v>0</v>
      </c>
      <c r="Y162" s="22">
        <f t="shared" ref="Y162:Y163" ca="1" si="391">X162*Y$676</f>
        <v>0</v>
      </c>
      <c r="Z162" s="2">
        <v>0</v>
      </c>
      <c r="AA162" s="21">
        <f t="shared" ref="AA162:AA163" ca="1" si="392">Z162/Z$646</f>
        <v>0</v>
      </c>
      <c r="AB162" s="22">
        <f t="shared" ref="AB162:AB163" ca="1" si="393">AA162*AB$676</f>
        <v>0</v>
      </c>
      <c r="AC162" s="2">
        <v>0</v>
      </c>
      <c r="AD162" s="21">
        <f t="shared" ref="AD162:AD163" ca="1" si="394">AC162/AC$646</f>
        <v>0</v>
      </c>
      <c r="AE162" s="22">
        <f t="shared" ref="AE162:AE163" ca="1" si="395">AD162*AE$676</f>
        <v>0</v>
      </c>
      <c r="AF162" s="2">
        <v>0</v>
      </c>
      <c r="AG162" s="21">
        <f t="shared" ref="AG162:AG163" ca="1" si="396">AF162/AF$646</f>
        <v>0</v>
      </c>
      <c r="AH162" s="22">
        <f t="shared" ref="AH162:AH163" ca="1" si="397">AG162*AH$676</f>
        <v>0</v>
      </c>
      <c r="AI162" s="2">
        <v>0</v>
      </c>
      <c r="AJ162" s="21">
        <f t="shared" ref="AJ162:AJ163" ca="1" si="398">AI162/AI$646</f>
        <v>0</v>
      </c>
      <c r="AK162" s="22">
        <f t="shared" ref="AK162:AK163" ca="1" si="399">AJ162*AK$676</f>
        <v>0</v>
      </c>
      <c r="AL162" s="2">
        <v>101729.29753296291</v>
      </c>
    </row>
    <row r="163" spans="1:38" ht="12.75" x14ac:dyDescent="0.2">
      <c r="A163" s="8" t="s">
        <v>16</v>
      </c>
      <c r="B163" s="8" t="s">
        <v>17</v>
      </c>
      <c r="C163" s="8" t="s">
        <v>18</v>
      </c>
      <c r="D163" s="8" t="s">
        <v>74</v>
      </c>
      <c r="E163" s="8" t="s">
        <v>79</v>
      </c>
      <c r="F163" s="8" t="s">
        <v>24</v>
      </c>
      <c r="G163" s="8" t="s">
        <v>520</v>
      </c>
      <c r="H163" s="20">
        <v>0</v>
      </c>
      <c r="I163" s="21">
        <f t="shared" si="380"/>
        <v>0</v>
      </c>
      <c r="J163" s="22">
        <f t="shared" si="381"/>
        <v>0</v>
      </c>
      <c r="K163" s="2">
        <v>0</v>
      </c>
      <c r="L163" s="21">
        <f t="shared" ca="1" si="382"/>
        <v>0</v>
      </c>
      <c r="M163" s="22">
        <f t="shared" ca="1" si="383"/>
        <v>0</v>
      </c>
      <c r="N163" s="2">
        <v>0</v>
      </c>
      <c r="O163" s="21">
        <f t="shared" ca="1" si="384"/>
        <v>0</v>
      </c>
      <c r="P163" s="22">
        <f t="shared" ca="1" si="385"/>
        <v>0</v>
      </c>
      <c r="Q163" s="2">
        <v>0</v>
      </c>
      <c r="R163" s="21">
        <f t="shared" ca="1" si="386"/>
        <v>0</v>
      </c>
      <c r="S163" s="22">
        <f t="shared" ca="1" si="387"/>
        <v>0</v>
      </c>
      <c r="T163" s="2">
        <v>0</v>
      </c>
      <c r="U163" s="21">
        <f t="shared" ca="1" si="388"/>
        <v>0</v>
      </c>
      <c r="V163" s="22">
        <f t="shared" ca="1" si="389"/>
        <v>0</v>
      </c>
      <c r="W163" s="2">
        <v>0</v>
      </c>
      <c r="X163" s="21">
        <f t="shared" ca="1" si="390"/>
        <v>0</v>
      </c>
      <c r="Y163" s="22">
        <f t="shared" ca="1" si="391"/>
        <v>0</v>
      </c>
      <c r="Z163" s="2">
        <v>0</v>
      </c>
      <c r="AA163" s="21">
        <f t="shared" ca="1" si="392"/>
        <v>0</v>
      </c>
      <c r="AB163" s="22">
        <f t="shared" ca="1" si="393"/>
        <v>0</v>
      </c>
      <c r="AC163" s="2">
        <v>0</v>
      </c>
      <c r="AD163" s="21">
        <f t="shared" ca="1" si="394"/>
        <v>0</v>
      </c>
      <c r="AE163" s="22">
        <f t="shared" ca="1" si="395"/>
        <v>0</v>
      </c>
      <c r="AF163" s="2">
        <v>0</v>
      </c>
      <c r="AG163" s="21">
        <f t="shared" ca="1" si="396"/>
        <v>0</v>
      </c>
      <c r="AH163" s="22">
        <f t="shared" ca="1" si="397"/>
        <v>0</v>
      </c>
      <c r="AI163" s="2">
        <v>0</v>
      </c>
      <c r="AJ163" s="21">
        <f t="shared" ca="1" si="398"/>
        <v>0</v>
      </c>
      <c r="AK163" s="22">
        <f t="shared" ca="1" si="399"/>
        <v>0</v>
      </c>
      <c r="AL163" s="2">
        <v>0</v>
      </c>
    </row>
    <row r="164" spans="1:38" ht="12.75" x14ac:dyDescent="0.2">
      <c r="A164" s="8" t="s">
        <v>16</v>
      </c>
      <c r="B164" s="8" t="s">
        <v>17</v>
      </c>
      <c r="C164" s="8" t="s">
        <v>18</v>
      </c>
      <c r="D164" s="8" t="s">
        <v>74</v>
      </c>
      <c r="E164" s="8" t="s">
        <v>79</v>
      </c>
      <c r="F164" s="23" t="s">
        <v>37</v>
      </c>
      <c r="G164" s="8" t="s">
        <v>521</v>
      </c>
      <c r="H164" s="20">
        <v>80000</v>
      </c>
      <c r="I164" s="21">
        <f>H164/H$649</f>
        <v>1.1291241485965916E-3</v>
      </c>
      <c r="J164" s="22">
        <f>I164*J$679</f>
        <v>54371.287593315014</v>
      </c>
      <c r="K164" s="2">
        <v>80000</v>
      </c>
      <c r="L164" s="21">
        <f ca="1">K164/K$649</f>
        <v>9.5377270621269247E-4</v>
      </c>
      <c r="M164" s="22">
        <f ca="1">L164*M$679</f>
        <v>87110.309300673747</v>
      </c>
      <c r="N164" s="2">
        <v>80000</v>
      </c>
      <c r="O164" s="21">
        <f ca="1">N164/N$649</f>
        <v>8.9626872947766163E-4</v>
      </c>
      <c r="P164" s="22">
        <f ca="1">O164*P$679</f>
        <v>222012.03663114092</v>
      </c>
      <c r="Q164" s="2">
        <v>80000</v>
      </c>
      <c r="R164" s="21">
        <f ca="1">Q164/Q$649</f>
        <v>1.0155753072022026E-3</v>
      </c>
      <c r="S164" s="22">
        <f ca="1">R164*S$679</f>
        <v>257351.10842400958</v>
      </c>
      <c r="T164" s="2">
        <v>80000</v>
      </c>
      <c r="U164" s="21">
        <f ca="1">T164/T$649</f>
        <v>1.0294165854938598E-3</v>
      </c>
      <c r="V164" s="22">
        <f ca="1">U164*V$679</f>
        <v>266336.57679580228</v>
      </c>
      <c r="W164" s="2">
        <v>80000</v>
      </c>
      <c r="X164" s="21">
        <f ca="1">W164/W$649</f>
        <v>8.995411047685324E-4</v>
      </c>
      <c r="Y164" s="22">
        <f ca="1">X164*Y$679</f>
        <v>237389.13472142338</v>
      </c>
      <c r="Z164" s="2">
        <v>80000</v>
      </c>
      <c r="AA164" s="21">
        <f ca="1">Z164/Z$649</f>
        <v>8.2829003557952964E-4</v>
      </c>
      <c r="AB164" s="22">
        <f ca="1">AA164*AB$679</f>
        <v>222520.50603777621</v>
      </c>
      <c r="AC164" s="2">
        <v>80000</v>
      </c>
      <c r="AD164" s="21">
        <f ca="1">AC164/AC$649</f>
        <v>8.1782971123799532E-4</v>
      </c>
      <c r="AE164" s="22">
        <f ca="1">AD164*AE$679</f>
        <v>223884.83136894458</v>
      </c>
      <c r="AF164" s="2">
        <v>80000</v>
      </c>
      <c r="AG164" s="21">
        <f ca="1">AF164/AF$649</f>
        <v>7.8923288741462622E-4</v>
      </c>
      <c r="AH164" s="22">
        <f ca="1">AG164*AH$679</f>
        <v>219945.32643074481</v>
      </c>
      <c r="AI164" s="2">
        <v>80000</v>
      </c>
      <c r="AJ164" s="21">
        <f ca="1">AI164/AI$649</f>
        <v>4.1763587507072527E-4</v>
      </c>
      <c r="AK164" s="22">
        <f ca="1">AJ164*AK$679</f>
        <v>118482.75384948285</v>
      </c>
      <c r="AL164" s="2">
        <v>800000</v>
      </c>
    </row>
    <row r="165" spans="1:38" ht="12.75" x14ac:dyDescent="0.2">
      <c r="A165" s="8" t="s">
        <v>16</v>
      </c>
      <c r="B165" s="8" t="s">
        <v>17</v>
      </c>
      <c r="C165" s="8" t="s">
        <v>18</v>
      </c>
      <c r="D165" s="8" t="s">
        <v>74</v>
      </c>
      <c r="E165" s="8" t="s">
        <v>79</v>
      </c>
      <c r="F165" s="8" t="s">
        <v>27</v>
      </c>
      <c r="G165" s="8" t="s">
        <v>522</v>
      </c>
      <c r="H165" s="20">
        <v>0</v>
      </c>
      <c r="I165" s="21">
        <f>H165/H$657</f>
        <v>0</v>
      </c>
      <c r="J165" s="22">
        <f>I165*J$687</f>
        <v>0</v>
      </c>
      <c r="K165" s="2">
        <v>0</v>
      </c>
      <c r="L165" s="21">
        <f ca="1">K165/K$657</f>
        <v>0</v>
      </c>
      <c r="M165" s="22">
        <f ca="1">L165*M$687</f>
        <v>0</v>
      </c>
      <c r="N165" s="2">
        <v>0</v>
      </c>
      <c r="O165" s="21">
        <f ca="1">N165/N$657</f>
        <v>0</v>
      </c>
      <c r="P165" s="22">
        <f ca="1">O165*P$687</f>
        <v>0</v>
      </c>
      <c r="Q165" s="2">
        <v>0</v>
      </c>
      <c r="R165" s="21">
        <f ca="1">Q165/Q$657</f>
        <v>0</v>
      </c>
      <c r="S165" s="22">
        <f ca="1">R165*S$687</f>
        <v>0</v>
      </c>
      <c r="T165" s="2">
        <v>0</v>
      </c>
      <c r="U165" s="21">
        <f ca="1">T165/T$657</f>
        <v>0</v>
      </c>
      <c r="V165" s="22">
        <f ca="1">U165*V$687</f>
        <v>0</v>
      </c>
      <c r="W165" s="2">
        <v>0</v>
      </c>
      <c r="X165" s="21">
        <f ca="1">W165/W$657</f>
        <v>0</v>
      </c>
      <c r="Y165" s="22">
        <f ca="1">X165*Y$687</f>
        <v>0</v>
      </c>
      <c r="Z165" s="2">
        <v>0</v>
      </c>
      <c r="AA165" s="21">
        <f ca="1">Z165/Z$657</f>
        <v>0</v>
      </c>
      <c r="AB165" s="22">
        <f ca="1">AA165*AB$687</f>
        <v>0</v>
      </c>
      <c r="AC165" s="2">
        <v>0</v>
      </c>
      <c r="AD165" s="21">
        <f ca="1">AC165/AC$657</f>
        <v>0</v>
      </c>
      <c r="AE165" s="22">
        <f ca="1">AD165*AE$687</f>
        <v>0</v>
      </c>
      <c r="AF165" s="2">
        <v>0</v>
      </c>
      <c r="AG165" s="21">
        <f ca="1">AF165/AF$657</f>
        <v>0</v>
      </c>
      <c r="AH165" s="22">
        <f ca="1">AG165*AH$687</f>
        <v>0</v>
      </c>
      <c r="AI165" s="2">
        <v>0</v>
      </c>
      <c r="AJ165" s="21">
        <f ca="1">AI165/AI$657</f>
        <v>0</v>
      </c>
      <c r="AK165" s="22">
        <f ca="1">AJ165*AK$687</f>
        <v>0</v>
      </c>
      <c r="AL165" s="2">
        <v>0</v>
      </c>
    </row>
    <row r="166" spans="1:38" ht="12.75" x14ac:dyDescent="0.2">
      <c r="A166" s="8" t="s">
        <v>16</v>
      </c>
      <c r="B166" s="8" t="s">
        <v>17</v>
      </c>
      <c r="C166" s="8" t="s">
        <v>18</v>
      </c>
      <c r="D166" s="8" t="s">
        <v>74</v>
      </c>
      <c r="E166" s="8" t="s">
        <v>79</v>
      </c>
      <c r="F166" s="8" t="s">
        <v>28</v>
      </c>
      <c r="G166" s="8" t="s">
        <v>523</v>
      </c>
      <c r="H166" s="20">
        <v>102630.32845396915</v>
      </c>
      <c r="I166" s="21">
        <f>H166/H$669</f>
        <v>1.207922977677982E-2</v>
      </c>
      <c r="J166" s="22">
        <f>I166*J$699</f>
        <v>134622.60516839867</v>
      </c>
      <c r="K166" s="2">
        <v>0</v>
      </c>
      <c r="L166" s="21">
        <f ca="1">K166/K$669</f>
        <v>0</v>
      </c>
      <c r="M166" s="22">
        <f ca="1">L166*M$699</f>
        <v>0</v>
      </c>
      <c r="N166" s="2">
        <v>0</v>
      </c>
      <c r="O166" s="21">
        <f ca="1">N166/N$669</f>
        <v>0</v>
      </c>
      <c r="P166" s="22">
        <f ca="1">O166*P$699</f>
        <v>0</v>
      </c>
      <c r="Q166" s="2">
        <v>0</v>
      </c>
      <c r="R166" s="21">
        <f ca="1">Q166/Q$669</f>
        <v>0</v>
      </c>
      <c r="S166" s="22">
        <f ca="1">R166*S$699</f>
        <v>0</v>
      </c>
      <c r="T166" s="2">
        <v>0</v>
      </c>
      <c r="U166" s="21">
        <f ca="1">T166/T$669</f>
        <v>0</v>
      </c>
      <c r="V166" s="22">
        <f ca="1">U166*V$699</f>
        <v>0</v>
      </c>
      <c r="W166" s="2">
        <v>109995.91448463444</v>
      </c>
      <c r="X166" s="21">
        <f ca="1">W166/W$669</f>
        <v>3.9433836794133198E-3</v>
      </c>
      <c r="Y166" s="22">
        <f ca="1">X166*Y$699</f>
        <v>20430.119360832847</v>
      </c>
      <c r="Z166" s="2">
        <v>0</v>
      </c>
      <c r="AA166" s="21">
        <f ca="1">Z166/Z$669</f>
        <v>0</v>
      </c>
      <c r="AB166" s="22">
        <f ca="1">AA166*AB$699</f>
        <v>0</v>
      </c>
      <c r="AC166" s="2">
        <v>0</v>
      </c>
      <c r="AD166" s="21">
        <f ca="1">AC166/AC$669</f>
        <v>0</v>
      </c>
      <c r="AE166" s="22">
        <f ca="1">AD166*AE$699</f>
        <v>0</v>
      </c>
      <c r="AF166" s="2">
        <v>0</v>
      </c>
      <c r="AG166" s="21">
        <f ca="1">AF166/AF$669</f>
        <v>0</v>
      </c>
      <c r="AH166" s="22">
        <f ca="1">AG166*AH$699</f>
        <v>0</v>
      </c>
      <c r="AI166" s="2">
        <v>0</v>
      </c>
      <c r="AJ166" s="21">
        <f ca="1">AI166/AI$669</f>
        <v>0</v>
      </c>
      <c r="AK166" s="22">
        <f ca="1">AJ166*AK$699</f>
        <v>0</v>
      </c>
      <c r="AL166" s="2">
        <v>212626.24293860359</v>
      </c>
    </row>
    <row r="167" spans="1:38" ht="12.75" x14ac:dyDescent="0.2">
      <c r="A167" s="8" t="s">
        <v>16</v>
      </c>
      <c r="B167" s="8" t="s">
        <v>17</v>
      </c>
      <c r="C167" s="8" t="s">
        <v>18</v>
      </c>
      <c r="D167" s="8" t="s">
        <v>74</v>
      </c>
      <c r="E167" s="8" t="s">
        <v>80</v>
      </c>
      <c r="F167" s="8" t="s">
        <v>24</v>
      </c>
      <c r="G167" s="8" t="s">
        <v>524</v>
      </c>
      <c r="H167" s="20">
        <v>344849.15988605039</v>
      </c>
      <c r="I167" s="21">
        <f>H167/H$646</f>
        <v>4.1998896968967374E-3</v>
      </c>
      <c r="J167" s="22">
        <f>I167*J$676</f>
        <v>9036.6506674308966</v>
      </c>
      <c r="K167" s="2">
        <v>209367.50435025463</v>
      </c>
      <c r="L167" s="21">
        <f ca="1">K167/K$646</f>
        <v>3.3150704052992944E-3</v>
      </c>
      <c r="M167" s="22">
        <f ca="1">L167*M$676</f>
        <v>12889.037826240046</v>
      </c>
      <c r="N167" s="2">
        <v>296011.71046956419</v>
      </c>
      <c r="O167" s="21">
        <f ca="1">N167/N$646</f>
        <v>3.1578014990379637E-3</v>
      </c>
      <c r="P167" s="22">
        <f ca="1">O167*P$676</f>
        <v>53648.210657678341</v>
      </c>
      <c r="Q167" s="2">
        <v>339853.3662860411</v>
      </c>
      <c r="R167" s="21">
        <f ca="1">Q167/Q$646</f>
        <v>3.0556156494118158E-3</v>
      </c>
      <c r="S167" s="22">
        <f ca="1">R167*S$676</f>
        <v>53106.144638933285</v>
      </c>
      <c r="T167" s="2">
        <v>84629.551539243606</v>
      </c>
      <c r="U167" s="21">
        <f ca="1">T167/T$646</f>
        <v>1.0087304049841764E-3</v>
      </c>
      <c r="V167" s="22">
        <f ca="1">U167*V$676</f>
        <v>17899.747383504993</v>
      </c>
      <c r="W167" s="2">
        <v>91627.275222324475</v>
      </c>
      <c r="X167" s="21">
        <f ca="1">W167/W$646</f>
        <v>1.0482848040762145E-3</v>
      </c>
      <c r="Y167" s="22">
        <f ca="1">X167*Y$676</f>
        <v>18973.666056970327</v>
      </c>
      <c r="Z167" s="2">
        <v>279222.12689462455</v>
      </c>
      <c r="AA167" s="21">
        <f ca="1">Z167/Z$646</f>
        <v>2.405724735896874E-3</v>
      </c>
      <c r="AB167" s="22">
        <f ca="1">AA167*AB$676</f>
        <v>44326.727912613962</v>
      </c>
      <c r="AC167" s="2">
        <v>215819.60297104344</v>
      </c>
      <c r="AD167" s="21">
        <f ca="1">AC167/AC$646</f>
        <v>2.0742748718596288E-3</v>
      </c>
      <c r="AE167" s="22">
        <f ca="1">AD167*AE$676</f>
        <v>38945.764244955091</v>
      </c>
      <c r="AF167" s="2">
        <v>217383.32083614313</v>
      </c>
      <c r="AG167" s="21">
        <f ca="1">AF167/AF$646</f>
        <v>2.3093031704018272E-3</v>
      </c>
      <c r="AH167" s="22">
        <f ca="1">AG167*AH$676</f>
        <v>44139.016714042031</v>
      </c>
      <c r="AI167" s="2">
        <v>0</v>
      </c>
      <c r="AJ167" s="21">
        <f ca="1">AI167/AI$646</f>
        <v>0</v>
      </c>
      <c r="AK167" s="22">
        <f ca="1">AJ167*AK$676</f>
        <v>0</v>
      </c>
      <c r="AL167" s="2">
        <v>2078763.6184552899</v>
      </c>
    </row>
    <row r="168" spans="1:38" ht="12.75" x14ac:dyDescent="0.2">
      <c r="A168" s="8" t="s">
        <v>16</v>
      </c>
      <c r="B168" s="8" t="s">
        <v>17</v>
      </c>
      <c r="C168" s="8" t="s">
        <v>18</v>
      </c>
      <c r="D168" s="8" t="s">
        <v>74</v>
      </c>
      <c r="E168" s="8" t="s">
        <v>80</v>
      </c>
      <c r="F168" s="23" t="s">
        <v>37</v>
      </c>
      <c r="G168" s="8" t="s">
        <v>525</v>
      </c>
      <c r="H168" s="20">
        <v>80000</v>
      </c>
      <c r="I168" s="21">
        <f>H168/H$649</f>
        <v>1.1291241485965916E-3</v>
      </c>
      <c r="J168" s="22">
        <f>I168*J$679</f>
        <v>54371.287593315014</v>
      </c>
      <c r="K168" s="2">
        <v>80000</v>
      </c>
      <c r="L168" s="21">
        <f ca="1">K168/K$649</f>
        <v>9.5377270621269247E-4</v>
      </c>
      <c r="M168" s="22">
        <f ca="1">L168*M$679</f>
        <v>87110.309300673747</v>
      </c>
      <c r="N168" s="2">
        <v>80000</v>
      </c>
      <c r="O168" s="21">
        <f ca="1">N168/N$649</f>
        <v>8.9626872947766163E-4</v>
      </c>
      <c r="P168" s="22">
        <f ca="1">O168*P$679</f>
        <v>222012.03663114092</v>
      </c>
      <c r="Q168" s="2">
        <v>80000</v>
      </c>
      <c r="R168" s="21">
        <f ca="1">Q168/Q$649</f>
        <v>1.0155753072022026E-3</v>
      </c>
      <c r="S168" s="22">
        <f ca="1">R168*S$679</f>
        <v>257351.10842400958</v>
      </c>
      <c r="T168" s="2">
        <v>80000</v>
      </c>
      <c r="U168" s="21">
        <f ca="1">T168/T$649</f>
        <v>1.0294165854938598E-3</v>
      </c>
      <c r="V168" s="22">
        <f ca="1">U168*V$679</f>
        <v>266336.57679580228</v>
      </c>
      <c r="W168" s="2">
        <v>80000</v>
      </c>
      <c r="X168" s="21">
        <f ca="1">W168/W$649</f>
        <v>8.995411047685324E-4</v>
      </c>
      <c r="Y168" s="22">
        <f ca="1">X168*Y$679</f>
        <v>237389.13472142338</v>
      </c>
      <c r="Z168" s="2">
        <v>80000</v>
      </c>
      <c r="AA168" s="21">
        <f ca="1">Z168/Z$649</f>
        <v>8.2829003557952964E-4</v>
      </c>
      <c r="AB168" s="22">
        <f ca="1">AA168*AB$679</f>
        <v>222520.50603777621</v>
      </c>
      <c r="AC168" s="2">
        <v>80000</v>
      </c>
      <c r="AD168" s="21">
        <f ca="1">AC168/AC$649</f>
        <v>8.1782971123799532E-4</v>
      </c>
      <c r="AE168" s="22">
        <f ca="1">AD168*AE$679</f>
        <v>223884.83136894458</v>
      </c>
      <c r="AF168" s="2">
        <v>80000</v>
      </c>
      <c r="AG168" s="21">
        <f ca="1">AF168/AF$649</f>
        <v>7.8923288741462622E-4</v>
      </c>
      <c r="AH168" s="22">
        <f ca="1">AG168*AH$679</f>
        <v>219945.32643074481</v>
      </c>
      <c r="AI168" s="2">
        <v>80000</v>
      </c>
      <c r="AJ168" s="21">
        <f ca="1">AI168/AI$649</f>
        <v>4.1763587507072527E-4</v>
      </c>
      <c r="AK168" s="22">
        <f ca="1">AJ168*AK$679</f>
        <v>118482.75384948285</v>
      </c>
      <c r="AL168" s="2">
        <v>800000</v>
      </c>
    </row>
    <row r="169" spans="1:38" ht="12.75" x14ac:dyDescent="0.2">
      <c r="A169" s="8" t="s">
        <v>16</v>
      </c>
      <c r="B169" s="8" t="s">
        <v>17</v>
      </c>
      <c r="C169" s="8" t="s">
        <v>18</v>
      </c>
      <c r="D169" s="8" t="s">
        <v>74</v>
      </c>
      <c r="E169" s="8" t="s">
        <v>80</v>
      </c>
      <c r="F169" s="8" t="s">
        <v>26</v>
      </c>
      <c r="G169" s="8" t="s">
        <v>526</v>
      </c>
      <c r="H169" s="20">
        <v>0</v>
      </c>
      <c r="I169" s="21">
        <f>H169/H$655</f>
        <v>0</v>
      </c>
      <c r="J169" s="22">
        <f>I169*J$685</f>
        <v>0</v>
      </c>
      <c r="K169" s="2">
        <v>0</v>
      </c>
      <c r="L169" s="21">
        <f ca="1">K169/K$655</f>
        <v>0</v>
      </c>
      <c r="M169" s="22">
        <f ca="1">L169*M$685</f>
        <v>0</v>
      </c>
      <c r="N169" s="2">
        <v>0</v>
      </c>
      <c r="O169" s="21">
        <f ca="1">N169/N$655</f>
        <v>0</v>
      </c>
      <c r="P169" s="22">
        <f ca="1">O169*P$685</f>
        <v>0</v>
      </c>
      <c r="Q169" s="2">
        <v>980503.63319519558</v>
      </c>
      <c r="R169" s="21">
        <f ca="1">Q169/Q$655</f>
        <v>7.0429662169009411E-3</v>
      </c>
      <c r="S169" s="22">
        <f ca="1">R169*S$685</f>
        <v>20454.52167637672</v>
      </c>
      <c r="T169" s="2">
        <v>365135.59041847219</v>
      </c>
      <c r="U169" s="21">
        <f ca="1">T169/T$655</f>
        <v>3.6756149613757869E-3</v>
      </c>
      <c r="V169" s="22">
        <f ca="1">U169*V$685</f>
        <v>10899.070841202591</v>
      </c>
      <c r="W169" s="2">
        <v>378048.73526970018</v>
      </c>
      <c r="X169" s="21">
        <f ca="1">W169/W$655</f>
        <v>3.5264185222312317E-3</v>
      </c>
      <c r="Y169" s="22">
        <f ca="1">X169*Y$685</f>
        <v>10665.801353236517</v>
      </c>
      <c r="Z169" s="2">
        <v>375842.1995315766</v>
      </c>
      <c r="AA169" s="21">
        <f ca="1">Z169/Z$655</f>
        <v>3.2582599428386807E-3</v>
      </c>
      <c r="AB169" s="22">
        <f ca="1">AA169*AB$685</f>
        <v>10032.129840850019</v>
      </c>
      <c r="AC169" s="2">
        <v>397247.33020177099</v>
      </c>
      <c r="AD169" s="21">
        <f ca="1">AC169/AC$655</f>
        <v>3.526069826222963E-3</v>
      </c>
      <c r="AE169" s="22">
        <f ca="1">AD169*AE$685</f>
        <v>11062.989672517127</v>
      </c>
      <c r="AF169" s="2">
        <v>408855.90240660368</v>
      </c>
      <c r="AG169" s="21">
        <f ca="1">AF169/AF$655</f>
        <v>3.3943893475479126E-3</v>
      </c>
      <c r="AH169" s="22">
        <f ca="1">AG169*AH$685</f>
        <v>10841.541424421586</v>
      </c>
      <c r="AI169" s="2">
        <v>420242.11086448492</v>
      </c>
      <c r="AJ169" s="21">
        <f ca="1">AI169/AI$655</f>
        <v>2.2695890528079124E-3</v>
      </c>
      <c r="AK169" s="22">
        <f ca="1">AJ169*AK$685</f>
        <v>7379.4565967221561</v>
      </c>
      <c r="AL169" s="2">
        <v>3325875.5018878039</v>
      </c>
    </row>
    <row r="170" spans="1:38" ht="12.75" x14ac:dyDescent="0.2">
      <c r="A170" s="8" t="s">
        <v>16</v>
      </c>
      <c r="B170" s="8" t="s">
        <v>17</v>
      </c>
      <c r="C170" s="8" t="s">
        <v>18</v>
      </c>
      <c r="D170" s="8" t="s">
        <v>74</v>
      </c>
      <c r="E170" s="8" t="s">
        <v>80</v>
      </c>
      <c r="F170" s="8" t="s">
        <v>28</v>
      </c>
      <c r="G170" s="8" t="s">
        <v>527</v>
      </c>
      <c r="H170" s="20">
        <v>102630.32845396915</v>
      </c>
      <c r="I170" s="21">
        <f>H170/H$669</f>
        <v>1.207922977677982E-2</v>
      </c>
      <c r="J170" s="22">
        <f>I170*J$699</f>
        <v>134622.60516839867</v>
      </c>
      <c r="K170" s="2">
        <v>0</v>
      </c>
      <c r="L170" s="21">
        <f ca="1">K170/K$669</f>
        <v>0</v>
      </c>
      <c r="M170" s="22">
        <f ca="1">L170*M$699</f>
        <v>0</v>
      </c>
      <c r="N170" s="2">
        <v>0</v>
      </c>
      <c r="O170" s="21">
        <f ca="1">N170/N$669</f>
        <v>0</v>
      </c>
      <c r="P170" s="22">
        <f ca="1">O170*P$699</f>
        <v>0</v>
      </c>
      <c r="Q170" s="2">
        <v>0</v>
      </c>
      <c r="R170" s="21">
        <f ca="1">Q170/Q$669</f>
        <v>0</v>
      </c>
      <c r="S170" s="22">
        <f ca="1">R170*S$699</f>
        <v>0</v>
      </c>
      <c r="T170" s="2">
        <v>0</v>
      </c>
      <c r="U170" s="21">
        <f ca="1">T170/T$669</f>
        <v>0</v>
      </c>
      <c r="V170" s="22">
        <f ca="1">U170*V$699</f>
        <v>0</v>
      </c>
      <c r="W170" s="2">
        <v>0</v>
      </c>
      <c r="X170" s="21">
        <f ca="1">W170/W$669</f>
        <v>0</v>
      </c>
      <c r="Y170" s="22">
        <f ca="1">X170*Y$699</f>
        <v>0</v>
      </c>
      <c r="Z170" s="2">
        <v>0</v>
      </c>
      <c r="AA170" s="21">
        <f ca="1">Z170/Z$669</f>
        <v>0</v>
      </c>
      <c r="AB170" s="22">
        <f ca="1">AA170*AB$699</f>
        <v>0</v>
      </c>
      <c r="AC170" s="2">
        <v>0</v>
      </c>
      <c r="AD170" s="21">
        <f ca="1">AC170/AC$669</f>
        <v>0</v>
      </c>
      <c r="AE170" s="22">
        <f ca="1">AD170*AE$699</f>
        <v>0</v>
      </c>
      <c r="AF170" s="2">
        <v>0</v>
      </c>
      <c r="AG170" s="21">
        <f ca="1">AF170/AF$669</f>
        <v>0</v>
      </c>
      <c r="AH170" s="22">
        <f ca="1">AG170*AH$699</f>
        <v>0</v>
      </c>
      <c r="AI170" s="2">
        <v>0</v>
      </c>
      <c r="AJ170" s="21">
        <f ca="1">AI170/AI$669</f>
        <v>0</v>
      </c>
      <c r="AK170" s="22">
        <f ca="1">AJ170*AK$699</f>
        <v>0</v>
      </c>
      <c r="AL170" s="2">
        <v>102630.32845396915</v>
      </c>
    </row>
    <row r="171" spans="1:38" ht="12.75" x14ac:dyDescent="0.2">
      <c r="A171" s="8" t="s">
        <v>16</v>
      </c>
      <c r="B171" s="8" t="s">
        <v>17</v>
      </c>
      <c r="C171" s="8" t="s">
        <v>18</v>
      </c>
      <c r="D171" s="8" t="s">
        <v>74</v>
      </c>
      <c r="E171" s="8" t="s">
        <v>81</v>
      </c>
      <c r="F171" s="8" t="s">
        <v>21</v>
      </c>
      <c r="G171" s="8" t="s">
        <v>528</v>
      </c>
      <c r="H171" s="20">
        <v>900000</v>
      </c>
      <c r="I171" s="21">
        <f>H171/H$645</f>
        <v>5.9566469816864691E-2</v>
      </c>
      <c r="J171" s="22">
        <f>I171*J$675</f>
        <v>8410.7855381412937</v>
      </c>
      <c r="K171" s="2">
        <v>900000</v>
      </c>
      <c r="L171" s="21">
        <f ca="1">K171/K$645</f>
        <v>5.8827624877608745E-2</v>
      </c>
      <c r="M171" s="22">
        <f ca="1">L171*M$675</f>
        <v>25381.76702969307</v>
      </c>
      <c r="N171" s="2">
        <v>900000</v>
      </c>
      <c r="O171" s="21">
        <f ca="1">N171/N$645</f>
        <v>4.1428229645016607E-2</v>
      </c>
      <c r="P171" s="22">
        <f ca="1">O171*P$675</f>
        <v>18339.364185667477</v>
      </c>
      <c r="Q171" s="2">
        <v>900000</v>
      </c>
      <c r="R171" s="21">
        <f ca="1">Q171/Q$645</f>
        <v>3.5647499982808729E-2</v>
      </c>
      <c r="S171" s="22">
        <f ca="1">R171*S$675</f>
        <v>16143.310800839768</v>
      </c>
      <c r="T171" s="2">
        <v>900000</v>
      </c>
      <c r="U171" s="21">
        <f ca="1">T171/T$645</f>
        <v>4.3602211893599745E-2</v>
      </c>
      <c r="V171" s="22">
        <f ca="1">U171*V$675</f>
        <v>20160.337272358956</v>
      </c>
      <c r="W171" s="2">
        <v>900000</v>
      </c>
      <c r="X171" s="21">
        <f ca="1">W171/W$645</f>
        <v>4.3540581530953415E-2</v>
      </c>
      <c r="Y171" s="22">
        <f ca="1">X171*Y$675</f>
        <v>20534.478439883656</v>
      </c>
      <c r="Z171" s="2">
        <v>900000</v>
      </c>
      <c r="AA171" s="21">
        <f ca="1">Z171/Z$645</f>
        <v>4.3746203836763066E-2</v>
      </c>
      <c r="AB171" s="22">
        <f ca="1">AA171*AB$675</f>
        <v>21002.819313873351</v>
      </c>
      <c r="AC171" s="2">
        <v>900000</v>
      </c>
      <c r="AD171" s="21">
        <f ca="1">AC171/AC$645</f>
        <v>3.7897374478231667E-2</v>
      </c>
      <c r="AE171" s="22">
        <f ca="1">AD171*AE$675</f>
        <v>18540.461268921259</v>
      </c>
      <c r="AF171" s="2">
        <v>900000</v>
      </c>
      <c r="AG171" s="21">
        <f ca="1">AF171/AF$645</f>
        <v>4.1260610109675758E-2</v>
      </c>
      <c r="AH171" s="22">
        <f ca="1">AG171*AH$675</f>
        <v>20549.195772696479</v>
      </c>
      <c r="AI171" s="2">
        <v>900000</v>
      </c>
      <c r="AJ171" s="21">
        <f ca="1">AI171/AI$645</f>
        <v>3.5299296286655873E-2</v>
      </c>
      <c r="AK171" s="22">
        <f ca="1">AJ171*AK$675</f>
        <v>17896.702270150836</v>
      </c>
      <c r="AL171" s="2">
        <v>9000000</v>
      </c>
    </row>
    <row r="172" spans="1:38" ht="12.75" x14ac:dyDescent="0.2">
      <c r="A172" s="8" t="s">
        <v>16</v>
      </c>
      <c r="B172" s="8" t="s">
        <v>17</v>
      </c>
      <c r="C172" s="8" t="s">
        <v>18</v>
      </c>
      <c r="D172" s="8" t="s">
        <v>74</v>
      </c>
      <c r="E172" s="8" t="s">
        <v>81</v>
      </c>
      <c r="F172" s="8" t="s">
        <v>24</v>
      </c>
      <c r="G172" s="8" t="s">
        <v>529</v>
      </c>
      <c r="H172" s="20">
        <v>76847.077629030944</v>
      </c>
      <c r="I172" s="21">
        <f>H172/H$646</f>
        <v>9.3591426952421126E-4</v>
      </c>
      <c r="J172" s="22">
        <f>I172*J$676</f>
        <v>2013.7505788790738</v>
      </c>
      <c r="K172" s="2">
        <v>30596.97706115204</v>
      </c>
      <c r="L172" s="21">
        <f ca="1">K172/K$646</f>
        <v>4.8446454697841052E-4</v>
      </c>
      <c r="M172" s="22">
        <f ca="1">L172*M$676</f>
        <v>1883.6046020305348</v>
      </c>
      <c r="N172" s="2">
        <v>0</v>
      </c>
      <c r="O172" s="21">
        <f ca="1">N172/N$646</f>
        <v>0</v>
      </c>
      <c r="P172" s="22">
        <f ca="1">O172*P$676</f>
        <v>0</v>
      </c>
      <c r="Q172" s="2">
        <v>72313.510503219877</v>
      </c>
      <c r="R172" s="21">
        <f ca="1">Q172/Q$646</f>
        <v>6.5016950331328821E-4</v>
      </c>
      <c r="S172" s="22">
        <f ca="1">R172*S$676</f>
        <v>11299.849079325566</v>
      </c>
      <c r="T172" s="2">
        <v>0</v>
      </c>
      <c r="U172" s="21">
        <f ca="1">T172/T$646</f>
        <v>0</v>
      </c>
      <c r="V172" s="22">
        <f ca="1">U172*V$676</f>
        <v>0</v>
      </c>
      <c r="W172" s="2">
        <v>99780.858568585507</v>
      </c>
      <c r="X172" s="21">
        <f ca="1">W172/W$646</f>
        <v>1.1415679176460026E-3</v>
      </c>
      <c r="Y172" s="22">
        <f ca="1">X172*Y$676</f>
        <v>20662.064704690223</v>
      </c>
      <c r="Z172" s="2">
        <v>14014.229323893418</v>
      </c>
      <c r="AA172" s="21">
        <f ca="1">Z172/Z$646</f>
        <v>1.2074393427905219E-4</v>
      </c>
      <c r="AB172" s="22">
        <f ca="1">AA172*AB$676</f>
        <v>2224.7697095281978</v>
      </c>
      <c r="AC172" s="2">
        <v>240803.96486807254</v>
      </c>
      <c r="AD172" s="21">
        <f ca="1">AC172/AC$646</f>
        <v>2.3144033558296783E-3</v>
      </c>
      <c r="AE172" s="22">
        <f ca="1">AD172*AE$676</f>
        <v>43454.321645938202</v>
      </c>
      <c r="AF172" s="2">
        <v>28381.714713739642</v>
      </c>
      <c r="AG172" s="21">
        <f ca="1">AF172/AF$646</f>
        <v>3.0150419782795884E-4</v>
      </c>
      <c r="AH172" s="22">
        <f ca="1">AG172*AH$676</f>
        <v>5762.8201432583892</v>
      </c>
      <c r="AI172" s="2">
        <v>393927.50527128158</v>
      </c>
      <c r="AJ172" s="21">
        <f ca="1">AI172/AI$646</f>
        <v>3.1884356964520287E-3</v>
      </c>
      <c r="AK172" s="22">
        <f ca="1">AJ172*AK$676</f>
        <v>62039.33628292747</v>
      </c>
      <c r="AL172" s="2">
        <v>956665.83793897566</v>
      </c>
    </row>
    <row r="173" spans="1:38" ht="12.75" x14ac:dyDescent="0.2">
      <c r="A173" s="8" t="s">
        <v>16</v>
      </c>
      <c r="B173" s="8" t="s">
        <v>17</v>
      </c>
      <c r="C173" s="8" t="s">
        <v>18</v>
      </c>
      <c r="D173" s="8" t="s">
        <v>74</v>
      </c>
      <c r="E173" s="8" t="s">
        <v>81</v>
      </c>
      <c r="F173" s="23" t="s">
        <v>37</v>
      </c>
      <c r="G173" s="8" t="s">
        <v>530</v>
      </c>
      <c r="H173" s="20">
        <v>80000</v>
      </c>
      <c r="I173" s="21">
        <f>H173/H$649</f>
        <v>1.1291241485965916E-3</v>
      </c>
      <c r="J173" s="22">
        <f>I173*J$679</f>
        <v>54371.287593315014</v>
      </c>
      <c r="K173" s="2">
        <v>793227.93234650465</v>
      </c>
      <c r="L173" s="21">
        <f ca="1">K173/K$649</f>
        <v>9.4569893959703024E-3</v>
      </c>
      <c r="M173" s="22">
        <f ca="1">L173*M$679</f>
        <v>863729.13165797398</v>
      </c>
      <c r="N173" s="2">
        <v>80000</v>
      </c>
      <c r="O173" s="21">
        <f ca="1">N173/N$649</f>
        <v>8.9626872947766163E-4</v>
      </c>
      <c r="P173" s="22">
        <f ca="1">O173*P$679</f>
        <v>222012.03663114092</v>
      </c>
      <c r="Q173" s="2">
        <v>80000</v>
      </c>
      <c r="R173" s="21">
        <f ca="1">Q173/Q$649</f>
        <v>1.0155753072022026E-3</v>
      </c>
      <c r="S173" s="22">
        <f ca="1">R173*S$679</f>
        <v>257351.10842400958</v>
      </c>
      <c r="T173" s="2">
        <v>1242734.7105206519</v>
      </c>
      <c r="U173" s="21">
        <f ca="1">T173/T$649</f>
        <v>1.5991146529735871E-2</v>
      </c>
      <c r="V173" s="22">
        <f ca="1">U173*V$679</f>
        <v>4137321.3583174087</v>
      </c>
      <c r="W173" s="2">
        <v>80000</v>
      </c>
      <c r="X173" s="21">
        <f ca="1">W173/W$649</f>
        <v>8.995411047685324E-4</v>
      </c>
      <c r="Y173" s="22">
        <f ca="1">X173*Y$679</f>
        <v>237389.13472142338</v>
      </c>
      <c r="Z173" s="2">
        <v>80000</v>
      </c>
      <c r="AA173" s="21">
        <f ca="1">Z173/Z$649</f>
        <v>8.2829003557952964E-4</v>
      </c>
      <c r="AB173" s="22">
        <f ca="1">AA173*AB$679</f>
        <v>222520.50603777621</v>
      </c>
      <c r="AC173" s="2">
        <v>1294092.2158853316</v>
      </c>
      <c r="AD173" s="21">
        <f ca="1">AC173/AC$649</f>
        <v>1.3229338290410479E-2</v>
      </c>
      <c r="AE173" s="22">
        <f ca="1">AD173*AE$679</f>
        <v>3621595.2191168913</v>
      </c>
      <c r="AF173" s="2">
        <v>601352.77398342662</v>
      </c>
      <c r="AG173" s="21">
        <f ca="1">AF173/AF$649</f>
        <v>5.9325923270716861E-3</v>
      </c>
      <c r="AH173" s="22">
        <f ca="1">AG173*AH$679</f>
        <v>1653309.1521727333</v>
      </c>
      <c r="AI173" s="2">
        <v>1022472.2438221186</v>
      </c>
      <c r="AJ173" s="21">
        <f ca="1">AI173/AI$649</f>
        <v>5.3377636285522308E-3</v>
      </c>
      <c r="AK173" s="22">
        <f ca="1">AJ173*AK$679</f>
        <v>1514316.5897838061</v>
      </c>
      <c r="AL173" s="2">
        <v>5353879.8765580328</v>
      </c>
    </row>
    <row r="174" spans="1:38" ht="12.75" x14ac:dyDescent="0.2">
      <c r="A174" s="8" t="s">
        <v>16</v>
      </c>
      <c r="B174" s="8" t="s">
        <v>17</v>
      </c>
      <c r="C174" s="8" t="s">
        <v>18</v>
      </c>
      <c r="D174" s="8" t="s">
        <v>74</v>
      </c>
      <c r="E174" s="8" t="s">
        <v>81</v>
      </c>
      <c r="F174" s="8" t="s">
        <v>26</v>
      </c>
      <c r="G174" s="8" t="s">
        <v>531</v>
      </c>
      <c r="H174" s="20">
        <v>0</v>
      </c>
      <c r="I174" s="21">
        <f>H174/H$655</f>
        <v>0</v>
      </c>
      <c r="J174" s="22">
        <f>I174*J$685</f>
        <v>0</v>
      </c>
      <c r="K174" s="2">
        <v>0</v>
      </c>
      <c r="L174" s="21">
        <f ca="1">K174/K$655</f>
        <v>0</v>
      </c>
      <c r="M174" s="22">
        <f ca="1">L174*M$685</f>
        <v>0</v>
      </c>
      <c r="N174" s="2">
        <v>0</v>
      </c>
      <c r="O174" s="21">
        <f ca="1">N174/N$655</f>
        <v>0</v>
      </c>
      <c r="P174" s="22">
        <f ca="1">O174*P$685</f>
        <v>0</v>
      </c>
      <c r="Q174" s="2">
        <v>0</v>
      </c>
      <c r="R174" s="21">
        <f ca="1">Q174/Q$655</f>
        <v>0</v>
      </c>
      <c r="S174" s="22">
        <f ca="1">R174*S$685</f>
        <v>0</v>
      </c>
      <c r="T174" s="2">
        <v>0</v>
      </c>
      <c r="U174" s="21">
        <f ca="1">T174/T$655</f>
        <v>0</v>
      </c>
      <c r="V174" s="22">
        <f ca="1">U174*V$685</f>
        <v>0</v>
      </c>
      <c r="W174" s="2">
        <v>0</v>
      </c>
      <c r="X174" s="21">
        <f ca="1">W174/W$655</f>
        <v>0</v>
      </c>
      <c r="Y174" s="22">
        <f ca="1">X174*Y$685</f>
        <v>0</v>
      </c>
      <c r="Z174" s="2">
        <v>0</v>
      </c>
      <c r="AA174" s="21">
        <f ca="1">Z174/Z$655</f>
        <v>0</v>
      </c>
      <c r="AB174" s="22">
        <f ca="1">AA174*AB$685</f>
        <v>0</v>
      </c>
      <c r="AC174" s="2">
        <v>0</v>
      </c>
      <c r="AD174" s="21">
        <f ca="1">AC174/AC$655</f>
        <v>0</v>
      </c>
      <c r="AE174" s="22">
        <f ca="1">AD174*AE$685</f>
        <v>0</v>
      </c>
      <c r="AF174" s="2">
        <v>0</v>
      </c>
      <c r="AG174" s="21">
        <f ca="1">AF174/AF$655</f>
        <v>0</v>
      </c>
      <c r="AH174" s="22">
        <f ca="1">AG174*AH$685</f>
        <v>0</v>
      </c>
      <c r="AI174" s="2">
        <v>77463.983569490316</v>
      </c>
      <c r="AJ174" s="21">
        <f ca="1">AI174/AI$655</f>
        <v>4.1835742908901617E-4</v>
      </c>
      <c r="AK174" s="22">
        <f ca="1">AJ174*AK$685</f>
        <v>1360.2684970916418</v>
      </c>
      <c r="AL174" s="2">
        <v>77463.983569490316</v>
      </c>
    </row>
    <row r="175" spans="1:38" ht="12.75" x14ac:dyDescent="0.2">
      <c r="A175" s="8" t="s">
        <v>16</v>
      </c>
      <c r="B175" s="8" t="s">
        <v>17</v>
      </c>
      <c r="C175" s="8" t="s">
        <v>18</v>
      </c>
      <c r="D175" s="8" t="s">
        <v>74</v>
      </c>
      <c r="E175" s="8" t="s">
        <v>81</v>
      </c>
      <c r="F175" s="8" t="s">
        <v>27</v>
      </c>
      <c r="G175" s="8" t="s">
        <v>532</v>
      </c>
      <c r="H175" s="20">
        <v>0</v>
      </c>
      <c r="I175" s="21">
        <f>H175/H$657</f>
        <v>0</v>
      </c>
      <c r="J175" s="22">
        <f>I175*J$687</f>
        <v>0</v>
      </c>
      <c r="K175" s="2">
        <v>0</v>
      </c>
      <c r="L175" s="21">
        <f ca="1">K175/K$657</f>
        <v>0</v>
      </c>
      <c r="M175" s="22">
        <f ca="1">L175*M$687</f>
        <v>0</v>
      </c>
      <c r="N175" s="2">
        <v>0</v>
      </c>
      <c r="O175" s="21">
        <f ca="1">N175/N$657</f>
        <v>0</v>
      </c>
      <c r="P175" s="22">
        <f ca="1">O175*P$687</f>
        <v>0</v>
      </c>
      <c r="Q175" s="2">
        <v>0</v>
      </c>
      <c r="R175" s="21">
        <f ca="1">Q175/Q$657</f>
        <v>0</v>
      </c>
      <c r="S175" s="22">
        <f ca="1">R175*S$687</f>
        <v>0</v>
      </c>
      <c r="T175" s="2">
        <v>0</v>
      </c>
      <c r="U175" s="21">
        <f ca="1">T175/T$657</f>
        <v>0</v>
      </c>
      <c r="V175" s="22">
        <f ca="1">U175*V$687</f>
        <v>0</v>
      </c>
      <c r="W175" s="2">
        <v>0</v>
      </c>
      <c r="X175" s="21">
        <f ca="1">W175/W$657</f>
        <v>0</v>
      </c>
      <c r="Y175" s="22">
        <f ca="1">X175*Y$687</f>
        <v>0</v>
      </c>
      <c r="Z175" s="2">
        <v>0</v>
      </c>
      <c r="AA175" s="21">
        <f ca="1">Z175/Z$657</f>
        <v>0</v>
      </c>
      <c r="AB175" s="22">
        <f ca="1">AA175*AB$687</f>
        <v>0</v>
      </c>
      <c r="AC175" s="2">
        <v>343251.26571106829</v>
      </c>
      <c r="AD175" s="21">
        <f ca="1">AC175/AC$657</f>
        <v>6.2492110341838287E-3</v>
      </c>
      <c r="AE175" s="22">
        <f ca="1">AD175*AE$687</f>
        <v>111295.30266597938</v>
      </c>
      <c r="AF175" s="2">
        <v>0</v>
      </c>
      <c r="AG175" s="21">
        <f ca="1">AF175/AF$657</f>
        <v>0</v>
      </c>
      <c r="AH175" s="22">
        <f ca="1">AG175*AH$687</f>
        <v>0</v>
      </c>
      <c r="AI175" s="2">
        <v>0</v>
      </c>
      <c r="AJ175" s="21">
        <f ca="1">AI175/AI$657</f>
        <v>0</v>
      </c>
      <c r="AK175" s="22">
        <f ca="1">AJ175*AK$687</f>
        <v>0</v>
      </c>
      <c r="AL175" s="2">
        <v>343251.26571106829</v>
      </c>
    </row>
    <row r="176" spans="1:38" ht="12.75" x14ac:dyDescent="0.2">
      <c r="A176" s="8" t="s">
        <v>16</v>
      </c>
      <c r="B176" s="8" t="s">
        <v>17</v>
      </c>
      <c r="C176" s="8" t="s">
        <v>18</v>
      </c>
      <c r="D176" s="8" t="s">
        <v>74</v>
      </c>
      <c r="E176" s="8" t="s">
        <v>81</v>
      </c>
      <c r="F176" s="8" t="s">
        <v>28</v>
      </c>
      <c r="G176" s="8" t="s">
        <v>533</v>
      </c>
      <c r="H176" s="20">
        <v>0</v>
      </c>
      <c r="I176" s="21">
        <f>H176/H$669</f>
        <v>0</v>
      </c>
      <c r="J176" s="22">
        <f>I176*J$699</f>
        <v>0</v>
      </c>
      <c r="K176" s="2">
        <v>0</v>
      </c>
      <c r="L176" s="21">
        <f ca="1">K176/K$669</f>
        <v>0</v>
      </c>
      <c r="M176" s="22">
        <f ca="1">L176*M$699</f>
        <v>0</v>
      </c>
      <c r="N176" s="2">
        <v>0</v>
      </c>
      <c r="O176" s="21">
        <f ca="1">N176/N$669</f>
        <v>0</v>
      </c>
      <c r="P176" s="22">
        <f ca="1">O176*P$699</f>
        <v>0</v>
      </c>
      <c r="Q176" s="2">
        <v>0</v>
      </c>
      <c r="R176" s="21">
        <f ca="1">Q176/Q$669</f>
        <v>0</v>
      </c>
      <c r="S176" s="22">
        <f ca="1">R176*S$699</f>
        <v>0</v>
      </c>
      <c r="T176" s="2">
        <v>0</v>
      </c>
      <c r="U176" s="21">
        <f ca="1">T176/T$669</f>
        <v>0</v>
      </c>
      <c r="V176" s="22">
        <f ca="1">U176*V$699</f>
        <v>0</v>
      </c>
      <c r="W176" s="2">
        <v>0</v>
      </c>
      <c r="X176" s="21">
        <f ca="1">W176/W$669</f>
        <v>0</v>
      </c>
      <c r="Y176" s="22">
        <f ca="1">X176*Y$699</f>
        <v>0</v>
      </c>
      <c r="Z176" s="2">
        <v>0</v>
      </c>
      <c r="AA176" s="21">
        <f ca="1">Z176/Z$669</f>
        <v>0</v>
      </c>
      <c r="AB176" s="22">
        <f ca="1">AA176*AB$699</f>
        <v>0</v>
      </c>
      <c r="AC176" s="2">
        <v>0</v>
      </c>
      <c r="AD176" s="21">
        <f ca="1">AC176/AC$669</f>
        <v>0</v>
      </c>
      <c r="AE176" s="22">
        <f ca="1">AD176*AE$699</f>
        <v>0</v>
      </c>
      <c r="AF176" s="2">
        <v>0</v>
      </c>
      <c r="AG176" s="21">
        <f ca="1">AF176/AF$669</f>
        <v>0</v>
      </c>
      <c r="AH176" s="22">
        <f ca="1">AG176*AH$699</f>
        <v>0</v>
      </c>
      <c r="AI176" s="2">
        <v>0</v>
      </c>
      <c r="AJ176" s="21">
        <f ca="1">AI176/AI$669</f>
        <v>0</v>
      </c>
      <c r="AK176" s="22">
        <f ca="1">AJ176*AK$699</f>
        <v>0</v>
      </c>
      <c r="AL176" s="2">
        <v>0</v>
      </c>
    </row>
    <row r="177" spans="1:38" ht="12.75" x14ac:dyDescent="0.2">
      <c r="A177" s="8" t="s">
        <v>16</v>
      </c>
      <c r="B177" s="8" t="s">
        <v>17</v>
      </c>
      <c r="C177" s="8" t="s">
        <v>18</v>
      </c>
      <c r="D177" s="8" t="s">
        <v>74</v>
      </c>
      <c r="E177" s="8" t="s">
        <v>82</v>
      </c>
      <c r="F177" s="8" t="s">
        <v>24</v>
      </c>
      <c r="G177" s="8" t="s">
        <v>534</v>
      </c>
      <c r="H177" s="20">
        <v>0</v>
      </c>
      <c r="I177" s="21">
        <f>H177/H$646</f>
        <v>0</v>
      </c>
      <c r="J177" s="22">
        <f>I177*J$676</f>
        <v>0</v>
      </c>
      <c r="K177" s="2">
        <v>0</v>
      </c>
      <c r="L177" s="21">
        <f ca="1">K177/K$646</f>
        <v>0</v>
      </c>
      <c r="M177" s="22">
        <f ca="1">L177*M$676</f>
        <v>0</v>
      </c>
      <c r="N177" s="2">
        <v>30571.955582968938</v>
      </c>
      <c r="O177" s="21">
        <f ca="1">N177/N$646</f>
        <v>3.2613631067257245E-4</v>
      </c>
      <c r="P177" s="22">
        <f ca="1">O177*P$676</f>
        <v>5540.7629337723129</v>
      </c>
      <c r="Q177" s="2">
        <v>0</v>
      </c>
      <c r="R177" s="21">
        <f ca="1">Q177/Q$646</f>
        <v>0</v>
      </c>
      <c r="S177" s="22">
        <f ca="1">R177*S$676</f>
        <v>0</v>
      </c>
      <c r="T177" s="2">
        <v>0</v>
      </c>
      <c r="U177" s="21">
        <f ca="1">T177/T$646</f>
        <v>0</v>
      </c>
      <c r="V177" s="22">
        <f ca="1">U177*V$676</f>
        <v>0</v>
      </c>
      <c r="W177" s="2">
        <v>0</v>
      </c>
      <c r="X177" s="21">
        <f ca="1">W177/W$646</f>
        <v>0</v>
      </c>
      <c r="Y177" s="22">
        <f ca="1">X177*Y$676</f>
        <v>0</v>
      </c>
      <c r="Z177" s="2">
        <v>0</v>
      </c>
      <c r="AA177" s="21">
        <f ca="1">Z177/Z$646</f>
        <v>0</v>
      </c>
      <c r="AB177" s="22">
        <f ca="1">AA177*AB$676</f>
        <v>0</v>
      </c>
      <c r="AC177" s="2">
        <v>0</v>
      </c>
      <c r="AD177" s="21">
        <f ca="1">AC177/AC$646</f>
        <v>0</v>
      </c>
      <c r="AE177" s="22">
        <f ca="1">AD177*AE$676</f>
        <v>0</v>
      </c>
      <c r="AF177" s="2">
        <v>0</v>
      </c>
      <c r="AG177" s="21">
        <f ca="1">AF177/AF$646</f>
        <v>0</v>
      </c>
      <c r="AH177" s="22">
        <f ca="1">AG177*AH$676</f>
        <v>0</v>
      </c>
      <c r="AI177" s="2">
        <v>0</v>
      </c>
      <c r="AJ177" s="21">
        <f ca="1">AI177/AI$646</f>
        <v>0</v>
      </c>
      <c r="AK177" s="22">
        <f ca="1">AJ177*AK$676</f>
        <v>0</v>
      </c>
      <c r="AL177" s="2">
        <v>30571.955582968938</v>
      </c>
    </row>
    <row r="178" spans="1:38" ht="12.75" x14ac:dyDescent="0.2">
      <c r="A178" s="8" t="s">
        <v>16</v>
      </c>
      <c r="B178" s="8" t="s">
        <v>17</v>
      </c>
      <c r="C178" s="8" t="s">
        <v>18</v>
      </c>
      <c r="D178" s="8" t="s">
        <v>74</v>
      </c>
      <c r="E178" s="8" t="s">
        <v>82</v>
      </c>
      <c r="F178" s="23" t="s">
        <v>37</v>
      </c>
      <c r="G178" s="8" t="s">
        <v>535</v>
      </c>
      <c r="H178" s="20">
        <v>80000</v>
      </c>
      <c r="I178" s="21">
        <f>H178/H$649</f>
        <v>1.1291241485965916E-3</v>
      </c>
      <c r="J178" s="22">
        <f>I178*J$679</f>
        <v>54371.287593315014</v>
      </c>
      <c r="K178" s="2">
        <v>80000</v>
      </c>
      <c r="L178" s="21">
        <f ca="1">K178/K$649</f>
        <v>9.5377270621269247E-4</v>
      </c>
      <c r="M178" s="22">
        <f ca="1">L178*M$679</f>
        <v>87110.309300673747</v>
      </c>
      <c r="N178" s="2">
        <v>80000</v>
      </c>
      <c r="O178" s="21">
        <f ca="1">N178/N$649</f>
        <v>8.9626872947766163E-4</v>
      </c>
      <c r="P178" s="22">
        <f ca="1">O178*P$679</f>
        <v>222012.03663114092</v>
      </c>
      <c r="Q178" s="2">
        <v>80000</v>
      </c>
      <c r="R178" s="21">
        <f ca="1">Q178/Q$649</f>
        <v>1.0155753072022026E-3</v>
      </c>
      <c r="S178" s="22">
        <f ca="1">R178*S$679</f>
        <v>257351.10842400958</v>
      </c>
      <c r="T178" s="2">
        <v>80000</v>
      </c>
      <c r="U178" s="21">
        <f ca="1">T178/T$649</f>
        <v>1.0294165854938598E-3</v>
      </c>
      <c r="V178" s="22">
        <f ca="1">U178*V$679</f>
        <v>266336.57679580228</v>
      </c>
      <c r="W178" s="2">
        <v>80000</v>
      </c>
      <c r="X178" s="21">
        <f ca="1">W178/W$649</f>
        <v>8.995411047685324E-4</v>
      </c>
      <c r="Y178" s="22">
        <f ca="1">X178*Y$679</f>
        <v>237389.13472142338</v>
      </c>
      <c r="Z178" s="2">
        <v>80000</v>
      </c>
      <c r="AA178" s="21">
        <f ca="1">Z178/Z$649</f>
        <v>8.2829003557952964E-4</v>
      </c>
      <c r="AB178" s="22">
        <f ca="1">AA178*AB$679</f>
        <v>222520.50603777621</v>
      </c>
      <c r="AC178" s="2">
        <v>80000</v>
      </c>
      <c r="AD178" s="21">
        <f ca="1">AC178/AC$649</f>
        <v>8.1782971123799532E-4</v>
      </c>
      <c r="AE178" s="22">
        <f ca="1">AD178*AE$679</f>
        <v>223884.83136894458</v>
      </c>
      <c r="AF178" s="2">
        <v>80000</v>
      </c>
      <c r="AG178" s="21">
        <f ca="1">AF178/AF$649</f>
        <v>7.8923288741462622E-4</v>
      </c>
      <c r="AH178" s="22">
        <f ca="1">AG178*AH$679</f>
        <v>219945.32643074481</v>
      </c>
      <c r="AI178" s="2">
        <v>80000</v>
      </c>
      <c r="AJ178" s="21">
        <f ca="1">AI178/AI$649</f>
        <v>4.1763587507072527E-4</v>
      </c>
      <c r="AK178" s="22">
        <f ca="1">AJ178*AK$679</f>
        <v>118482.75384948285</v>
      </c>
      <c r="AL178" s="2">
        <v>800000</v>
      </c>
    </row>
    <row r="179" spans="1:38" ht="12.75" x14ac:dyDescent="0.2">
      <c r="A179" s="8" t="s">
        <v>16</v>
      </c>
      <c r="B179" s="8" t="s">
        <v>17</v>
      </c>
      <c r="C179" s="8" t="s">
        <v>18</v>
      </c>
      <c r="D179" s="8" t="s">
        <v>74</v>
      </c>
      <c r="E179" s="8" t="s">
        <v>82</v>
      </c>
      <c r="F179" s="8" t="s">
        <v>26</v>
      </c>
      <c r="G179" s="8" t="s">
        <v>536</v>
      </c>
      <c r="H179" s="20">
        <v>0</v>
      </c>
      <c r="I179" s="21">
        <f>H179/H$655</f>
        <v>0</v>
      </c>
      <c r="J179" s="22">
        <f>I179*J$685</f>
        <v>0</v>
      </c>
      <c r="K179" s="2">
        <v>0</v>
      </c>
      <c r="L179" s="21">
        <f ca="1">K179/K$655</f>
        <v>0</v>
      </c>
      <c r="M179" s="22">
        <f ca="1">L179*M$685</f>
        <v>0</v>
      </c>
      <c r="N179" s="2">
        <v>0</v>
      </c>
      <c r="O179" s="21">
        <f ca="1">N179/N$655</f>
        <v>0</v>
      </c>
      <c r="P179" s="22">
        <f ca="1">O179*P$685</f>
        <v>0</v>
      </c>
      <c r="Q179" s="2">
        <v>0</v>
      </c>
      <c r="R179" s="21">
        <f ca="1">Q179/Q$655</f>
        <v>0</v>
      </c>
      <c r="S179" s="22">
        <f ca="1">R179*S$685</f>
        <v>0</v>
      </c>
      <c r="T179" s="2">
        <v>0</v>
      </c>
      <c r="U179" s="21">
        <f ca="1">T179/T$655</f>
        <v>0</v>
      </c>
      <c r="V179" s="22">
        <f ca="1">U179*V$685</f>
        <v>0</v>
      </c>
      <c r="W179" s="2">
        <v>0</v>
      </c>
      <c r="X179" s="21">
        <f ca="1">W179/W$655</f>
        <v>0</v>
      </c>
      <c r="Y179" s="22">
        <f ca="1">X179*Y$685</f>
        <v>0</v>
      </c>
      <c r="Z179" s="2">
        <v>0</v>
      </c>
      <c r="AA179" s="21">
        <f ca="1">Z179/Z$655</f>
        <v>0</v>
      </c>
      <c r="AB179" s="22">
        <f ca="1">AA179*AB$685</f>
        <v>0</v>
      </c>
      <c r="AC179" s="2">
        <v>0</v>
      </c>
      <c r="AD179" s="21">
        <f ca="1">AC179/AC$655</f>
        <v>0</v>
      </c>
      <c r="AE179" s="22">
        <f ca="1">AD179*AE$685</f>
        <v>0</v>
      </c>
      <c r="AF179" s="2">
        <v>0</v>
      </c>
      <c r="AG179" s="21">
        <f ca="1">AF179/AF$655</f>
        <v>0</v>
      </c>
      <c r="AH179" s="22">
        <f ca="1">AG179*AH$685</f>
        <v>0</v>
      </c>
      <c r="AI179" s="2">
        <v>0</v>
      </c>
      <c r="AJ179" s="21">
        <f ca="1">AI179/AI$655</f>
        <v>0</v>
      </c>
      <c r="AK179" s="22">
        <f ca="1">AJ179*AK$685</f>
        <v>0</v>
      </c>
      <c r="AL179" s="2">
        <v>0</v>
      </c>
    </row>
    <row r="180" spans="1:38" ht="12.75" x14ac:dyDescent="0.2">
      <c r="A180" s="8" t="s">
        <v>16</v>
      </c>
      <c r="B180" s="8" t="s">
        <v>17</v>
      </c>
      <c r="C180" s="8" t="s">
        <v>18</v>
      </c>
      <c r="D180" s="8" t="s">
        <v>74</v>
      </c>
      <c r="E180" s="8" t="s">
        <v>82</v>
      </c>
      <c r="F180" s="8" t="s">
        <v>27</v>
      </c>
      <c r="G180" s="8" t="s">
        <v>537</v>
      </c>
      <c r="H180" s="20">
        <v>0</v>
      </c>
      <c r="I180" s="21">
        <f>H180/H$657</f>
        <v>0</v>
      </c>
      <c r="J180" s="22">
        <f>I180*J$687</f>
        <v>0</v>
      </c>
      <c r="K180" s="2">
        <v>0</v>
      </c>
      <c r="L180" s="21">
        <f ca="1">K180/K$657</f>
        <v>0</v>
      </c>
      <c r="M180" s="22">
        <f ca="1">L180*M$687</f>
        <v>0</v>
      </c>
      <c r="N180" s="2">
        <v>0</v>
      </c>
      <c r="O180" s="21">
        <f ca="1">N180/N$657</f>
        <v>0</v>
      </c>
      <c r="P180" s="22">
        <f ca="1">O180*P$687</f>
        <v>0</v>
      </c>
      <c r="Q180" s="2">
        <v>0</v>
      </c>
      <c r="R180" s="21">
        <f ca="1">Q180/Q$657</f>
        <v>0</v>
      </c>
      <c r="S180" s="22">
        <f ca="1">R180*S$687</f>
        <v>0</v>
      </c>
      <c r="T180" s="2">
        <v>0</v>
      </c>
      <c r="U180" s="21">
        <f ca="1">T180/T$657</f>
        <v>0</v>
      </c>
      <c r="V180" s="22">
        <f ca="1">U180*V$687</f>
        <v>0</v>
      </c>
      <c r="W180" s="2">
        <v>0</v>
      </c>
      <c r="X180" s="21">
        <f ca="1">W180/W$657</f>
        <v>0</v>
      </c>
      <c r="Y180" s="22">
        <f ca="1">X180*Y$687</f>
        <v>0</v>
      </c>
      <c r="Z180" s="2">
        <v>0</v>
      </c>
      <c r="AA180" s="21">
        <f ca="1">Z180/Z$657</f>
        <v>0</v>
      </c>
      <c r="AB180" s="22">
        <f ca="1">AA180*AB$687</f>
        <v>0</v>
      </c>
      <c r="AC180" s="2">
        <v>0</v>
      </c>
      <c r="AD180" s="21">
        <f ca="1">AC180/AC$657</f>
        <v>0</v>
      </c>
      <c r="AE180" s="22">
        <f ca="1">AD180*AE$687</f>
        <v>0</v>
      </c>
      <c r="AF180" s="2">
        <v>0</v>
      </c>
      <c r="AG180" s="21">
        <f ca="1">AF180/AF$657</f>
        <v>0</v>
      </c>
      <c r="AH180" s="22">
        <f ca="1">AG180*AH$687</f>
        <v>0</v>
      </c>
      <c r="AI180" s="2">
        <v>0</v>
      </c>
      <c r="AJ180" s="21">
        <f ca="1">AI180/AI$657</f>
        <v>0</v>
      </c>
      <c r="AK180" s="22">
        <f ca="1">AJ180*AK$687</f>
        <v>0</v>
      </c>
      <c r="AL180" s="2">
        <v>0</v>
      </c>
    </row>
    <row r="181" spans="1:38" ht="12.75" x14ac:dyDescent="0.2">
      <c r="A181" s="8" t="s">
        <v>16</v>
      </c>
      <c r="B181" s="8" t="s">
        <v>17</v>
      </c>
      <c r="C181" s="8" t="s">
        <v>18</v>
      </c>
      <c r="D181" s="8" t="s">
        <v>74</v>
      </c>
      <c r="E181" s="8" t="s">
        <v>538</v>
      </c>
      <c r="F181" s="23" t="s">
        <v>37</v>
      </c>
      <c r="G181" s="8" t="s">
        <v>539</v>
      </c>
      <c r="H181" s="20">
        <v>3303535.6467589997</v>
      </c>
      <c r="I181" s="21">
        <f>H181/H$649</f>
        <v>4.6626273431315576E-2</v>
      </c>
      <c r="J181" s="22">
        <f>I181*J$679</f>
        <v>2245218.5840587686</v>
      </c>
      <c r="K181" s="2">
        <v>3920970.9583413983</v>
      </c>
      <c r="L181" s="21">
        <f ca="1">K181/K$649</f>
        <v>4.6746438523983122E-2</v>
      </c>
      <c r="M181" s="22">
        <f ca="1">L181*M$679</f>
        <v>4269462.4117509797</v>
      </c>
      <c r="N181" s="2">
        <v>5687267.666713208</v>
      </c>
      <c r="O181" s="21">
        <f ca="1">N181/N$649</f>
        <v>6.3716502073055403E-2</v>
      </c>
      <c r="P181" s="22">
        <f ca="1">O181*P$679</f>
        <v>15783023.469417952</v>
      </c>
      <c r="Q181" s="2">
        <v>5043377.6728180191</v>
      </c>
      <c r="R181" s="21">
        <f ca="1">Q181/Q$649</f>
        <v>6.4024122867611111E-2</v>
      </c>
      <c r="S181" s="22">
        <f ca="1">R181*S$679</f>
        <v>16223985.428757738</v>
      </c>
      <c r="T181" s="2">
        <v>3043092.6821677736</v>
      </c>
      <c r="U181" s="21">
        <f ca="1">T181/T$649</f>
        <v>3.9157625977731259E-2</v>
      </c>
      <c r="V181" s="22">
        <f ca="1">U181*V$679</f>
        <v>10131086.098011512</v>
      </c>
      <c r="W181" s="2">
        <v>4982018.7404910624</v>
      </c>
      <c r="X181" s="21">
        <f ca="1">W181/W$649</f>
        <v>5.6019133022485783E-2</v>
      </c>
      <c r="Y181" s="22">
        <f ca="1">X181*Y$679</f>
        <v>14783463.974638611</v>
      </c>
      <c r="Z181" s="2">
        <v>815828.71116713155</v>
      </c>
      <c r="AA181" s="21">
        <f ca="1">Z181/Z$649</f>
        <v>8.4467849024928154E-3</v>
      </c>
      <c r="AB181" s="22">
        <f ca="1">AA181*AB$679</f>
        <v>2269232.7206132114</v>
      </c>
      <c r="AC181" s="2">
        <v>1070879.4837904384</v>
      </c>
      <c r="AD181" s="21">
        <f ca="1">AC181/AC$649</f>
        <v>1.0947463237487846E-2</v>
      </c>
      <c r="AE181" s="22">
        <f ca="1">AD181*AE$679</f>
        <v>2996920.9080610587</v>
      </c>
      <c r="AF181" s="2">
        <v>8116386.4145114282</v>
      </c>
      <c r="AG181" s="21">
        <f ca="1">AF181/AF$649</f>
        <v>8.0071488566221247E-2</v>
      </c>
      <c r="AH181" s="22">
        <f ca="1">AG181*AH$679</f>
        <v>22314515.742222231</v>
      </c>
      <c r="AI181" s="2">
        <v>9198909.0130320434</v>
      </c>
      <c r="AJ181" s="21">
        <f ca="1">AI181/AI$649</f>
        <v>4.8022430191920235E-2</v>
      </c>
      <c r="AK181" s="22">
        <f ca="1">AJ181*AK$679</f>
        <v>13623900.90343581</v>
      </c>
      <c r="AL181" s="2">
        <v>45182266.989791498</v>
      </c>
    </row>
    <row r="182" spans="1:38" ht="12.75" x14ac:dyDescent="0.2">
      <c r="A182" s="8" t="s">
        <v>16</v>
      </c>
      <c r="B182" s="8" t="s">
        <v>17</v>
      </c>
      <c r="C182" s="8" t="s">
        <v>18</v>
      </c>
      <c r="D182" s="8" t="s">
        <v>74</v>
      </c>
      <c r="E182" s="8" t="s">
        <v>84</v>
      </c>
      <c r="F182" s="8" t="s">
        <v>21</v>
      </c>
      <c r="G182" s="8" t="s">
        <v>540</v>
      </c>
      <c r="H182" s="20">
        <v>900000</v>
      </c>
      <c r="I182" s="21">
        <f>H182/H$645</f>
        <v>5.9566469816864691E-2</v>
      </c>
      <c r="J182" s="22">
        <f>I182*J$675</f>
        <v>8410.7855381412937</v>
      </c>
      <c r="K182" s="2">
        <v>900000</v>
      </c>
      <c r="L182" s="21">
        <f ca="1">K182/K$645</f>
        <v>5.8827624877608745E-2</v>
      </c>
      <c r="M182" s="22">
        <f ca="1">L182*M$675</f>
        <v>25381.76702969307</v>
      </c>
      <c r="N182" s="2">
        <v>900000</v>
      </c>
      <c r="O182" s="21">
        <f ca="1">N182/N$645</f>
        <v>4.1428229645016607E-2</v>
      </c>
      <c r="P182" s="22">
        <f ca="1">O182*P$675</f>
        <v>18339.364185667477</v>
      </c>
      <c r="Q182" s="2">
        <v>900000</v>
      </c>
      <c r="R182" s="21">
        <f ca="1">Q182/Q$645</f>
        <v>3.5647499982808729E-2</v>
      </c>
      <c r="S182" s="22">
        <f ca="1">R182*S$675</f>
        <v>16143.310800839768</v>
      </c>
      <c r="T182" s="2">
        <v>900000</v>
      </c>
      <c r="U182" s="21">
        <f ca="1">T182/T$645</f>
        <v>4.3602211893599745E-2</v>
      </c>
      <c r="V182" s="22">
        <f ca="1">U182*V$675</f>
        <v>20160.337272358956</v>
      </c>
      <c r="W182" s="2">
        <v>900000</v>
      </c>
      <c r="X182" s="21">
        <f ca="1">W182/W$645</f>
        <v>4.3540581530953415E-2</v>
      </c>
      <c r="Y182" s="22">
        <f ca="1">X182*Y$675</f>
        <v>20534.478439883656</v>
      </c>
      <c r="Z182" s="2">
        <v>900000</v>
      </c>
      <c r="AA182" s="21">
        <f ca="1">Z182/Z$645</f>
        <v>4.3746203836763066E-2</v>
      </c>
      <c r="AB182" s="22">
        <f ca="1">AA182*AB$675</f>
        <v>21002.819313873351</v>
      </c>
      <c r="AC182" s="2">
        <v>900000</v>
      </c>
      <c r="AD182" s="21">
        <f ca="1">AC182/AC$645</f>
        <v>3.7897374478231667E-2</v>
      </c>
      <c r="AE182" s="22">
        <f ca="1">AD182*AE$675</f>
        <v>18540.461268921259</v>
      </c>
      <c r="AF182" s="2">
        <v>900000</v>
      </c>
      <c r="AG182" s="21">
        <f ca="1">AF182/AF$645</f>
        <v>4.1260610109675758E-2</v>
      </c>
      <c r="AH182" s="22">
        <f ca="1">AG182*AH$675</f>
        <v>20549.195772696479</v>
      </c>
      <c r="AI182" s="2">
        <v>900000</v>
      </c>
      <c r="AJ182" s="21">
        <f ca="1">AI182/AI$645</f>
        <v>3.5299296286655873E-2</v>
      </c>
      <c r="AK182" s="22">
        <f ca="1">AJ182*AK$675</f>
        <v>17896.702270150836</v>
      </c>
      <c r="AL182" s="2">
        <v>9000000</v>
      </c>
    </row>
    <row r="183" spans="1:38" ht="12.75" x14ac:dyDescent="0.2">
      <c r="A183" s="8" t="s">
        <v>16</v>
      </c>
      <c r="B183" s="8" t="s">
        <v>17</v>
      </c>
      <c r="C183" s="8" t="s">
        <v>18</v>
      </c>
      <c r="D183" s="8" t="s">
        <v>74</v>
      </c>
      <c r="E183" s="8" t="s">
        <v>84</v>
      </c>
      <c r="F183" s="23" t="s">
        <v>37</v>
      </c>
      <c r="G183" s="8" t="s">
        <v>541</v>
      </c>
      <c r="H183" s="20">
        <v>80000</v>
      </c>
      <c r="I183" s="21">
        <f>H183/H$649</f>
        <v>1.1291241485965916E-3</v>
      </c>
      <c r="J183" s="22">
        <f>I183*J$679</f>
        <v>54371.287593315014</v>
      </c>
      <c r="K183" s="2">
        <v>80000</v>
      </c>
      <c r="L183" s="21">
        <f ca="1">K183/K$649</f>
        <v>9.5377270621269247E-4</v>
      </c>
      <c r="M183" s="22">
        <f ca="1">L183*M$679</f>
        <v>87110.309300673747</v>
      </c>
      <c r="N183" s="2">
        <v>80000</v>
      </c>
      <c r="O183" s="21">
        <f ca="1">N183/N$649</f>
        <v>8.9626872947766163E-4</v>
      </c>
      <c r="P183" s="22">
        <f ca="1">O183*P$679</f>
        <v>222012.03663114092</v>
      </c>
      <c r="Q183" s="2">
        <v>80000</v>
      </c>
      <c r="R183" s="21">
        <f ca="1">Q183/Q$649</f>
        <v>1.0155753072022026E-3</v>
      </c>
      <c r="S183" s="22">
        <f ca="1">R183*S$679</f>
        <v>257351.10842400958</v>
      </c>
      <c r="T183" s="2">
        <v>80000</v>
      </c>
      <c r="U183" s="21">
        <f ca="1">T183/T$649</f>
        <v>1.0294165854938598E-3</v>
      </c>
      <c r="V183" s="22">
        <f ca="1">U183*V$679</f>
        <v>266336.57679580228</v>
      </c>
      <c r="W183" s="2">
        <v>80000</v>
      </c>
      <c r="X183" s="21">
        <f ca="1">W183/W$649</f>
        <v>8.995411047685324E-4</v>
      </c>
      <c r="Y183" s="22">
        <f ca="1">X183*Y$679</f>
        <v>237389.13472142338</v>
      </c>
      <c r="Z183" s="2">
        <v>80000</v>
      </c>
      <c r="AA183" s="21">
        <f ca="1">Z183/Z$649</f>
        <v>8.2829003557952964E-4</v>
      </c>
      <c r="AB183" s="22">
        <f ca="1">AA183*AB$679</f>
        <v>222520.50603777621</v>
      </c>
      <c r="AC183" s="2">
        <v>80000</v>
      </c>
      <c r="AD183" s="21">
        <f ca="1">AC183/AC$649</f>
        <v>8.1782971123799532E-4</v>
      </c>
      <c r="AE183" s="22">
        <f ca="1">AD183*AE$679</f>
        <v>223884.83136894458</v>
      </c>
      <c r="AF183" s="2">
        <v>80000</v>
      </c>
      <c r="AG183" s="21">
        <f ca="1">AF183/AF$649</f>
        <v>7.8923288741462622E-4</v>
      </c>
      <c r="AH183" s="22">
        <f ca="1">AG183*AH$679</f>
        <v>219945.32643074481</v>
      </c>
      <c r="AI183" s="2">
        <v>80000</v>
      </c>
      <c r="AJ183" s="21">
        <f ca="1">AI183/AI$649</f>
        <v>4.1763587507072527E-4</v>
      </c>
      <c r="AK183" s="22">
        <f ca="1">AJ183*AK$679</f>
        <v>118482.75384948285</v>
      </c>
      <c r="AL183" s="2">
        <v>800000</v>
      </c>
    </row>
    <row r="184" spans="1:38" ht="12.75" x14ac:dyDescent="0.2">
      <c r="A184" s="8" t="s">
        <v>16</v>
      </c>
      <c r="B184" s="8" t="s">
        <v>17</v>
      </c>
      <c r="C184" s="8" t="s">
        <v>18</v>
      </c>
      <c r="D184" s="8" t="s">
        <v>74</v>
      </c>
      <c r="E184" s="8" t="s">
        <v>84</v>
      </c>
      <c r="F184" s="8" t="s">
        <v>25</v>
      </c>
      <c r="G184" s="8" t="s">
        <v>542</v>
      </c>
      <c r="H184" s="20">
        <v>0</v>
      </c>
      <c r="I184" s="21">
        <f>H184/H$652</f>
        <v>0</v>
      </c>
      <c r="J184" s="22">
        <f>I184*J$682</f>
        <v>0</v>
      </c>
      <c r="K184" s="2">
        <v>0</v>
      </c>
      <c r="L184" s="21">
        <f ca="1">K184/K$652</f>
        <v>0</v>
      </c>
      <c r="M184" s="22">
        <f ca="1">L184*M$682</f>
        <v>0</v>
      </c>
      <c r="N184" s="2">
        <v>0</v>
      </c>
      <c r="O184" s="21">
        <f ca="1">N184/N$652</f>
        <v>0</v>
      </c>
      <c r="P184" s="22">
        <f ca="1">O184*P$682</f>
        <v>0</v>
      </c>
      <c r="Q184" s="2">
        <v>0</v>
      </c>
      <c r="R184" s="21">
        <f ca="1">Q184/Q$652</f>
        <v>0</v>
      </c>
      <c r="S184" s="22">
        <f ca="1">R184*S$682</f>
        <v>0</v>
      </c>
      <c r="T184" s="2">
        <v>157721.05346703326</v>
      </c>
      <c r="U184" s="21">
        <f ca="1">T184/T$652</f>
        <v>3.5948041144514471E-3</v>
      </c>
      <c r="V184" s="22">
        <f ca="1">U184*V$682</f>
        <v>138946.39005680985</v>
      </c>
      <c r="W184" s="2">
        <v>0</v>
      </c>
      <c r="X184" s="21">
        <f ca="1">W184/W$652</f>
        <v>0</v>
      </c>
      <c r="Y184" s="22">
        <f ca="1">X184*Y$682</f>
        <v>0</v>
      </c>
      <c r="Z184" s="2">
        <v>0</v>
      </c>
      <c r="AA184" s="21">
        <f ca="1">Z184/Z$652</f>
        <v>0</v>
      </c>
      <c r="AB184" s="22">
        <f ca="1">AA184*AB$682</f>
        <v>0</v>
      </c>
      <c r="AC184" s="2">
        <v>0</v>
      </c>
      <c r="AD184" s="21">
        <f ca="1">AC184/AC$652</f>
        <v>0</v>
      </c>
      <c r="AE184" s="22">
        <f ca="1">AD184*AE$682</f>
        <v>0</v>
      </c>
      <c r="AF184" s="2">
        <v>0</v>
      </c>
      <c r="AG184" s="21">
        <f ca="1">AF184/AF$652</f>
        <v>0</v>
      </c>
      <c r="AH184" s="22">
        <f ca="1">AG184*AH$682</f>
        <v>0</v>
      </c>
      <c r="AI184" s="2">
        <v>0</v>
      </c>
      <c r="AJ184" s="21">
        <f ca="1">AI184/AI$652</f>
        <v>0</v>
      </c>
      <c r="AK184" s="22">
        <f ca="1">AJ184*AK$682</f>
        <v>0</v>
      </c>
      <c r="AL184" s="2">
        <v>157721.05346703326</v>
      </c>
    </row>
    <row r="185" spans="1:38" ht="12.75" x14ac:dyDescent="0.2">
      <c r="A185" s="8" t="s">
        <v>16</v>
      </c>
      <c r="B185" s="8" t="s">
        <v>17</v>
      </c>
      <c r="C185" s="8" t="s">
        <v>18</v>
      </c>
      <c r="D185" s="8" t="s">
        <v>74</v>
      </c>
      <c r="E185" s="8" t="s">
        <v>84</v>
      </c>
      <c r="F185" s="8" t="s">
        <v>28</v>
      </c>
      <c r="G185" s="8" t="s">
        <v>543</v>
      </c>
      <c r="H185" s="20">
        <v>0</v>
      </c>
      <c r="I185" s="21">
        <f>H185/H$669</f>
        <v>0</v>
      </c>
      <c r="J185" s="22">
        <f>I185*J$699</f>
        <v>0</v>
      </c>
      <c r="K185" s="2">
        <v>0</v>
      </c>
      <c r="L185" s="21">
        <f ca="1">K185/K$669</f>
        <v>0</v>
      </c>
      <c r="M185" s="22">
        <f ca="1">L185*M$699</f>
        <v>0</v>
      </c>
      <c r="N185" s="2">
        <v>0</v>
      </c>
      <c r="O185" s="21">
        <f ca="1">N185/N$669</f>
        <v>0</v>
      </c>
      <c r="P185" s="22">
        <f ca="1">O185*P$699</f>
        <v>0</v>
      </c>
      <c r="Q185" s="2">
        <v>0</v>
      </c>
      <c r="R185" s="21">
        <f ca="1">Q185/Q$669</f>
        <v>0</v>
      </c>
      <c r="S185" s="22">
        <f ca="1">R185*S$699</f>
        <v>0</v>
      </c>
      <c r="T185" s="2">
        <v>0</v>
      </c>
      <c r="U185" s="21">
        <f ca="1">T185/T$669</f>
        <v>0</v>
      </c>
      <c r="V185" s="22">
        <f ca="1">U185*V$699</f>
        <v>0</v>
      </c>
      <c r="W185" s="2">
        <v>109995.91448463444</v>
      </c>
      <c r="X185" s="21">
        <f ca="1">W185/W$669</f>
        <v>3.9433836794133198E-3</v>
      </c>
      <c r="Y185" s="22">
        <f ca="1">X185*Y$699</f>
        <v>20430.119360832847</v>
      </c>
      <c r="Z185" s="2">
        <v>0</v>
      </c>
      <c r="AA185" s="21">
        <f ca="1">Z185/Z$669</f>
        <v>0</v>
      </c>
      <c r="AB185" s="22">
        <f ca="1">AA185*AB$699</f>
        <v>0</v>
      </c>
      <c r="AC185" s="2">
        <v>0</v>
      </c>
      <c r="AD185" s="21">
        <f ca="1">AC185/AC$669</f>
        <v>0</v>
      </c>
      <c r="AE185" s="22">
        <f ca="1">AD185*AE$699</f>
        <v>0</v>
      </c>
      <c r="AF185" s="2">
        <v>0</v>
      </c>
      <c r="AG185" s="21">
        <f ca="1">AF185/AF$669</f>
        <v>0</v>
      </c>
      <c r="AH185" s="22">
        <f ca="1">AG185*AH$699</f>
        <v>0</v>
      </c>
      <c r="AI185" s="2">
        <v>0</v>
      </c>
      <c r="AJ185" s="21">
        <f ca="1">AI185/AI$669</f>
        <v>0</v>
      </c>
      <c r="AK185" s="22">
        <f ca="1">AJ185*AK$699</f>
        <v>0</v>
      </c>
      <c r="AL185" s="2">
        <v>109995.91448463444</v>
      </c>
    </row>
    <row r="186" spans="1:38" ht="12.75" x14ac:dyDescent="0.2">
      <c r="A186" s="8" t="s">
        <v>16</v>
      </c>
      <c r="B186" s="8" t="s">
        <v>17</v>
      </c>
      <c r="C186" s="8" t="s">
        <v>18</v>
      </c>
      <c r="D186" s="8" t="s">
        <v>74</v>
      </c>
      <c r="E186" s="8" t="s">
        <v>85</v>
      </c>
      <c r="F186" s="8" t="s">
        <v>21</v>
      </c>
      <c r="G186" s="8" t="s">
        <v>544</v>
      </c>
      <c r="H186" s="20">
        <v>250000</v>
      </c>
      <c r="I186" s="21">
        <f>H186/H$645</f>
        <v>1.6546241615795747E-2</v>
      </c>
      <c r="J186" s="22">
        <f>I186*J$675</f>
        <v>2336.3293161503593</v>
      </c>
      <c r="K186" s="2">
        <v>250000</v>
      </c>
      <c r="L186" s="21">
        <f ca="1">K186/K$645</f>
        <v>1.6341006910446872E-2</v>
      </c>
      <c r="M186" s="22">
        <f ca="1">L186*M$675</f>
        <v>7050.4908415814079</v>
      </c>
      <c r="N186" s="2">
        <v>250000</v>
      </c>
      <c r="O186" s="21">
        <f ca="1">N186/N$645</f>
        <v>1.1507841568060168E-2</v>
      </c>
      <c r="P186" s="22">
        <f ca="1">O186*P$675</f>
        <v>5094.2678293520767</v>
      </c>
      <c r="Q186" s="2">
        <v>250000</v>
      </c>
      <c r="R186" s="21">
        <f ca="1">Q186/Q$645</f>
        <v>9.9020833285579802E-3</v>
      </c>
      <c r="S186" s="22">
        <f ca="1">R186*S$675</f>
        <v>4484.2530002332687</v>
      </c>
      <c r="T186" s="2">
        <v>250000</v>
      </c>
      <c r="U186" s="21">
        <f ca="1">T186/T$645</f>
        <v>1.211172552599993E-2</v>
      </c>
      <c r="V186" s="22">
        <f ca="1">U186*V$675</f>
        <v>5600.0936867663768</v>
      </c>
      <c r="W186" s="2">
        <v>250000</v>
      </c>
      <c r="X186" s="21">
        <f ca="1">W186/W$645</f>
        <v>1.2094605980820393E-2</v>
      </c>
      <c r="Y186" s="22">
        <f ca="1">X186*Y$675</f>
        <v>5704.0217888565712</v>
      </c>
      <c r="Z186" s="2">
        <v>250000</v>
      </c>
      <c r="AA186" s="21">
        <f ca="1">Z186/Z$645</f>
        <v>1.2151723287989739E-2</v>
      </c>
      <c r="AB186" s="22">
        <f ca="1">AA186*AB$675</f>
        <v>5834.1164760759302</v>
      </c>
      <c r="AC186" s="2">
        <v>250000</v>
      </c>
      <c r="AD186" s="21">
        <f ca="1">AC186/AC$645</f>
        <v>1.0527048466175462E-2</v>
      </c>
      <c r="AE186" s="22">
        <f ca="1">AD186*AE$675</f>
        <v>5150.1281302559046</v>
      </c>
      <c r="AF186" s="2">
        <v>250000</v>
      </c>
      <c r="AG186" s="21">
        <f ca="1">AF186/AF$645</f>
        <v>1.1461280586021043E-2</v>
      </c>
      <c r="AH186" s="22">
        <f ca="1">AG186*AH$675</f>
        <v>5708.1099368601326</v>
      </c>
      <c r="AI186" s="2">
        <v>250000</v>
      </c>
      <c r="AJ186" s="21">
        <f ca="1">AI186/AI$645</f>
        <v>9.8053600796266308E-3</v>
      </c>
      <c r="AK186" s="22">
        <f ca="1">AJ186*AK$675</f>
        <v>4971.3061861530095</v>
      </c>
      <c r="AL186" s="2">
        <v>2500000</v>
      </c>
    </row>
    <row r="187" spans="1:38" ht="12.75" x14ac:dyDescent="0.2">
      <c r="A187" s="8" t="s">
        <v>16</v>
      </c>
      <c r="B187" s="8" t="s">
        <v>17</v>
      </c>
      <c r="C187" s="8" t="s">
        <v>18</v>
      </c>
      <c r="D187" s="8" t="s">
        <v>74</v>
      </c>
      <c r="E187" s="8" t="s">
        <v>86</v>
      </c>
      <c r="F187" s="23" t="s">
        <v>37</v>
      </c>
      <c r="G187" s="8" t="s">
        <v>545</v>
      </c>
      <c r="H187" s="20">
        <v>640000</v>
      </c>
      <c r="I187" s="21">
        <f t="shared" ref="I187:I188" si="400">H187/H$649</f>
        <v>9.0329931887727331E-3</v>
      </c>
      <c r="J187" s="22">
        <f t="shared" ref="J187:J188" si="401">I187*J$679</f>
        <v>434970.30074652011</v>
      </c>
      <c r="K187" s="2">
        <v>640000</v>
      </c>
      <c r="L187" s="21">
        <f t="shared" ref="L187:L188" ca="1" si="402">K187/K$649</f>
        <v>7.6301816497015397E-3</v>
      </c>
      <c r="M187" s="22">
        <f t="shared" ref="M187:M188" ca="1" si="403">L187*M$679</f>
        <v>696882.47440538998</v>
      </c>
      <c r="N187" s="2">
        <v>640000</v>
      </c>
      <c r="O187" s="21">
        <f t="shared" ref="O187:O188" ca="1" si="404">N187/N$649</f>
        <v>7.170149835821293E-3</v>
      </c>
      <c r="P187" s="22">
        <f t="shared" ref="P187:P188" ca="1" si="405">O187*P$679</f>
        <v>1776096.2930491273</v>
      </c>
      <c r="Q187" s="2">
        <v>640000</v>
      </c>
      <c r="R187" s="21">
        <f t="shared" ref="R187:R188" ca="1" si="406">Q187/Q$649</f>
        <v>8.1246024576176207E-3</v>
      </c>
      <c r="S187" s="22">
        <f t="shared" ref="S187:S188" ca="1" si="407">R187*S$679</f>
        <v>2058808.8673920766</v>
      </c>
      <c r="T187" s="2">
        <v>640000</v>
      </c>
      <c r="U187" s="21">
        <f t="shared" ref="U187:U188" ca="1" si="408">T187/T$649</f>
        <v>8.2353326839508783E-3</v>
      </c>
      <c r="V187" s="22">
        <f t="shared" ref="V187:V188" ca="1" si="409">U187*V$679</f>
        <v>2130692.6143664182</v>
      </c>
      <c r="W187" s="2">
        <v>640000</v>
      </c>
      <c r="X187" s="21">
        <f t="shared" ref="X187:X188" ca="1" si="410">W187/W$649</f>
        <v>7.1963288381482592E-3</v>
      </c>
      <c r="Y187" s="22">
        <f t="shared" ref="Y187:Y188" ca="1" si="411">X187*Y$679</f>
        <v>1899113.0777713871</v>
      </c>
      <c r="Z187" s="2">
        <v>640000</v>
      </c>
      <c r="AA187" s="21">
        <f t="shared" ref="AA187:AA188" ca="1" si="412">Z187/Z$649</f>
        <v>6.6263202846362371E-3</v>
      </c>
      <c r="AB187" s="22">
        <f t="shared" ref="AB187:AB188" ca="1" si="413">AA187*AB$679</f>
        <v>1780164.0483022097</v>
      </c>
      <c r="AC187" s="2">
        <v>640000</v>
      </c>
      <c r="AD187" s="21">
        <f t="shared" ref="AD187:AD188" ca="1" si="414">AC187/AC$649</f>
        <v>6.5426376899039625E-3</v>
      </c>
      <c r="AE187" s="22">
        <f t="shared" ref="AE187:AE188" ca="1" si="415">AD187*AE$679</f>
        <v>1791078.6509515566</v>
      </c>
      <c r="AF187" s="2">
        <v>640000</v>
      </c>
      <c r="AG187" s="21">
        <f t="shared" ref="AG187:AG188" ca="1" si="416">AF187/AF$649</f>
        <v>6.3138630993170098E-3</v>
      </c>
      <c r="AH187" s="22">
        <f t="shared" ref="AH187:AH188" ca="1" si="417">AG187*AH$679</f>
        <v>1759562.6114459585</v>
      </c>
      <c r="AI187" s="2">
        <v>640000</v>
      </c>
      <c r="AJ187" s="21">
        <f t="shared" ref="AJ187:AJ188" ca="1" si="418">AI187/AI$649</f>
        <v>3.3410870005658021E-3</v>
      </c>
      <c r="AK187" s="22">
        <f t="shared" ref="AK187:AK188" ca="1" si="419">AJ187*AK$679</f>
        <v>947862.03079586278</v>
      </c>
      <c r="AL187" s="2">
        <v>6400000</v>
      </c>
    </row>
    <row r="188" spans="1:38" ht="12.75" x14ac:dyDescent="0.2">
      <c r="A188" s="8" t="s">
        <v>16</v>
      </c>
      <c r="B188" s="8" t="s">
        <v>17</v>
      </c>
      <c r="C188" s="8" t="s">
        <v>18</v>
      </c>
      <c r="D188" s="8" t="s">
        <v>87</v>
      </c>
      <c r="E188" s="8" t="s">
        <v>88</v>
      </c>
      <c r="F188" s="23" t="s">
        <v>37</v>
      </c>
      <c r="G188" s="8" t="s">
        <v>546</v>
      </c>
      <c r="H188" s="20">
        <v>441369.16432429192</v>
      </c>
      <c r="I188" s="21">
        <f t="shared" si="400"/>
        <v>6.2295072735556907E-3</v>
      </c>
      <c r="J188" s="22">
        <f t="shared" si="401"/>
        <v>299972.62210371485</v>
      </c>
      <c r="K188" s="2">
        <v>451166.82844726904</v>
      </c>
      <c r="L188" s="21">
        <f t="shared" ca="1" si="402"/>
        <v>5.3788825865193667E-3</v>
      </c>
      <c r="M188" s="22">
        <f t="shared" ca="1" si="403"/>
        <v>491266.0246530702</v>
      </c>
      <c r="N188" s="2">
        <v>0</v>
      </c>
      <c r="O188" s="21">
        <f t="shared" ca="1" si="404"/>
        <v>0</v>
      </c>
      <c r="P188" s="22">
        <f t="shared" ca="1" si="405"/>
        <v>0</v>
      </c>
      <c r="Q188" s="2">
        <v>3018866.5789763588</v>
      </c>
      <c r="R188" s="21">
        <f t="shared" ca="1" si="406"/>
        <v>3.832357941682972E-2</v>
      </c>
      <c r="S188" s="22">
        <f t="shared" ca="1" si="407"/>
        <v>9711358.2535470463</v>
      </c>
      <c r="T188" s="2">
        <v>1267299.2149575055</v>
      </c>
      <c r="U188" s="21">
        <f t="shared" ca="1" si="408"/>
        <v>1.6307235383257554E-2</v>
      </c>
      <c r="V188" s="22">
        <f t="shared" ca="1" si="409"/>
        <v>4219101.6835973701</v>
      </c>
      <c r="W188" s="2">
        <v>1286618.0689243623</v>
      </c>
      <c r="X188" s="21">
        <f t="shared" ca="1" si="410"/>
        <v>1.4467072989192208E-2</v>
      </c>
      <c r="Y188" s="22">
        <f t="shared" ca="1" si="411"/>
        <v>3817864.3762362879</v>
      </c>
      <c r="Z188" s="2">
        <v>1307519.3976616457</v>
      </c>
      <c r="AA188" s="21">
        <f t="shared" ca="1" si="412"/>
        <v>1.3537566105126122E-2</v>
      </c>
      <c r="AB188" s="22">
        <f t="shared" ca="1" si="413"/>
        <v>3636873.4752734723</v>
      </c>
      <c r="AC188" s="2">
        <v>1321661.5913270987</v>
      </c>
      <c r="AD188" s="21">
        <f t="shared" ca="1" si="414"/>
        <v>1.3511176469867381E-2</v>
      </c>
      <c r="AE188" s="22">
        <f t="shared" ca="1" si="415"/>
        <v>3698749.7812634804</v>
      </c>
      <c r="AF188" s="2">
        <v>1336867.9658010653</v>
      </c>
      <c r="AG188" s="21">
        <f t="shared" ca="1" si="416"/>
        <v>1.3188752059266158E-2</v>
      </c>
      <c r="AH188" s="22">
        <f t="shared" ca="1" si="417"/>
        <v>3675473.2641615141</v>
      </c>
      <c r="AI188" s="2">
        <v>2733735.2756166751</v>
      </c>
      <c r="AJ188" s="21">
        <f t="shared" ca="1" si="418"/>
        <v>1.4271324050548505E-2</v>
      </c>
      <c r="AK188" s="22">
        <f t="shared" ca="1" si="419"/>
        <v>4048756.0468817335</v>
      </c>
      <c r="AL188" s="2">
        <v>13165104.086036272</v>
      </c>
    </row>
    <row r="189" spans="1:38" ht="12.75" x14ac:dyDescent="0.2">
      <c r="A189" s="8" t="s">
        <v>16</v>
      </c>
      <c r="B189" s="8" t="s">
        <v>17</v>
      </c>
      <c r="C189" s="8" t="s">
        <v>18</v>
      </c>
      <c r="D189" s="8" t="s">
        <v>87</v>
      </c>
      <c r="E189" s="8" t="s">
        <v>88</v>
      </c>
      <c r="F189" s="8" t="s">
        <v>27</v>
      </c>
      <c r="G189" s="8" t="s">
        <v>547</v>
      </c>
      <c r="H189" s="20">
        <v>0</v>
      </c>
      <c r="I189" s="21">
        <f>H189/H$657</f>
        <v>0</v>
      </c>
      <c r="J189" s="22">
        <f>I189*J$687</f>
        <v>0</v>
      </c>
      <c r="K189" s="2">
        <v>0</v>
      </c>
      <c r="L189" s="21">
        <f ca="1">K189/K$657</f>
        <v>0</v>
      </c>
      <c r="M189" s="22">
        <f ca="1">L189*M$687</f>
        <v>0</v>
      </c>
      <c r="N189" s="2">
        <v>0</v>
      </c>
      <c r="O189" s="21">
        <f ca="1">N189/N$657</f>
        <v>0</v>
      </c>
      <c r="P189" s="22">
        <f ca="1">O189*P$687</f>
        <v>0</v>
      </c>
      <c r="Q189" s="2">
        <v>0</v>
      </c>
      <c r="R189" s="21">
        <f ca="1">Q189/Q$657</f>
        <v>0</v>
      </c>
      <c r="S189" s="22">
        <f ca="1">R189*S$687</f>
        <v>0</v>
      </c>
      <c r="T189" s="2">
        <v>0</v>
      </c>
      <c r="U189" s="21">
        <f ca="1">T189/T$657</f>
        <v>0</v>
      </c>
      <c r="V189" s="22">
        <f ca="1">U189*V$687</f>
        <v>0</v>
      </c>
      <c r="W189" s="2">
        <v>0</v>
      </c>
      <c r="X189" s="21">
        <f ca="1">W189/W$657</f>
        <v>0</v>
      </c>
      <c r="Y189" s="22">
        <f ca="1">X189*Y$687</f>
        <v>0</v>
      </c>
      <c r="Z189" s="2">
        <v>0</v>
      </c>
      <c r="AA189" s="21">
        <f ca="1">Z189/Z$657</f>
        <v>0</v>
      </c>
      <c r="AB189" s="22">
        <f ca="1">AA189*AB$687</f>
        <v>0</v>
      </c>
      <c r="AC189" s="2">
        <v>0</v>
      </c>
      <c r="AD189" s="21">
        <f ca="1">AC189/AC$657</f>
        <v>0</v>
      </c>
      <c r="AE189" s="22">
        <f ca="1">AD189*AE$687</f>
        <v>0</v>
      </c>
      <c r="AF189" s="2">
        <v>0</v>
      </c>
      <c r="AG189" s="21">
        <f ca="1">AF189/AF$657</f>
        <v>0</v>
      </c>
      <c r="AH189" s="22">
        <f ca="1">AG189*AH$687</f>
        <v>0</v>
      </c>
      <c r="AI189" s="2">
        <v>0</v>
      </c>
      <c r="AJ189" s="21">
        <f ca="1">AI189/AI$657</f>
        <v>0</v>
      </c>
      <c r="AK189" s="22">
        <f ca="1">AJ189*AK$687</f>
        <v>0</v>
      </c>
      <c r="AL189" s="2">
        <v>0</v>
      </c>
    </row>
    <row r="190" spans="1:38" ht="12.75" x14ac:dyDescent="0.2">
      <c r="A190" s="8" t="s">
        <v>16</v>
      </c>
      <c r="B190" s="8" t="s">
        <v>17</v>
      </c>
      <c r="C190" s="8" t="s">
        <v>18</v>
      </c>
      <c r="D190" s="8" t="s">
        <v>87</v>
      </c>
      <c r="E190" s="8" t="s">
        <v>88</v>
      </c>
      <c r="F190" s="8" t="s">
        <v>28</v>
      </c>
      <c r="G190" s="8" t="s">
        <v>548</v>
      </c>
      <c r="H190" s="20">
        <v>0</v>
      </c>
      <c r="I190" s="21">
        <f>H190/H$669</f>
        <v>0</v>
      </c>
      <c r="J190" s="22">
        <f>I190*J$699</f>
        <v>0</v>
      </c>
      <c r="K190" s="2">
        <v>0</v>
      </c>
      <c r="L190" s="21">
        <f ca="1">K190/K$669</f>
        <v>0</v>
      </c>
      <c r="M190" s="22">
        <f ca="1">L190*M$699</f>
        <v>0</v>
      </c>
      <c r="N190" s="2">
        <v>0</v>
      </c>
      <c r="O190" s="21">
        <f ca="1">N190/N$669</f>
        <v>0</v>
      </c>
      <c r="P190" s="22">
        <f ca="1">O190*P$699</f>
        <v>0</v>
      </c>
      <c r="Q190" s="2">
        <v>0</v>
      </c>
      <c r="R190" s="21">
        <f ca="1">Q190/Q$669</f>
        <v>0</v>
      </c>
      <c r="S190" s="22">
        <f ca="1">R190*S$699</f>
        <v>0</v>
      </c>
      <c r="T190" s="2">
        <v>0</v>
      </c>
      <c r="U190" s="21">
        <f ca="1">T190/T$669</f>
        <v>0</v>
      </c>
      <c r="V190" s="22">
        <f ca="1">U190*V$699</f>
        <v>0</v>
      </c>
      <c r="W190" s="2">
        <v>0</v>
      </c>
      <c r="X190" s="21">
        <f ca="1">W190/W$669</f>
        <v>0</v>
      </c>
      <c r="Y190" s="22">
        <f ca="1">X190*Y$699</f>
        <v>0</v>
      </c>
      <c r="Z190" s="2">
        <v>0</v>
      </c>
      <c r="AA190" s="21">
        <f ca="1">Z190/Z$669</f>
        <v>0</v>
      </c>
      <c r="AB190" s="22">
        <f ca="1">AA190*AB$699</f>
        <v>0</v>
      </c>
      <c r="AC190" s="2">
        <v>0</v>
      </c>
      <c r="AD190" s="21">
        <f ca="1">AC190/AC$669</f>
        <v>0</v>
      </c>
      <c r="AE190" s="22">
        <f ca="1">AD190*AE$699</f>
        <v>0</v>
      </c>
      <c r="AF190" s="2">
        <v>0</v>
      </c>
      <c r="AG190" s="21">
        <f ca="1">AF190/AF$669</f>
        <v>0</v>
      </c>
      <c r="AH190" s="22">
        <f ca="1">AG190*AH$699</f>
        <v>0</v>
      </c>
      <c r="AI190" s="2">
        <v>0</v>
      </c>
      <c r="AJ190" s="21">
        <f ca="1">AI190/AI$669</f>
        <v>0</v>
      </c>
      <c r="AK190" s="22">
        <f ca="1">AJ190*AK$699</f>
        <v>0</v>
      </c>
      <c r="AL190" s="2">
        <v>0</v>
      </c>
    </row>
    <row r="191" spans="1:38" ht="12.75" x14ac:dyDescent="0.2">
      <c r="A191" s="8" t="s">
        <v>16</v>
      </c>
      <c r="B191" s="8" t="s">
        <v>17</v>
      </c>
      <c r="C191" s="8" t="s">
        <v>18</v>
      </c>
      <c r="D191" s="8" t="s">
        <v>87</v>
      </c>
      <c r="E191" s="8" t="s">
        <v>89</v>
      </c>
      <c r="F191" s="8" t="s">
        <v>21</v>
      </c>
      <c r="G191" s="8" t="s">
        <v>549</v>
      </c>
      <c r="H191" s="20">
        <v>0</v>
      </c>
      <c r="I191" s="21">
        <f t="shared" ref="I191:I192" si="420">H191/H$645</f>
        <v>0</v>
      </c>
      <c r="J191" s="22">
        <f t="shared" ref="J191:J192" si="421">I191*J$675</f>
        <v>0</v>
      </c>
      <c r="K191" s="2">
        <v>0</v>
      </c>
      <c r="L191" s="21">
        <f t="shared" ref="L191:L192" ca="1" si="422">K191/K$645</f>
        <v>0</v>
      </c>
      <c r="M191" s="22">
        <f t="shared" ref="M191:M192" ca="1" si="423">L191*M$675</f>
        <v>0</v>
      </c>
      <c r="N191" s="2">
        <v>0</v>
      </c>
      <c r="O191" s="21">
        <f t="shared" ref="O191:O192" ca="1" si="424">N191/N$645</f>
        <v>0</v>
      </c>
      <c r="P191" s="22">
        <f t="shared" ref="P191:P192" ca="1" si="425">O191*P$675</f>
        <v>0</v>
      </c>
      <c r="Q191" s="2">
        <v>0</v>
      </c>
      <c r="R191" s="21">
        <f t="shared" ref="R191:R192" ca="1" si="426">Q191/Q$645</f>
        <v>0</v>
      </c>
      <c r="S191" s="22">
        <f t="shared" ref="S191:S192" ca="1" si="427">R191*S$675</f>
        <v>0</v>
      </c>
      <c r="T191" s="2">
        <v>0</v>
      </c>
      <c r="U191" s="21">
        <f t="shared" ref="U191:U192" ca="1" si="428">T191/T$645</f>
        <v>0</v>
      </c>
      <c r="V191" s="22">
        <f t="shared" ref="V191:V192" ca="1" si="429">U191*V$675</f>
        <v>0</v>
      </c>
      <c r="W191" s="2">
        <v>0</v>
      </c>
      <c r="X191" s="21">
        <f t="shared" ref="X191:X192" ca="1" si="430">W191/W$645</f>
        <v>0</v>
      </c>
      <c r="Y191" s="22">
        <f t="shared" ref="Y191:Y192" ca="1" si="431">X191*Y$675</f>
        <v>0</v>
      </c>
      <c r="Z191" s="2">
        <v>0</v>
      </c>
      <c r="AA191" s="21">
        <f t="shared" ref="AA191:AA192" ca="1" si="432">Z191/Z$645</f>
        <v>0</v>
      </c>
      <c r="AB191" s="22">
        <f t="shared" ref="AB191:AB192" ca="1" si="433">AA191*AB$675</f>
        <v>0</v>
      </c>
      <c r="AC191" s="2">
        <v>0</v>
      </c>
      <c r="AD191" s="21">
        <f t="shared" ref="AD191:AD192" ca="1" si="434">AC191/AC$645</f>
        <v>0</v>
      </c>
      <c r="AE191" s="22">
        <f t="shared" ref="AE191:AE192" ca="1" si="435">AD191*AE$675</f>
        <v>0</v>
      </c>
      <c r="AF191" s="2">
        <v>0</v>
      </c>
      <c r="AG191" s="21">
        <f t="shared" ref="AG191:AG192" ca="1" si="436">AF191/AF$645</f>
        <v>0</v>
      </c>
      <c r="AH191" s="22">
        <f t="shared" ref="AH191:AH192" ca="1" si="437">AG191*AH$675</f>
        <v>0</v>
      </c>
      <c r="AI191" s="2">
        <v>0</v>
      </c>
      <c r="AJ191" s="21">
        <f t="shared" ref="AJ191:AJ192" ca="1" si="438">AI191/AI$645</f>
        <v>0</v>
      </c>
      <c r="AK191" s="22">
        <f t="shared" ref="AK191:AK192" ca="1" si="439">AJ191*AK$675</f>
        <v>0</v>
      </c>
      <c r="AL191" s="2">
        <v>0</v>
      </c>
    </row>
    <row r="192" spans="1:38" ht="12.75" x14ac:dyDescent="0.2">
      <c r="A192" s="8" t="s">
        <v>16</v>
      </c>
      <c r="B192" s="8" t="s">
        <v>17</v>
      </c>
      <c r="C192" s="8" t="s">
        <v>18</v>
      </c>
      <c r="D192" s="8" t="s">
        <v>87</v>
      </c>
      <c r="E192" s="8" t="s">
        <v>89</v>
      </c>
      <c r="F192" s="8" t="s">
        <v>21</v>
      </c>
      <c r="G192" s="8" t="s">
        <v>550</v>
      </c>
      <c r="H192" s="20">
        <v>0</v>
      </c>
      <c r="I192" s="21">
        <f t="shared" si="420"/>
        <v>0</v>
      </c>
      <c r="J192" s="22">
        <f t="shared" si="421"/>
        <v>0</v>
      </c>
      <c r="K192" s="2">
        <v>0</v>
      </c>
      <c r="L192" s="21">
        <f t="shared" ca="1" si="422"/>
        <v>0</v>
      </c>
      <c r="M192" s="22">
        <f t="shared" ca="1" si="423"/>
        <v>0</v>
      </c>
      <c r="N192" s="2">
        <v>0</v>
      </c>
      <c r="O192" s="21">
        <f t="shared" ca="1" si="424"/>
        <v>0</v>
      </c>
      <c r="P192" s="22">
        <f t="shared" ca="1" si="425"/>
        <v>0</v>
      </c>
      <c r="Q192" s="2">
        <v>0</v>
      </c>
      <c r="R192" s="21">
        <f t="shared" ca="1" si="426"/>
        <v>0</v>
      </c>
      <c r="S192" s="22">
        <f t="shared" ca="1" si="427"/>
        <v>0</v>
      </c>
      <c r="T192" s="2">
        <v>0</v>
      </c>
      <c r="U192" s="21">
        <f t="shared" ca="1" si="428"/>
        <v>0</v>
      </c>
      <c r="V192" s="22">
        <f t="shared" ca="1" si="429"/>
        <v>0</v>
      </c>
      <c r="W192" s="2">
        <v>0</v>
      </c>
      <c r="X192" s="21">
        <f t="shared" ca="1" si="430"/>
        <v>0</v>
      </c>
      <c r="Y192" s="22">
        <f t="shared" ca="1" si="431"/>
        <v>0</v>
      </c>
      <c r="Z192" s="2">
        <v>0</v>
      </c>
      <c r="AA192" s="21">
        <f t="shared" ca="1" si="432"/>
        <v>0</v>
      </c>
      <c r="AB192" s="22">
        <f t="shared" ca="1" si="433"/>
        <v>0</v>
      </c>
      <c r="AC192" s="2">
        <v>13201.971758118012</v>
      </c>
      <c r="AD192" s="21">
        <f t="shared" ca="1" si="434"/>
        <v>5.5591118618715193E-4</v>
      </c>
      <c r="AE192" s="22">
        <f t="shared" ca="1" si="435"/>
        <v>271.96738450531029</v>
      </c>
      <c r="AF192" s="2">
        <v>56894.535363682859</v>
      </c>
      <c r="AG192" s="21">
        <f t="shared" ca="1" si="436"/>
        <v>2.6083369344578641E-3</v>
      </c>
      <c r="AH192" s="22">
        <f t="shared" ca="1" si="437"/>
        <v>1299.0410506499134</v>
      </c>
      <c r="AI192" s="2">
        <v>0</v>
      </c>
      <c r="AJ192" s="21">
        <f t="shared" ca="1" si="438"/>
        <v>0</v>
      </c>
      <c r="AK192" s="22">
        <f t="shared" ca="1" si="439"/>
        <v>0</v>
      </c>
      <c r="AL192" s="2">
        <v>70096.507121800867</v>
      </c>
    </row>
    <row r="193" spans="1:38" ht="12.75" x14ac:dyDescent="0.2">
      <c r="A193" s="8" t="s">
        <v>16</v>
      </c>
      <c r="B193" s="8" t="s">
        <v>17</v>
      </c>
      <c r="C193" s="8" t="s">
        <v>18</v>
      </c>
      <c r="D193" s="8" t="s">
        <v>87</v>
      </c>
      <c r="E193" s="8" t="s">
        <v>89</v>
      </c>
      <c r="F193" s="8" t="s">
        <v>24</v>
      </c>
      <c r="G193" s="8" t="s">
        <v>551</v>
      </c>
      <c r="H193" s="20">
        <v>15853.91649864357</v>
      </c>
      <c r="I193" s="21">
        <f>H193/H$646</f>
        <v>1.9308355160301425E-4</v>
      </c>
      <c r="J193" s="22">
        <f>I193*J$676</f>
        <v>415.44629297110959</v>
      </c>
      <c r="K193" s="2">
        <v>9231.8465270717352</v>
      </c>
      <c r="L193" s="21">
        <f ca="1">K193/K$646</f>
        <v>1.4617464779521005E-4</v>
      </c>
      <c r="M193" s="22">
        <f ca="1">L193*M$676</f>
        <v>568.32897475059235</v>
      </c>
      <c r="N193" s="2">
        <v>121251.03427297506</v>
      </c>
      <c r="O193" s="21">
        <f ca="1">N193/N$646</f>
        <v>1.2934849678066112E-3</v>
      </c>
      <c r="P193" s="22">
        <f ca="1">O193*P$676</f>
        <v>21975.147600813492</v>
      </c>
      <c r="Q193" s="2">
        <v>103800.76563149574</v>
      </c>
      <c r="R193" s="21">
        <f ca="1">Q193/Q$646</f>
        <v>9.3327086134427969E-4</v>
      </c>
      <c r="S193" s="22">
        <f ca="1">R193*S$676</f>
        <v>16220.108494139824</v>
      </c>
      <c r="T193" s="2">
        <v>5341.9493130239889</v>
      </c>
      <c r="U193" s="21">
        <f ca="1">T193/T$646</f>
        <v>6.3672636755411456E-5</v>
      </c>
      <c r="V193" s="22">
        <f ca="1">U193*V$676</f>
        <v>1129.859977980359</v>
      </c>
      <c r="W193" s="2">
        <v>118140.06296006219</v>
      </c>
      <c r="X193" s="21">
        <f ca="1">W193/W$646</f>
        <v>1.3516109963233572E-3</v>
      </c>
      <c r="Y193" s="22">
        <f ca="1">X193*Y$676</f>
        <v>24463.786542978291</v>
      </c>
      <c r="Z193" s="2">
        <v>0</v>
      </c>
      <c r="AA193" s="21">
        <f ca="1">Z193/Z$646</f>
        <v>0</v>
      </c>
      <c r="AB193" s="22">
        <f ca="1">AA193*AB$676</f>
        <v>0</v>
      </c>
      <c r="AC193" s="2">
        <v>88178.609766821828</v>
      </c>
      <c r="AD193" s="21">
        <f ca="1">AC193/AC$646</f>
        <v>8.4749796569394669E-4</v>
      </c>
      <c r="AE193" s="22">
        <f ca="1">AD193*AE$676</f>
        <v>15912.286465874478</v>
      </c>
      <c r="AF193" s="2">
        <v>38452.858383730483</v>
      </c>
      <c r="AG193" s="21">
        <f ca="1">AF193/AF$646</f>
        <v>4.084918172884822E-4</v>
      </c>
      <c r="AH193" s="22">
        <f ca="1">AG193*AH$676</f>
        <v>7807.7349834098914</v>
      </c>
      <c r="AI193" s="2">
        <v>39997.236849713496</v>
      </c>
      <c r="AJ193" s="21">
        <f ca="1">AI193/AI$646</f>
        <v>3.2373626117640432E-4</v>
      </c>
      <c r="AK193" s="22">
        <f ca="1">AJ193*AK$676</f>
        <v>6299.1337088747723</v>
      </c>
      <c r="AL193" s="2">
        <v>540248.28020353813</v>
      </c>
    </row>
    <row r="194" spans="1:38" ht="12.75" x14ac:dyDescent="0.2">
      <c r="A194" s="8" t="s">
        <v>16</v>
      </c>
      <c r="B194" s="8" t="s">
        <v>17</v>
      </c>
      <c r="C194" s="8" t="s">
        <v>18</v>
      </c>
      <c r="D194" s="8" t="s">
        <v>87</v>
      </c>
      <c r="E194" s="8" t="s">
        <v>89</v>
      </c>
      <c r="F194" s="23" t="s">
        <v>37</v>
      </c>
      <c r="G194" s="8" t="s">
        <v>552</v>
      </c>
      <c r="H194" s="20">
        <v>300000</v>
      </c>
      <c r="I194" s="21">
        <f t="shared" ref="I194:I196" si="440">H194/H$649</f>
        <v>4.2342155572372185E-3</v>
      </c>
      <c r="J194" s="22">
        <f t="shared" ref="J194:J196" si="441">I194*J$679</f>
        <v>203892.3284749313</v>
      </c>
      <c r="K194" s="2">
        <v>300000</v>
      </c>
      <c r="L194" s="21">
        <f t="shared" ref="L194:L196" ca="1" si="442">K194/K$649</f>
        <v>3.5766476482975967E-3</v>
      </c>
      <c r="M194" s="22">
        <f t="shared" ref="M194:M196" ca="1" si="443">L194*M$679</f>
        <v>326663.65987752652</v>
      </c>
      <c r="N194" s="2">
        <v>300000</v>
      </c>
      <c r="O194" s="21">
        <f t="shared" ref="O194:O196" ca="1" si="444">N194/N$649</f>
        <v>3.3610077355412313E-3</v>
      </c>
      <c r="P194" s="22">
        <f t="shared" ref="P194:P196" ca="1" si="445">O194*P$679</f>
        <v>832545.13736677845</v>
      </c>
      <c r="Q194" s="2">
        <v>300000</v>
      </c>
      <c r="R194" s="21">
        <f t="shared" ref="R194:R196" ca="1" si="446">Q194/Q$649</f>
        <v>3.8084074020082598E-3</v>
      </c>
      <c r="S194" s="22">
        <f t="shared" ref="S194:S196" ca="1" si="447">R194*S$679</f>
        <v>965066.656590036</v>
      </c>
      <c r="T194" s="2">
        <v>300000</v>
      </c>
      <c r="U194" s="21">
        <f t="shared" ref="U194:U196" ca="1" si="448">T194/T$649</f>
        <v>3.8603121956019741E-3</v>
      </c>
      <c r="V194" s="22">
        <f t="shared" ref="V194:V196" ca="1" si="449">U194*V$679</f>
        <v>998762.1629842585</v>
      </c>
      <c r="W194" s="2">
        <v>300000</v>
      </c>
      <c r="X194" s="21">
        <f t="shared" ref="X194:X196" ca="1" si="450">W194/W$649</f>
        <v>3.3732791428819965E-3</v>
      </c>
      <c r="Y194" s="22">
        <f t="shared" ref="Y194:Y196" ca="1" si="451">X194*Y$679</f>
        <v>890209.25520533766</v>
      </c>
      <c r="Z194" s="2">
        <v>300000</v>
      </c>
      <c r="AA194" s="21">
        <f t="shared" ref="AA194:AA196" ca="1" si="452">Z194/Z$649</f>
        <v>3.1060876334232362E-3</v>
      </c>
      <c r="AB194" s="22">
        <f t="shared" ref="AB194:AB196" ca="1" si="453">AA194*AB$679</f>
        <v>834451.89764166088</v>
      </c>
      <c r="AC194" s="2">
        <v>300000</v>
      </c>
      <c r="AD194" s="21">
        <f t="shared" ref="AD194:AD196" ca="1" si="454">AC194/AC$649</f>
        <v>3.0668614171424826E-3</v>
      </c>
      <c r="AE194" s="22">
        <f t="shared" ref="AE194:AE196" ca="1" si="455">AD194*AE$679</f>
        <v>839568.11763354216</v>
      </c>
      <c r="AF194" s="2">
        <v>300000</v>
      </c>
      <c r="AG194" s="21">
        <f t="shared" ref="AG194:AG196" ca="1" si="456">AF194/AF$649</f>
        <v>2.9596233278048486E-3</v>
      </c>
      <c r="AH194" s="22">
        <f t="shared" ref="AH194:AH196" ca="1" si="457">AG194*AH$679</f>
        <v>824794.97411529312</v>
      </c>
      <c r="AI194" s="2">
        <v>300000</v>
      </c>
      <c r="AJ194" s="21">
        <f t="shared" ref="AJ194:AJ196" ca="1" si="458">AI194/AI$649</f>
        <v>1.5661345315152197E-3</v>
      </c>
      <c r="AK194" s="22">
        <f t="shared" ref="AK194:AK196" ca="1" si="459">AJ194*AK$679</f>
        <v>444310.32693556068</v>
      </c>
      <c r="AL194" s="2">
        <v>3000000</v>
      </c>
    </row>
    <row r="195" spans="1:38" ht="12.75" x14ac:dyDescent="0.2">
      <c r="A195" s="8" t="s">
        <v>16</v>
      </c>
      <c r="B195" s="8" t="s">
        <v>17</v>
      </c>
      <c r="C195" s="8" t="s">
        <v>18</v>
      </c>
      <c r="D195" s="8" t="s">
        <v>87</v>
      </c>
      <c r="E195" s="8" t="s">
        <v>89</v>
      </c>
      <c r="F195" s="23" t="s">
        <v>37</v>
      </c>
      <c r="G195" s="8" t="s">
        <v>553</v>
      </c>
      <c r="H195" s="20">
        <v>0</v>
      </c>
      <c r="I195" s="21">
        <f t="shared" si="440"/>
        <v>0</v>
      </c>
      <c r="J195" s="22">
        <f t="shared" si="441"/>
        <v>0</v>
      </c>
      <c r="K195" s="2">
        <v>0</v>
      </c>
      <c r="L195" s="21">
        <f t="shared" ca="1" si="442"/>
        <v>0</v>
      </c>
      <c r="M195" s="22">
        <f t="shared" ca="1" si="443"/>
        <v>0</v>
      </c>
      <c r="N195" s="2">
        <v>0</v>
      </c>
      <c r="O195" s="21">
        <f t="shared" ca="1" si="444"/>
        <v>0</v>
      </c>
      <c r="P195" s="22">
        <f t="shared" ca="1" si="445"/>
        <v>0</v>
      </c>
      <c r="Q195" s="2">
        <v>0</v>
      </c>
      <c r="R195" s="21">
        <f t="shared" ca="1" si="446"/>
        <v>0</v>
      </c>
      <c r="S195" s="22">
        <f t="shared" ca="1" si="447"/>
        <v>0</v>
      </c>
      <c r="T195" s="2">
        <v>0</v>
      </c>
      <c r="U195" s="21">
        <f t="shared" ca="1" si="448"/>
        <v>0</v>
      </c>
      <c r="V195" s="22">
        <f t="shared" ca="1" si="449"/>
        <v>0</v>
      </c>
      <c r="W195" s="2">
        <v>0</v>
      </c>
      <c r="X195" s="21">
        <f t="shared" ca="1" si="450"/>
        <v>0</v>
      </c>
      <c r="Y195" s="22">
        <f t="shared" ca="1" si="451"/>
        <v>0</v>
      </c>
      <c r="Z195" s="2">
        <v>0</v>
      </c>
      <c r="AA195" s="21">
        <f t="shared" ca="1" si="452"/>
        <v>0</v>
      </c>
      <c r="AB195" s="22">
        <f t="shared" ca="1" si="453"/>
        <v>0</v>
      </c>
      <c r="AC195" s="2">
        <v>0</v>
      </c>
      <c r="AD195" s="21">
        <f t="shared" ca="1" si="454"/>
        <v>0</v>
      </c>
      <c r="AE195" s="22">
        <f t="shared" ca="1" si="455"/>
        <v>0</v>
      </c>
      <c r="AF195" s="2">
        <v>0</v>
      </c>
      <c r="AG195" s="21">
        <f t="shared" ca="1" si="456"/>
        <v>0</v>
      </c>
      <c r="AH195" s="22">
        <f t="shared" ca="1" si="457"/>
        <v>0</v>
      </c>
      <c r="AI195" s="2">
        <v>0</v>
      </c>
      <c r="AJ195" s="21">
        <f t="shared" ca="1" si="458"/>
        <v>0</v>
      </c>
      <c r="AK195" s="22">
        <f t="shared" ca="1" si="459"/>
        <v>0</v>
      </c>
      <c r="AL195" s="2">
        <v>0</v>
      </c>
    </row>
    <row r="196" spans="1:38" ht="12.75" x14ac:dyDescent="0.2">
      <c r="A196" s="8" t="s">
        <v>16</v>
      </c>
      <c r="B196" s="8" t="s">
        <v>17</v>
      </c>
      <c r="C196" s="8" t="s">
        <v>18</v>
      </c>
      <c r="D196" s="8" t="s">
        <v>87</v>
      </c>
      <c r="E196" s="8" t="s">
        <v>89</v>
      </c>
      <c r="F196" s="23" t="s">
        <v>37</v>
      </c>
      <c r="G196" s="8" t="s">
        <v>554</v>
      </c>
      <c r="H196" s="20">
        <v>690103.81010974769</v>
      </c>
      <c r="I196" s="21">
        <f t="shared" si="440"/>
        <v>9.7401609629179098E-3</v>
      </c>
      <c r="J196" s="22">
        <f t="shared" si="441"/>
        <v>469022.9091089943</v>
      </c>
      <c r="K196" s="2">
        <v>0</v>
      </c>
      <c r="L196" s="21">
        <f t="shared" ca="1" si="442"/>
        <v>0</v>
      </c>
      <c r="M196" s="22">
        <f t="shared" ca="1" si="443"/>
        <v>0</v>
      </c>
      <c r="N196" s="2">
        <v>860187.96118175145</v>
      </c>
      <c r="O196" s="21">
        <f t="shared" ca="1" si="444"/>
        <v>9.6369946385043564E-3</v>
      </c>
      <c r="P196" s="22">
        <f t="shared" ca="1" si="445"/>
        <v>2387151.0143443677</v>
      </c>
      <c r="Q196" s="2">
        <v>0</v>
      </c>
      <c r="R196" s="21">
        <f t="shared" ca="1" si="446"/>
        <v>0</v>
      </c>
      <c r="S196" s="22">
        <f t="shared" ca="1" si="447"/>
        <v>0</v>
      </c>
      <c r="T196" s="2">
        <v>0</v>
      </c>
      <c r="U196" s="21">
        <f t="shared" ca="1" si="448"/>
        <v>0</v>
      </c>
      <c r="V196" s="22">
        <f t="shared" ca="1" si="449"/>
        <v>0</v>
      </c>
      <c r="W196" s="2">
        <v>0</v>
      </c>
      <c r="X196" s="21">
        <f t="shared" ca="1" si="450"/>
        <v>0</v>
      </c>
      <c r="Y196" s="22">
        <f t="shared" ca="1" si="451"/>
        <v>0</v>
      </c>
      <c r="Z196" s="2">
        <v>0</v>
      </c>
      <c r="AA196" s="21">
        <f t="shared" ca="1" si="452"/>
        <v>0</v>
      </c>
      <c r="AB196" s="22">
        <f t="shared" ca="1" si="453"/>
        <v>0</v>
      </c>
      <c r="AC196" s="2">
        <v>1128680.1321083107</v>
      </c>
      <c r="AD196" s="21">
        <f t="shared" ca="1" si="454"/>
        <v>1.1538351831527526E-2</v>
      </c>
      <c r="AE196" s="22">
        <f t="shared" ca="1" si="455"/>
        <v>3158679.5130818402</v>
      </c>
      <c r="AF196" s="2">
        <v>815366.70361994114</v>
      </c>
      <c r="AG196" s="21">
        <f t="shared" ca="1" si="456"/>
        <v>8.0439277224963988E-3</v>
      </c>
      <c r="AH196" s="22">
        <f t="shared" ca="1" si="457"/>
        <v>2241701.1973556038</v>
      </c>
      <c r="AI196" s="2">
        <v>2020367.5659683053</v>
      </c>
      <c r="AJ196" s="21">
        <f t="shared" ca="1" si="458"/>
        <v>1.0547224704721055E-2</v>
      </c>
      <c r="AK196" s="22">
        <f t="shared" ca="1" si="459"/>
        <v>2992233.9125512689</v>
      </c>
      <c r="AL196" s="2">
        <v>5514706.1729880562</v>
      </c>
    </row>
    <row r="197" spans="1:38" ht="12.75" x14ac:dyDescent="0.2">
      <c r="A197" s="8" t="s">
        <v>16</v>
      </c>
      <c r="B197" s="8" t="s">
        <v>17</v>
      </c>
      <c r="C197" s="8" t="s">
        <v>18</v>
      </c>
      <c r="D197" s="8" t="s">
        <v>87</v>
      </c>
      <c r="E197" s="8" t="s">
        <v>89</v>
      </c>
      <c r="F197" s="8" t="s">
        <v>25</v>
      </c>
      <c r="G197" s="8" t="s">
        <v>555</v>
      </c>
      <c r="H197" s="20">
        <v>0</v>
      </c>
      <c r="I197" s="21">
        <f t="shared" ref="I197:I198" si="460">H197/H$652</f>
        <v>0</v>
      </c>
      <c r="J197" s="22">
        <f t="shared" ref="J197:J198" si="461">I197*J$682</f>
        <v>0</v>
      </c>
      <c r="K197" s="2">
        <v>0</v>
      </c>
      <c r="L197" s="21">
        <f t="shared" ref="L197:L198" ca="1" si="462">K197/K$652</f>
        <v>0</v>
      </c>
      <c r="M197" s="22">
        <f t="shared" ref="M197:M198" ca="1" si="463">L197*M$682</f>
        <v>0</v>
      </c>
      <c r="N197" s="2">
        <v>611968.13941251009</v>
      </c>
      <c r="O197" s="21">
        <f t="shared" ref="O197:O198" ca="1" si="464">N197/N$652</f>
        <v>1.2262761999843047E-2</v>
      </c>
      <c r="P197" s="22">
        <f t="shared" ref="P197:P198" ca="1" si="465">O197*P$682</f>
        <v>453794.221534096</v>
      </c>
      <c r="Q197" s="2">
        <v>55918.900039764208</v>
      </c>
      <c r="R197" s="21">
        <f t="shared" ref="R197:R198" ca="1" si="466">Q197/Q$652</f>
        <v>1.1266128156861284E-3</v>
      </c>
      <c r="S197" s="22">
        <f t="shared" ref="S197:S198" ca="1" si="467">R197*S$682</f>
        <v>42650.191243824156</v>
      </c>
      <c r="T197" s="2">
        <v>26291.725676502534</v>
      </c>
      <c r="U197" s="21">
        <f t="shared" ref="U197:U198" ca="1" si="468">T197/T$652</f>
        <v>5.9924532305812451E-4</v>
      </c>
      <c r="V197" s="22">
        <f t="shared" ref="V197:V198" ca="1" si="469">U197*V$682</f>
        <v>23162.033798344753</v>
      </c>
      <c r="W197" s="2">
        <v>0</v>
      </c>
      <c r="X197" s="21">
        <f t="shared" ref="X197:X198" ca="1" si="470">W197/W$652</f>
        <v>0</v>
      </c>
      <c r="Y197" s="22">
        <f t="shared" ref="Y197:Y198" ca="1" si="471">X197*Y$682</f>
        <v>0</v>
      </c>
      <c r="Z197" s="2">
        <v>0</v>
      </c>
      <c r="AA197" s="21">
        <f t="shared" ref="AA197:AA198" ca="1" si="472">Z197/Z$652</f>
        <v>0</v>
      </c>
      <c r="AB197" s="22">
        <f t="shared" ref="AB197:AB198" ca="1" si="473">AA197*AB$682</f>
        <v>0</v>
      </c>
      <c r="AC197" s="2">
        <v>0</v>
      </c>
      <c r="AD197" s="21">
        <f t="shared" ref="AD197:AD198" ca="1" si="474">AC197/AC$652</f>
        <v>0</v>
      </c>
      <c r="AE197" s="22">
        <f t="shared" ref="AE197:AE198" ca="1" si="475">AD197*AE$682</f>
        <v>0</v>
      </c>
      <c r="AF197" s="2">
        <v>0</v>
      </c>
      <c r="AG197" s="21">
        <f t="shared" ref="AG197:AG198" ca="1" si="476">AF197/AF$652</f>
        <v>0</v>
      </c>
      <c r="AH197" s="22">
        <f t="shared" ref="AH197:AH198" ca="1" si="477">AG197*AH$682</f>
        <v>0</v>
      </c>
      <c r="AI197" s="2">
        <v>202310.10375565218</v>
      </c>
      <c r="AJ197" s="21">
        <f t="shared" ref="AJ197:AJ198" ca="1" si="478">AI197/AI$652</f>
        <v>2.7008530740395471E-3</v>
      </c>
      <c r="AK197" s="22">
        <f t="shared" ref="AK197:AK198" ca="1" si="479">AJ197*AK$682</f>
        <v>114469.73748929615</v>
      </c>
      <c r="AL197" s="2">
        <v>896488.8688844291</v>
      </c>
    </row>
    <row r="198" spans="1:38" ht="12.75" x14ac:dyDescent="0.2">
      <c r="A198" s="8" t="s">
        <v>16</v>
      </c>
      <c r="B198" s="8" t="s">
        <v>17</v>
      </c>
      <c r="C198" s="8" t="s">
        <v>18</v>
      </c>
      <c r="D198" s="8" t="s">
        <v>87</v>
      </c>
      <c r="E198" s="8" t="s">
        <v>89</v>
      </c>
      <c r="F198" s="8" t="s">
        <v>25</v>
      </c>
      <c r="G198" s="8" t="s">
        <v>556</v>
      </c>
      <c r="H198" s="20">
        <v>0</v>
      </c>
      <c r="I198" s="21">
        <f t="shared" si="460"/>
        <v>0</v>
      </c>
      <c r="J198" s="22">
        <f t="shared" si="461"/>
        <v>0</v>
      </c>
      <c r="K198" s="2">
        <v>0</v>
      </c>
      <c r="L198" s="21">
        <f t="shared" ca="1" si="462"/>
        <v>0</v>
      </c>
      <c r="M198" s="22">
        <f t="shared" ca="1" si="463"/>
        <v>0</v>
      </c>
      <c r="N198" s="2">
        <v>0</v>
      </c>
      <c r="O198" s="21">
        <f t="shared" ca="1" si="464"/>
        <v>0</v>
      </c>
      <c r="P198" s="22">
        <f t="shared" ca="1" si="465"/>
        <v>0</v>
      </c>
      <c r="Q198" s="2">
        <v>0</v>
      </c>
      <c r="R198" s="21">
        <f t="shared" ca="1" si="466"/>
        <v>0</v>
      </c>
      <c r="S198" s="22">
        <f t="shared" ca="1" si="467"/>
        <v>0</v>
      </c>
      <c r="T198" s="2">
        <v>0</v>
      </c>
      <c r="U198" s="21">
        <f t="shared" ca="1" si="468"/>
        <v>0</v>
      </c>
      <c r="V198" s="22">
        <f t="shared" ca="1" si="469"/>
        <v>0</v>
      </c>
      <c r="W198" s="2">
        <v>0</v>
      </c>
      <c r="X198" s="21">
        <f t="shared" ca="1" si="470"/>
        <v>0</v>
      </c>
      <c r="Y198" s="22">
        <f t="shared" ca="1" si="471"/>
        <v>0</v>
      </c>
      <c r="Z198" s="2">
        <v>0</v>
      </c>
      <c r="AA198" s="21">
        <f t="shared" ca="1" si="472"/>
        <v>0</v>
      </c>
      <c r="AB198" s="22">
        <f t="shared" ca="1" si="473"/>
        <v>0</v>
      </c>
      <c r="AC198" s="2">
        <v>0</v>
      </c>
      <c r="AD198" s="21">
        <f t="shared" ca="1" si="474"/>
        <v>0</v>
      </c>
      <c r="AE198" s="22">
        <f t="shared" ca="1" si="475"/>
        <v>0</v>
      </c>
      <c r="AF198" s="2">
        <v>0</v>
      </c>
      <c r="AG198" s="21">
        <f t="shared" ca="1" si="476"/>
        <v>0</v>
      </c>
      <c r="AH198" s="22">
        <f t="shared" ca="1" si="477"/>
        <v>0</v>
      </c>
      <c r="AI198" s="2">
        <v>0</v>
      </c>
      <c r="AJ198" s="21">
        <f t="shared" ca="1" si="478"/>
        <v>0</v>
      </c>
      <c r="AK198" s="22">
        <f t="shared" ca="1" si="479"/>
        <v>0</v>
      </c>
      <c r="AL198" s="2">
        <v>0</v>
      </c>
    </row>
    <row r="199" spans="1:38" ht="12.75" x14ac:dyDescent="0.2">
      <c r="A199" s="8" t="s">
        <v>16</v>
      </c>
      <c r="B199" s="8" t="s">
        <v>17</v>
      </c>
      <c r="C199" s="8" t="s">
        <v>18</v>
      </c>
      <c r="D199" s="8" t="s">
        <v>87</v>
      </c>
      <c r="E199" s="8" t="s">
        <v>89</v>
      </c>
      <c r="F199" s="8" t="s">
        <v>26</v>
      </c>
      <c r="G199" s="8" t="s">
        <v>557</v>
      </c>
      <c r="H199" s="20">
        <v>184698.12720919758</v>
      </c>
      <c r="I199" s="21">
        <f>H199/H$655</f>
        <v>4.6567828733934842E-3</v>
      </c>
      <c r="J199" s="22">
        <f>I199*J$685</f>
        <v>11239.043015711959</v>
      </c>
      <c r="K199" s="2">
        <v>276559.74524670612</v>
      </c>
      <c r="L199" s="21">
        <f ca="1">K199/K$655</f>
        <v>6.966051688480167E-3</v>
      </c>
      <c r="M199" s="22">
        <f ca="1">L199*M$685</f>
        <v>19275.134682541506</v>
      </c>
      <c r="N199" s="2">
        <v>288040.99020997254</v>
      </c>
      <c r="O199" s="21">
        <f ca="1">N199/N$655</f>
        <v>2.4901658973335078E-3</v>
      </c>
      <c r="P199" s="22">
        <f ca="1">O199*P$685</f>
        <v>7069.4621020098893</v>
      </c>
      <c r="Q199" s="2">
        <v>482313.3261669114</v>
      </c>
      <c r="R199" s="21">
        <f ca="1">Q199/Q$655</f>
        <v>3.4644608618991566E-3</v>
      </c>
      <c r="S199" s="22">
        <f ca="1">R199*S$685</f>
        <v>10061.65408356264</v>
      </c>
      <c r="T199" s="2">
        <v>0</v>
      </c>
      <c r="U199" s="21">
        <f ca="1">T199/T$655</f>
        <v>0</v>
      </c>
      <c r="V199" s="22">
        <f ca="1">U199*V$685</f>
        <v>0</v>
      </c>
      <c r="W199" s="2">
        <v>279843.33999102027</v>
      </c>
      <c r="X199" s="21">
        <f ca="1">W199/W$655</f>
        <v>2.6103638113307544E-3</v>
      </c>
      <c r="Y199" s="22">
        <f ca="1">X199*Y$685</f>
        <v>7895.1552958935999</v>
      </c>
      <c r="Z199" s="2">
        <v>347946.82948135759</v>
      </c>
      <c r="AA199" s="21">
        <f ca="1">Z199/Z$655</f>
        <v>3.016428751613827E-3</v>
      </c>
      <c r="AB199" s="22">
        <f ca="1">AA199*AB$685</f>
        <v>9287.5355013874978</v>
      </c>
      <c r="AC199" s="2">
        <v>354314.51804437122</v>
      </c>
      <c r="AD199" s="21">
        <f ca="1">AC199/AC$655</f>
        <v>3.1449871052233926E-3</v>
      </c>
      <c r="AE199" s="22">
        <f ca="1">AD199*AE$685</f>
        <v>9867.3485154873597</v>
      </c>
      <c r="AF199" s="2">
        <v>329125.07767625642</v>
      </c>
      <c r="AG199" s="21">
        <f ca="1">AF199/AF$655</f>
        <v>2.7324508490625616E-3</v>
      </c>
      <c r="AH199" s="22">
        <f ca="1">AG199*AH$685</f>
        <v>8727.3368011562634</v>
      </c>
      <c r="AI199" s="2">
        <v>674233.60232491535</v>
      </c>
      <c r="AJ199" s="21">
        <f ca="1">AI199/AI$655</f>
        <v>3.6413133365526145E-3</v>
      </c>
      <c r="AK199" s="22">
        <f ca="1">AJ199*AK$685</f>
        <v>11839.550287269467</v>
      </c>
      <c r="AL199" s="2">
        <v>3217075.556350708</v>
      </c>
    </row>
    <row r="200" spans="1:38" ht="12.75" x14ac:dyDescent="0.2">
      <c r="A200" s="8" t="s">
        <v>16</v>
      </c>
      <c r="B200" s="8" t="s">
        <v>17</v>
      </c>
      <c r="C200" s="8" t="s">
        <v>18</v>
      </c>
      <c r="D200" s="8" t="s">
        <v>87</v>
      </c>
      <c r="E200" s="8" t="s">
        <v>89</v>
      </c>
      <c r="F200" s="8" t="s">
        <v>38</v>
      </c>
      <c r="G200" s="8" t="s">
        <v>558</v>
      </c>
      <c r="H200" s="20">
        <v>600000</v>
      </c>
      <c r="I200" s="21">
        <f>H200/H$656</f>
        <v>2.8030486783399432E-2</v>
      </c>
      <c r="J200" s="22">
        <f>I200*J$686</f>
        <v>1095212.9819117468</v>
      </c>
      <c r="K200" s="2">
        <v>600000</v>
      </c>
      <c r="L200" s="21">
        <f ca="1">K200/K$656</f>
        <v>4.4224117331300355E-2</v>
      </c>
      <c r="M200" s="22">
        <f ca="1">L200*M$686</f>
        <v>1690322.9354870426</v>
      </c>
      <c r="N200" s="2">
        <v>600000</v>
      </c>
      <c r="O200" s="21">
        <f ca="1">N200/N$656</f>
        <v>4.0363748467354223E-2</v>
      </c>
      <c r="P200" s="22">
        <f ca="1">O200*P$686</f>
        <v>1582884.9965936011</v>
      </c>
      <c r="Q200" s="2">
        <v>600000</v>
      </c>
      <c r="R200" s="21">
        <f ca="1">Q200/Q$656</f>
        <v>4.2481766609472262E-2</v>
      </c>
      <c r="S200" s="22">
        <f ca="1">R200*S$686</f>
        <v>1704260.8747301996</v>
      </c>
      <c r="T200" s="2">
        <v>600000</v>
      </c>
      <c r="U200" s="21">
        <f ca="1">T200/T$656</f>
        <v>6.3698790348805864E-2</v>
      </c>
      <c r="V200" s="22">
        <f ca="1">U200*V$686</f>
        <v>2609098.2434710222</v>
      </c>
      <c r="W200" s="2">
        <v>600000</v>
      </c>
      <c r="X200" s="21">
        <f ca="1">W200/W$656</f>
        <v>3.531081200035005E-2</v>
      </c>
      <c r="Y200" s="22">
        <f ca="1">X200*Y$686</f>
        <v>1475255.0967762962</v>
      </c>
      <c r="Z200" s="2">
        <v>600000</v>
      </c>
      <c r="AA200" s="21">
        <f ca="1">Z200/Z$656</f>
        <v>1.4770492176312669E-2</v>
      </c>
      <c r="AB200" s="22">
        <f ca="1">AA200*AB$686</f>
        <v>628206.12142261595</v>
      </c>
      <c r="AC200" s="2">
        <v>600000</v>
      </c>
      <c r="AD200" s="21">
        <f ca="1">AC200/AC$656</f>
        <v>5.4941969214785044E-2</v>
      </c>
      <c r="AE200" s="22">
        <f ca="1">AD200*AE$686</f>
        <v>2381143.6827016445</v>
      </c>
      <c r="AF200" s="2">
        <v>600000</v>
      </c>
      <c r="AG200" s="21">
        <f ca="1">AF200/AF$656</f>
        <v>2.981467222578427E-2</v>
      </c>
      <c r="AH200" s="22">
        <f ca="1">AG200*AH$686</f>
        <v>1315404.1215546189</v>
      </c>
      <c r="AI200" s="2">
        <v>600000</v>
      </c>
      <c r="AJ200" s="21">
        <f ca="1">AI200/AI$656</f>
        <v>1.504097374948234E-2</v>
      </c>
      <c r="AK200" s="22">
        <f ca="1">AJ200*AK$686</f>
        <v>675542.83225471433</v>
      </c>
      <c r="AL200" s="2">
        <v>6000000</v>
      </c>
    </row>
    <row r="201" spans="1:38" ht="12.75" x14ac:dyDescent="0.2">
      <c r="A201" s="8" t="s">
        <v>16</v>
      </c>
      <c r="B201" s="8" t="s">
        <v>17</v>
      </c>
      <c r="C201" s="8" t="s">
        <v>18</v>
      </c>
      <c r="D201" s="8" t="s">
        <v>87</v>
      </c>
      <c r="E201" s="8" t="s">
        <v>89</v>
      </c>
      <c r="F201" s="8" t="s">
        <v>27</v>
      </c>
      <c r="G201" s="8" t="s">
        <v>559</v>
      </c>
      <c r="H201" s="20">
        <v>0</v>
      </c>
      <c r="I201" s="21">
        <f t="shared" ref="I201:I203" si="480">H201/H$657</f>
        <v>0</v>
      </c>
      <c r="J201" s="22">
        <f t="shared" ref="J201:J203" si="481">I201*J$687</f>
        <v>0</v>
      </c>
      <c r="K201" s="2">
        <v>0</v>
      </c>
      <c r="L201" s="21">
        <f t="shared" ref="L201:L203" ca="1" si="482">K201/K$657</f>
        <v>0</v>
      </c>
      <c r="M201" s="22">
        <f t="shared" ref="M201:M203" ca="1" si="483">L201*M$687</f>
        <v>0</v>
      </c>
      <c r="N201" s="2">
        <v>33230.386503227106</v>
      </c>
      <c r="O201" s="21">
        <f t="shared" ref="O201:O203" ca="1" si="484">N201/N$657</f>
        <v>6.0080954737600758E-4</v>
      </c>
      <c r="P201" s="22">
        <f t="shared" ref="P201:P203" ca="1" si="485">O201*P$687</f>
        <v>9681.9973526096019</v>
      </c>
      <c r="Q201" s="2">
        <v>0</v>
      </c>
      <c r="R201" s="21">
        <f t="shared" ref="R201:R203" ca="1" si="486">Q201/Q$657</f>
        <v>0</v>
      </c>
      <c r="S201" s="22">
        <f t="shared" ref="S201:S203" ca="1" si="487">R201*S$687</f>
        <v>0</v>
      </c>
      <c r="T201" s="2">
        <v>0</v>
      </c>
      <c r="U201" s="21">
        <f t="shared" ref="U201:U203" ca="1" si="488">T201/T$657</f>
        <v>0</v>
      </c>
      <c r="V201" s="22">
        <f t="shared" ref="V201:V203" ca="1" si="489">U201*V$687</f>
        <v>0</v>
      </c>
      <c r="W201" s="2">
        <v>0</v>
      </c>
      <c r="X201" s="21">
        <f t="shared" ref="X201:X203" ca="1" si="490">W201/W$657</f>
        <v>0</v>
      </c>
      <c r="Y201" s="22">
        <f t="shared" ref="Y201:Y203" ca="1" si="491">X201*Y$687</f>
        <v>0</v>
      </c>
      <c r="Z201" s="2">
        <v>0</v>
      </c>
      <c r="AA201" s="21">
        <f t="shared" ref="AA201:AA203" ca="1" si="492">Z201/Z$657</f>
        <v>0</v>
      </c>
      <c r="AB201" s="22">
        <f t="shared" ref="AB201:AB203" ca="1" si="493">AA201*AB$687</f>
        <v>0</v>
      </c>
      <c r="AC201" s="2">
        <v>1204019.8243403626</v>
      </c>
      <c r="AD201" s="21">
        <f t="shared" ref="AD201:AD203" ca="1" si="494">AC201/AC$657</f>
        <v>2.1920309473752505E-2</v>
      </c>
      <c r="AE201" s="22">
        <f t="shared" ref="AE201:AE203" ca="1" si="495">AD201*AE$687</f>
        <v>390389.67704374308</v>
      </c>
      <c r="AF201" s="2">
        <v>0</v>
      </c>
      <c r="AG201" s="21">
        <f t="shared" ref="AG201:AG203" ca="1" si="496">AF201/AF$657</f>
        <v>0</v>
      </c>
      <c r="AH201" s="22">
        <f t="shared" ref="AH201:AH203" ca="1" si="497">AG201*AH$687</f>
        <v>0</v>
      </c>
      <c r="AI201" s="2">
        <v>0</v>
      </c>
      <c r="AJ201" s="21">
        <f t="shared" ref="AJ201:AJ203" ca="1" si="498">AI201/AI$657</f>
        <v>0</v>
      </c>
      <c r="AK201" s="22">
        <f t="shared" ref="AK201:AK203" ca="1" si="499">AJ201*AK$687</f>
        <v>0</v>
      </c>
      <c r="AL201" s="2">
        <v>1237250.2108435896</v>
      </c>
    </row>
    <row r="202" spans="1:38" ht="12.75" x14ac:dyDescent="0.2">
      <c r="A202" s="8" t="s">
        <v>16</v>
      </c>
      <c r="B202" s="8" t="s">
        <v>17</v>
      </c>
      <c r="C202" s="8" t="s">
        <v>18</v>
      </c>
      <c r="D202" s="8" t="s">
        <v>87</v>
      </c>
      <c r="E202" s="8" t="s">
        <v>89</v>
      </c>
      <c r="F202" s="8" t="s">
        <v>27</v>
      </c>
      <c r="G202" s="8" t="s">
        <v>560</v>
      </c>
      <c r="H202" s="20">
        <v>0</v>
      </c>
      <c r="I202" s="21">
        <f t="shared" si="480"/>
        <v>0</v>
      </c>
      <c r="J202" s="22">
        <f t="shared" si="481"/>
        <v>0</v>
      </c>
      <c r="K202" s="2">
        <v>0</v>
      </c>
      <c r="L202" s="21">
        <f t="shared" ca="1" si="482"/>
        <v>0</v>
      </c>
      <c r="M202" s="22">
        <f t="shared" ca="1" si="483"/>
        <v>0</v>
      </c>
      <c r="N202" s="2">
        <v>0</v>
      </c>
      <c r="O202" s="21">
        <f t="shared" ca="1" si="484"/>
        <v>0</v>
      </c>
      <c r="P202" s="22">
        <f t="shared" ca="1" si="485"/>
        <v>0</v>
      </c>
      <c r="Q202" s="2">
        <v>0</v>
      </c>
      <c r="R202" s="21">
        <f t="shared" ca="1" si="486"/>
        <v>0</v>
      </c>
      <c r="S202" s="22">
        <f t="shared" ca="1" si="487"/>
        <v>0</v>
      </c>
      <c r="T202" s="2">
        <v>0</v>
      </c>
      <c r="U202" s="21">
        <f t="shared" ca="1" si="488"/>
        <v>0</v>
      </c>
      <c r="V202" s="22">
        <f t="shared" ca="1" si="489"/>
        <v>0</v>
      </c>
      <c r="W202" s="2">
        <v>0</v>
      </c>
      <c r="X202" s="21">
        <f t="shared" ca="1" si="490"/>
        <v>0</v>
      </c>
      <c r="Y202" s="22">
        <f t="shared" ca="1" si="491"/>
        <v>0</v>
      </c>
      <c r="Z202" s="2">
        <v>0</v>
      </c>
      <c r="AA202" s="21">
        <f t="shared" ca="1" si="492"/>
        <v>0</v>
      </c>
      <c r="AB202" s="22">
        <f t="shared" ca="1" si="493"/>
        <v>0</v>
      </c>
      <c r="AC202" s="2">
        <v>121799.43754857658</v>
      </c>
      <c r="AD202" s="21">
        <f t="shared" ca="1" si="494"/>
        <v>2.2174729276210367E-3</v>
      </c>
      <c r="AE202" s="22">
        <f t="shared" ca="1" si="495"/>
        <v>39492.076565058902</v>
      </c>
      <c r="AF202" s="2">
        <v>39951.198861139252</v>
      </c>
      <c r="AG202" s="21">
        <f t="shared" ca="1" si="496"/>
        <v>7.9938380038889034E-4</v>
      </c>
      <c r="AH202" s="22">
        <f t="shared" ca="1" si="497"/>
        <v>14492.882291432459</v>
      </c>
      <c r="AI202" s="2">
        <v>0</v>
      </c>
      <c r="AJ202" s="21">
        <f t="shared" ca="1" si="498"/>
        <v>0</v>
      </c>
      <c r="AK202" s="22">
        <f t="shared" ca="1" si="499"/>
        <v>0</v>
      </c>
      <c r="AL202" s="2">
        <v>161750.63640971584</v>
      </c>
    </row>
    <row r="203" spans="1:38" ht="12.75" x14ac:dyDescent="0.2">
      <c r="A203" s="8" t="s">
        <v>16</v>
      </c>
      <c r="B203" s="8" t="s">
        <v>17</v>
      </c>
      <c r="C203" s="8" t="s">
        <v>18</v>
      </c>
      <c r="D203" s="8" t="s">
        <v>87</v>
      </c>
      <c r="E203" s="8" t="s">
        <v>89</v>
      </c>
      <c r="F203" s="8" t="s">
        <v>27</v>
      </c>
      <c r="G203" s="8" t="s">
        <v>561</v>
      </c>
      <c r="H203" s="20">
        <v>200000</v>
      </c>
      <c r="I203" s="21">
        <f t="shared" si="480"/>
        <v>3.9213191627491574E-3</v>
      </c>
      <c r="J203" s="22">
        <f t="shared" si="481"/>
        <v>40675.769170132917</v>
      </c>
      <c r="K203" s="2">
        <v>200000</v>
      </c>
      <c r="L203" s="21">
        <f t="shared" ca="1" si="482"/>
        <v>5.1205465452054764E-3</v>
      </c>
      <c r="M203" s="22">
        <f t="shared" ca="1" si="483"/>
        <v>80426.115219050524</v>
      </c>
      <c r="N203" s="2">
        <v>336377.50620924402</v>
      </c>
      <c r="O203" s="21">
        <f t="shared" ca="1" si="484"/>
        <v>6.0817474161313058E-3</v>
      </c>
      <c r="P203" s="22">
        <f t="shared" ca="1" si="485"/>
        <v>98006.868631487087</v>
      </c>
      <c r="Q203" s="2">
        <v>200000</v>
      </c>
      <c r="R203" s="21">
        <f t="shared" ca="1" si="486"/>
        <v>3.6211141103906015E-3</v>
      </c>
      <c r="S203" s="22">
        <f t="shared" ca="1" si="487"/>
        <v>59696.102696787035</v>
      </c>
      <c r="T203" s="2">
        <v>200000</v>
      </c>
      <c r="U203" s="21">
        <f t="shared" ca="1" si="488"/>
        <v>5.1698868249124164E-3</v>
      </c>
      <c r="V203" s="22">
        <f t="shared" ca="1" si="489"/>
        <v>87018.290283274968</v>
      </c>
      <c r="W203" s="2">
        <v>200000</v>
      </c>
      <c r="X203" s="21">
        <f t="shared" ca="1" si="490"/>
        <v>5.1038312708271182E-3</v>
      </c>
      <c r="Y203" s="22">
        <f t="shared" ca="1" si="491"/>
        <v>87624.588259651486</v>
      </c>
      <c r="Z203" s="2">
        <v>200000</v>
      </c>
      <c r="AA203" s="21">
        <f t="shared" ca="1" si="492"/>
        <v>4.1233064650794387E-3</v>
      </c>
      <c r="AB203" s="22">
        <f t="shared" ca="1" si="493"/>
        <v>72064.781598327318</v>
      </c>
      <c r="AC203" s="2">
        <v>200000</v>
      </c>
      <c r="AD203" s="21">
        <f t="shared" ca="1" si="494"/>
        <v>3.6411874672847393E-3</v>
      </c>
      <c r="AE203" s="22">
        <f t="shared" ca="1" si="495"/>
        <v>64847.715818570177</v>
      </c>
      <c r="AF203" s="2">
        <v>200000</v>
      </c>
      <c r="AG203" s="21">
        <f t="shared" ca="1" si="496"/>
        <v>4.0018013134842639E-3</v>
      </c>
      <c r="AH203" s="22">
        <f t="shared" ca="1" si="497"/>
        <v>72552.92809513041</v>
      </c>
      <c r="AI203" s="2">
        <v>200000</v>
      </c>
      <c r="AJ203" s="21">
        <f t="shared" ca="1" si="498"/>
        <v>3.6040361591800464E-3</v>
      </c>
      <c r="AK203" s="22">
        <f t="shared" ca="1" si="499"/>
        <v>66517.564503607005</v>
      </c>
      <c r="AL203" s="2">
        <v>2136377.506209244</v>
      </c>
    </row>
    <row r="204" spans="1:38" ht="12.75" x14ac:dyDescent="0.2">
      <c r="A204" s="8" t="s">
        <v>16</v>
      </c>
      <c r="B204" s="8" t="s">
        <v>17</v>
      </c>
      <c r="C204" s="8" t="s">
        <v>18</v>
      </c>
      <c r="D204" s="8" t="s">
        <v>87</v>
      </c>
      <c r="E204" s="8" t="s">
        <v>89</v>
      </c>
      <c r="F204" s="8" t="s">
        <v>28</v>
      </c>
      <c r="G204" s="8" t="s">
        <v>562</v>
      </c>
      <c r="H204" s="20">
        <v>0</v>
      </c>
      <c r="I204" s="21">
        <f t="shared" ref="I204:I205" si="500">H204/H$669</f>
        <v>0</v>
      </c>
      <c r="J204" s="22">
        <f t="shared" ref="J204:J205" si="501">I204*J$699</f>
        <v>0</v>
      </c>
      <c r="K204" s="2">
        <v>147569.58963979737</v>
      </c>
      <c r="L204" s="21">
        <f t="shared" ref="L204:L205" ca="1" si="502">K204/K$669</f>
        <v>2.034219897879826E-2</v>
      </c>
      <c r="M204" s="22">
        <f t="shared" ref="M204:M205" ca="1" si="503">L204*M$699</f>
        <v>96416.38837038663</v>
      </c>
      <c r="N204" s="2">
        <v>108081.16749401609</v>
      </c>
      <c r="O204" s="21">
        <f t="shared" ref="O204:O205" ca="1" si="504">N204/N$669</f>
        <v>3.8320628836450198E-3</v>
      </c>
      <c r="P204" s="22">
        <f t="shared" ref="P204:P205" ca="1" si="505">O204*P$699</f>
        <v>18635.152425986274</v>
      </c>
      <c r="Q204" s="2">
        <v>202146.72097705203</v>
      </c>
      <c r="R204" s="21">
        <f t="shared" ref="R204:R205" ca="1" si="506">Q204/Q$669</f>
        <v>5.3476860798382288E-3</v>
      </c>
      <c r="S204" s="22">
        <f t="shared" ref="S204:S205" ca="1" si="507">R204*S$699</f>
        <v>26603.688924232603</v>
      </c>
      <c r="T204" s="2">
        <v>0</v>
      </c>
      <c r="U204" s="21">
        <f t="shared" ref="U204:U205" ca="1" si="508">T204/T$669</f>
        <v>0</v>
      </c>
      <c r="V204" s="22">
        <f t="shared" ref="V204:V205" ca="1" si="509">U204*V$699</f>
        <v>0</v>
      </c>
      <c r="W204" s="2">
        <v>64555.174462855561</v>
      </c>
      <c r="X204" s="21">
        <f t="shared" ref="X204:X205" ca="1" si="510">W204/W$669</f>
        <v>2.3143206962842693E-3</v>
      </c>
      <c r="Y204" s="22">
        <f t="shared" ref="Y204:Y205" ca="1" si="511">X204*Y$699</f>
        <v>11990.171869699425</v>
      </c>
      <c r="Z204" s="2">
        <v>0</v>
      </c>
      <c r="AA204" s="21">
        <f t="shared" ref="AA204:AA205" ca="1" si="512">Z204/Z$669</f>
        <v>0</v>
      </c>
      <c r="AB204" s="22">
        <f t="shared" ref="AB204:AB205" ca="1" si="513">AA204*AB$699</f>
        <v>0</v>
      </c>
      <c r="AC204" s="2">
        <v>215192.1396573236</v>
      </c>
      <c r="AD204" s="21">
        <f t="shared" ref="AD204:AD205" ca="1" si="514">AC204/AC$669</f>
        <v>6.82355021378839E-3</v>
      </c>
      <c r="AE204" s="22">
        <f t="shared" ref="AE204:AE205" ca="1" si="515">AD204*AE$699</f>
        <v>36671.96851916454</v>
      </c>
      <c r="AF204" s="2">
        <v>39760.77873691859</v>
      </c>
      <c r="AG204" s="21">
        <f t="shared" ref="AG204:AG205" ca="1" si="516">AF204/AF$669</f>
        <v>9.9056956453792938E-4</v>
      </c>
      <c r="AH204" s="22">
        <f t="shared" ref="AH204:AH205" ca="1" si="517">AG204*AH$699</f>
        <v>5419.4671661063612</v>
      </c>
      <c r="AI204" s="2">
        <v>0</v>
      </c>
      <c r="AJ204" s="21">
        <f t="shared" ref="AJ204:AJ205" ca="1" si="518">AI204/AI$669</f>
        <v>0</v>
      </c>
      <c r="AK204" s="22">
        <f t="shared" ref="AK204:AK205" ca="1" si="519">AJ204*AK$699</f>
        <v>0</v>
      </c>
      <c r="AL204" s="2">
        <v>777305.5709679632</v>
      </c>
    </row>
    <row r="205" spans="1:38" ht="12.75" x14ac:dyDescent="0.2">
      <c r="A205" s="8" t="s">
        <v>16</v>
      </c>
      <c r="B205" s="8" t="s">
        <v>17</v>
      </c>
      <c r="C205" s="8" t="s">
        <v>18</v>
      </c>
      <c r="D205" s="8" t="s">
        <v>87</v>
      </c>
      <c r="E205" s="8" t="s">
        <v>89</v>
      </c>
      <c r="F205" s="8" t="s">
        <v>28</v>
      </c>
      <c r="G205" s="8" t="s">
        <v>563</v>
      </c>
      <c r="H205" s="20">
        <v>0</v>
      </c>
      <c r="I205" s="21">
        <f t="shared" si="500"/>
        <v>0</v>
      </c>
      <c r="J205" s="22">
        <f t="shared" si="501"/>
        <v>0</v>
      </c>
      <c r="K205" s="2">
        <v>0</v>
      </c>
      <c r="L205" s="21">
        <f t="shared" ca="1" si="502"/>
        <v>0</v>
      </c>
      <c r="M205" s="22">
        <f t="shared" ca="1" si="503"/>
        <v>0</v>
      </c>
      <c r="N205" s="2">
        <v>0</v>
      </c>
      <c r="O205" s="21">
        <f t="shared" ca="1" si="504"/>
        <v>0</v>
      </c>
      <c r="P205" s="22">
        <f t="shared" ca="1" si="505"/>
        <v>0</v>
      </c>
      <c r="Q205" s="2">
        <v>0</v>
      </c>
      <c r="R205" s="21">
        <f t="shared" ca="1" si="506"/>
        <v>0</v>
      </c>
      <c r="S205" s="22">
        <f t="shared" ca="1" si="507"/>
        <v>0</v>
      </c>
      <c r="T205" s="2">
        <v>0</v>
      </c>
      <c r="U205" s="21">
        <f t="shared" ca="1" si="508"/>
        <v>0</v>
      </c>
      <c r="V205" s="22">
        <f t="shared" ca="1" si="509"/>
        <v>0</v>
      </c>
      <c r="W205" s="2">
        <v>0</v>
      </c>
      <c r="X205" s="21">
        <f t="shared" ca="1" si="510"/>
        <v>0</v>
      </c>
      <c r="Y205" s="22">
        <f t="shared" ca="1" si="511"/>
        <v>0</v>
      </c>
      <c r="Z205" s="2">
        <v>0</v>
      </c>
      <c r="AA205" s="21">
        <f t="shared" ca="1" si="512"/>
        <v>0</v>
      </c>
      <c r="AB205" s="22">
        <f t="shared" ca="1" si="513"/>
        <v>0</v>
      </c>
      <c r="AC205" s="2">
        <v>110823.99152943693</v>
      </c>
      <c r="AD205" s="21">
        <f t="shared" ca="1" si="514"/>
        <v>3.514129615969158E-3</v>
      </c>
      <c r="AE205" s="22">
        <f t="shared" ca="1" si="515"/>
        <v>18886.070536811796</v>
      </c>
      <c r="AF205" s="2">
        <v>105941.54860823705</v>
      </c>
      <c r="AG205" s="21">
        <f t="shared" ca="1" si="516"/>
        <v>2.6393465370911934E-3</v>
      </c>
      <c r="AH205" s="22">
        <f t="shared" ca="1" si="517"/>
        <v>14440.027646533397</v>
      </c>
      <c r="AI205" s="2">
        <v>0</v>
      </c>
      <c r="AJ205" s="21">
        <f t="shared" ca="1" si="518"/>
        <v>0</v>
      </c>
      <c r="AK205" s="22">
        <f t="shared" ca="1" si="519"/>
        <v>0</v>
      </c>
      <c r="AL205" s="2">
        <v>216765.54013767396</v>
      </c>
    </row>
    <row r="206" spans="1:38" ht="12.75" x14ac:dyDescent="0.2">
      <c r="A206" s="8" t="s">
        <v>16</v>
      </c>
      <c r="B206" s="8" t="s">
        <v>17</v>
      </c>
      <c r="C206" s="8" t="s">
        <v>18</v>
      </c>
      <c r="D206" s="8" t="s">
        <v>87</v>
      </c>
      <c r="E206" s="8" t="s">
        <v>89</v>
      </c>
      <c r="F206" s="8" t="s">
        <v>55</v>
      </c>
      <c r="G206" s="8" t="s">
        <v>564</v>
      </c>
      <c r="H206" s="20">
        <v>0</v>
      </c>
      <c r="I206" s="21">
        <f>H206/H$654</f>
        <v>0</v>
      </c>
      <c r="J206" s="22">
        <f>I206*J$684</f>
        <v>0</v>
      </c>
      <c r="K206" s="2">
        <v>0</v>
      </c>
      <c r="L206" s="21">
        <f ca="1">K206/K$654</f>
        <v>0</v>
      </c>
      <c r="M206" s="22">
        <f ca="1">L206*M$684</f>
        <v>0</v>
      </c>
      <c r="N206" s="2">
        <v>0</v>
      </c>
      <c r="O206" s="21">
        <f ca="1">N206/N$654</f>
        <v>0</v>
      </c>
      <c r="P206" s="22">
        <f ca="1">O206*P$684</f>
        <v>0</v>
      </c>
      <c r="Q206" s="2">
        <v>0</v>
      </c>
      <c r="R206" s="21">
        <f ca="1">Q206/Q$654</f>
        <v>0</v>
      </c>
      <c r="S206" s="22">
        <f ca="1">R206*S$684</f>
        <v>0</v>
      </c>
      <c r="T206" s="2">
        <v>0</v>
      </c>
      <c r="U206" s="21">
        <f ca="1">T206/T$654</f>
        <v>0</v>
      </c>
      <c r="V206" s="22">
        <f ca="1">U206*V$684</f>
        <v>0</v>
      </c>
      <c r="W206" s="2">
        <v>0</v>
      </c>
      <c r="X206" s="21">
        <f ca="1">W206/W$654</f>
        <v>0</v>
      </c>
      <c r="Y206" s="22">
        <f ca="1">X206*Y$684</f>
        <v>0</v>
      </c>
      <c r="Z206" s="2">
        <v>0</v>
      </c>
      <c r="AA206" s="21">
        <f ca="1">Z206/Z$654</f>
        <v>0</v>
      </c>
      <c r="AB206" s="22">
        <f ca="1">AA206*AB$684</f>
        <v>0</v>
      </c>
      <c r="AC206" s="2">
        <v>0</v>
      </c>
      <c r="AD206" s="21">
        <f ca="1">AC206/AC$654</f>
        <v>0</v>
      </c>
      <c r="AE206" s="22">
        <f ca="1">AD206*AE$684</f>
        <v>0</v>
      </c>
      <c r="AF206" s="2">
        <v>0</v>
      </c>
      <c r="AG206" s="21">
        <f ca="1">AF206/AF$654</f>
        <v>0</v>
      </c>
      <c r="AH206" s="22">
        <f ca="1">AG206*AH$684</f>
        <v>0</v>
      </c>
      <c r="AI206" s="2">
        <v>0</v>
      </c>
      <c r="AJ206" s="21">
        <f ca="1">AI206/AI$654</f>
        <v>0</v>
      </c>
      <c r="AK206" s="22">
        <f ca="1">AJ206*AK$684</f>
        <v>0</v>
      </c>
      <c r="AL206" s="2">
        <v>0</v>
      </c>
    </row>
    <row r="207" spans="1:38" ht="12.75" x14ac:dyDescent="0.2">
      <c r="A207" s="8" t="s">
        <v>16</v>
      </c>
      <c r="B207" s="8" t="s">
        <v>17</v>
      </c>
      <c r="C207" s="8" t="s">
        <v>18</v>
      </c>
      <c r="D207" s="8" t="s">
        <v>87</v>
      </c>
      <c r="E207" s="8" t="s">
        <v>195</v>
      </c>
      <c r="F207" s="23" t="s">
        <v>37</v>
      </c>
      <c r="G207" s="8" t="s">
        <v>565</v>
      </c>
      <c r="H207" s="20">
        <v>0</v>
      </c>
      <c r="I207" s="21">
        <f>H207/H$649</f>
        <v>0</v>
      </c>
      <c r="J207" s="22">
        <f>I207*J$679</f>
        <v>0</v>
      </c>
      <c r="K207" s="2">
        <v>0</v>
      </c>
      <c r="L207" s="21">
        <f ca="1">K207/K$649</f>
        <v>0</v>
      </c>
      <c r="M207" s="22">
        <f ca="1">L207*M$679</f>
        <v>0</v>
      </c>
      <c r="N207" s="2">
        <v>0</v>
      </c>
      <c r="O207" s="21">
        <f ca="1">N207/N$649</f>
        <v>0</v>
      </c>
      <c r="P207" s="22">
        <f ca="1">O207*P$679</f>
        <v>0</v>
      </c>
      <c r="Q207" s="2">
        <v>0</v>
      </c>
      <c r="R207" s="21">
        <f ca="1">Q207/Q$649</f>
        <v>0</v>
      </c>
      <c r="S207" s="22">
        <f ca="1">R207*S$679</f>
        <v>0</v>
      </c>
      <c r="T207" s="2">
        <v>0</v>
      </c>
      <c r="U207" s="21">
        <f ca="1">T207/T$649</f>
        <v>0</v>
      </c>
      <c r="V207" s="22">
        <f ca="1">U207*V$679</f>
        <v>0</v>
      </c>
      <c r="W207" s="2">
        <v>0</v>
      </c>
      <c r="X207" s="21">
        <f ca="1">W207/W$649</f>
        <v>0</v>
      </c>
      <c r="Y207" s="22">
        <f ca="1">X207*Y$679</f>
        <v>0</v>
      </c>
      <c r="Z207" s="2">
        <v>0</v>
      </c>
      <c r="AA207" s="21">
        <f ca="1">Z207/Z$649</f>
        <v>0</v>
      </c>
      <c r="AB207" s="22">
        <f ca="1">AA207*AB$679</f>
        <v>0</v>
      </c>
      <c r="AC207" s="2">
        <v>0</v>
      </c>
      <c r="AD207" s="21">
        <f ca="1">AC207/AC$649</f>
        <v>0</v>
      </c>
      <c r="AE207" s="22">
        <f ca="1">AD207*AE$679</f>
        <v>0</v>
      </c>
      <c r="AF207" s="2">
        <v>0</v>
      </c>
      <c r="AG207" s="21">
        <f ca="1">AF207/AF$649</f>
        <v>0</v>
      </c>
      <c r="AH207" s="22">
        <f ca="1">AG207*AH$679</f>
        <v>0</v>
      </c>
      <c r="AI207" s="2">
        <v>0</v>
      </c>
      <c r="AJ207" s="21">
        <f ca="1">AI207/AI$649</f>
        <v>0</v>
      </c>
      <c r="AK207" s="22">
        <f ca="1">AJ207*AK$679</f>
        <v>0</v>
      </c>
      <c r="AL207" s="2">
        <v>0</v>
      </c>
    </row>
    <row r="208" spans="1:38" ht="12.75" x14ac:dyDescent="0.2">
      <c r="A208" s="8" t="s">
        <v>16</v>
      </c>
      <c r="B208" s="8" t="s">
        <v>17</v>
      </c>
      <c r="C208" s="8" t="s">
        <v>18</v>
      </c>
      <c r="D208" s="8" t="s">
        <v>87</v>
      </c>
      <c r="E208" s="8" t="s">
        <v>195</v>
      </c>
      <c r="F208" s="8" t="s">
        <v>27</v>
      </c>
      <c r="G208" s="8" t="s">
        <v>566</v>
      </c>
      <c r="H208" s="20">
        <v>0</v>
      </c>
      <c r="I208" s="21">
        <f>H208/H$657</f>
        <v>0</v>
      </c>
      <c r="J208" s="22">
        <f>I208*J$687</f>
        <v>0</v>
      </c>
      <c r="K208" s="2">
        <v>0</v>
      </c>
      <c r="L208" s="21">
        <f ca="1">K208/K$657</f>
        <v>0</v>
      </c>
      <c r="M208" s="22">
        <f ca="1">L208*M$687</f>
        <v>0</v>
      </c>
      <c r="N208" s="2">
        <v>0</v>
      </c>
      <c r="O208" s="21">
        <f ca="1">N208/N$657</f>
        <v>0</v>
      </c>
      <c r="P208" s="22">
        <f ca="1">O208*P$687</f>
        <v>0</v>
      </c>
      <c r="Q208" s="2">
        <v>0</v>
      </c>
      <c r="R208" s="21">
        <f ca="1">Q208/Q$657</f>
        <v>0</v>
      </c>
      <c r="S208" s="22">
        <f ca="1">R208*S$687</f>
        <v>0</v>
      </c>
      <c r="T208" s="2">
        <v>0</v>
      </c>
      <c r="U208" s="21">
        <f ca="1">T208/T$657</f>
        <v>0</v>
      </c>
      <c r="V208" s="22">
        <f ca="1">U208*V$687</f>
        <v>0</v>
      </c>
      <c r="W208" s="2">
        <v>0</v>
      </c>
      <c r="X208" s="21">
        <f ca="1">W208/W$657</f>
        <v>0</v>
      </c>
      <c r="Y208" s="22">
        <f ca="1">X208*Y$687</f>
        <v>0</v>
      </c>
      <c r="Z208" s="2">
        <v>0</v>
      </c>
      <c r="AA208" s="21">
        <f ca="1">Z208/Z$657</f>
        <v>0</v>
      </c>
      <c r="AB208" s="22">
        <f ca="1">AA208*AB$687</f>
        <v>0</v>
      </c>
      <c r="AC208" s="2">
        <v>0</v>
      </c>
      <c r="AD208" s="21">
        <f ca="1">AC208/AC$657</f>
        <v>0</v>
      </c>
      <c r="AE208" s="22">
        <f ca="1">AD208*AE$687</f>
        <v>0</v>
      </c>
      <c r="AF208" s="2">
        <v>0</v>
      </c>
      <c r="AG208" s="21">
        <f ca="1">AF208/AF$657</f>
        <v>0</v>
      </c>
      <c r="AH208" s="22">
        <f ca="1">AG208*AH$687</f>
        <v>0</v>
      </c>
      <c r="AI208" s="2">
        <v>0</v>
      </c>
      <c r="AJ208" s="21">
        <f ca="1">AI208/AI$657</f>
        <v>0</v>
      </c>
      <c r="AK208" s="22">
        <f ca="1">AJ208*AK$687</f>
        <v>0</v>
      </c>
      <c r="AL208" s="2">
        <v>0</v>
      </c>
    </row>
    <row r="209" spans="1:38" ht="12.75" x14ac:dyDescent="0.2">
      <c r="A209" s="8" t="s">
        <v>16</v>
      </c>
      <c r="B209" s="8" t="s">
        <v>17</v>
      </c>
      <c r="C209" s="8" t="s">
        <v>18</v>
      </c>
      <c r="D209" s="8" t="s">
        <v>87</v>
      </c>
      <c r="E209" s="8" t="s">
        <v>195</v>
      </c>
      <c r="F209" s="8" t="s">
        <v>28</v>
      </c>
      <c r="G209" s="8" t="s">
        <v>567</v>
      </c>
      <c r="H209" s="20">
        <v>0</v>
      </c>
      <c r="I209" s="21">
        <f t="shared" ref="I209:I210" si="520">H209/H$669</f>
        <v>0</v>
      </c>
      <c r="J209" s="22">
        <f t="shared" ref="J209:J210" si="521">I209*J$699</f>
        <v>0</v>
      </c>
      <c r="K209" s="2">
        <v>0</v>
      </c>
      <c r="L209" s="21">
        <f t="shared" ref="L209:L210" ca="1" si="522">K209/K$669</f>
        <v>0</v>
      </c>
      <c r="M209" s="22">
        <f t="shared" ref="M209:M210" ca="1" si="523">L209*M$699</f>
        <v>0</v>
      </c>
      <c r="N209" s="2">
        <v>0</v>
      </c>
      <c r="O209" s="21">
        <f t="shared" ref="O209:O210" ca="1" si="524">N209/N$669</f>
        <v>0</v>
      </c>
      <c r="P209" s="22">
        <f t="shared" ref="P209:P210" ca="1" si="525">O209*P$699</f>
        <v>0</v>
      </c>
      <c r="Q209" s="2">
        <v>0</v>
      </c>
      <c r="R209" s="21">
        <f t="shared" ref="R209:R210" ca="1" si="526">Q209/Q$669</f>
        <v>0</v>
      </c>
      <c r="S209" s="22">
        <f t="shared" ref="S209:S210" ca="1" si="527">R209*S$699</f>
        <v>0</v>
      </c>
      <c r="T209" s="2">
        <v>0</v>
      </c>
      <c r="U209" s="21">
        <f t="shared" ref="U209:U210" ca="1" si="528">T209/T$669</f>
        <v>0</v>
      </c>
      <c r="V209" s="22">
        <f t="shared" ref="V209:V210" ca="1" si="529">U209*V$699</f>
        <v>0</v>
      </c>
      <c r="W209" s="2">
        <v>0</v>
      </c>
      <c r="X209" s="21">
        <f t="shared" ref="X209:X210" ca="1" si="530">W209/W$669</f>
        <v>0</v>
      </c>
      <c r="Y209" s="22">
        <f t="shared" ref="Y209:Y210" ca="1" si="531">X209*Y$699</f>
        <v>0</v>
      </c>
      <c r="Z209" s="2">
        <v>0</v>
      </c>
      <c r="AA209" s="21">
        <f t="shared" ref="AA209:AA210" ca="1" si="532">Z209/Z$669</f>
        <v>0</v>
      </c>
      <c r="AB209" s="22">
        <f t="shared" ref="AB209:AB210" ca="1" si="533">AA209*AB$699</f>
        <v>0</v>
      </c>
      <c r="AC209" s="2">
        <v>0</v>
      </c>
      <c r="AD209" s="21">
        <f t="shared" ref="AD209:AD210" ca="1" si="534">AC209/AC$669</f>
        <v>0</v>
      </c>
      <c r="AE209" s="22">
        <f t="shared" ref="AE209:AE210" ca="1" si="535">AD209*AE$699</f>
        <v>0</v>
      </c>
      <c r="AF209" s="2">
        <v>0</v>
      </c>
      <c r="AG209" s="21">
        <f t="shared" ref="AG209:AG210" ca="1" si="536">AF209/AF$669</f>
        <v>0</v>
      </c>
      <c r="AH209" s="22">
        <f t="shared" ref="AH209:AH210" ca="1" si="537">AG209*AH$699</f>
        <v>0</v>
      </c>
      <c r="AI209" s="2">
        <v>0</v>
      </c>
      <c r="AJ209" s="21">
        <f t="shared" ref="AJ209:AJ210" ca="1" si="538">AI209/AI$669</f>
        <v>0</v>
      </c>
      <c r="AK209" s="22">
        <f t="shared" ref="AK209:AK210" ca="1" si="539">AJ209*AK$699</f>
        <v>0</v>
      </c>
      <c r="AL209" s="2">
        <v>0</v>
      </c>
    </row>
    <row r="210" spans="1:38" ht="12.75" x14ac:dyDescent="0.2">
      <c r="A210" s="8" t="s">
        <v>16</v>
      </c>
      <c r="B210" s="8" t="s">
        <v>17</v>
      </c>
      <c r="C210" s="8" t="s">
        <v>18</v>
      </c>
      <c r="D210" s="8" t="s">
        <v>87</v>
      </c>
      <c r="E210" s="8" t="s">
        <v>90</v>
      </c>
      <c r="F210" s="8" t="s">
        <v>28</v>
      </c>
      <c r="G210" s="8" t="s">
        <v>568</v>
      </c>
      <c r="H210" s="20">
        <v>0</v>
      </c>
      <c r="I210" s="21">
        <f t="shared" si="520"/>
        <v>0</v>
      </c>
      <c r="J210" s="22">
        <f t="shared" si="521"/>
        <v>0</v>
      </c>
      <c r="K210" s="2">
        <v>0</v>
      </c>
      <c r="L210" s="21">
        <f t="shared" ca="1" si="522"/>
        <v>0</v>
      </c>
      <c r="M210" s="22">
        <f t="shared" ca="1" si="523"/>
        <v>0</v>
      </c>
      <c r="N210" s="2">
        <v>324243.50248204829</v>
      </c>
      <c r="O210" s="21">
        <f t="shared" ca="1" si="524"/>
        <v>1.149618865093506E-2</v>
      </c>
      <c r="P210" s="22">
        <f t="shared" ca="1" si="525"/>
        <v>55905.457277958827</v>
      </c>
      <c r="Q210" s="2">
        <v>0</v>
      </c>
      <c r="R210" s="21">
        <f t="shared" ca="1" si="526"/>
        <v>0</v>
      </c>
      <c r="S210" s="22">
        <f t="shared" ca="1" si="527"/>
        <v>0</v>
      </c>
      <c r="T210" s="2">
        <v>0</v>
      </c>
      <c r="U210" s="21">
        <f t="shared" ca="1" si="528"/>
        <v>0</v>
      </c>
      <c r="V210" s="22">
        <f t="shared" ca="1" si="529"/>
        <v>0</v>
      </c>
      <c r="W210" s="2">
        <v>0</v>
      </c>
      <c r="X210" s="21">
        <f t="shared" ca="1" si="530"/>
        <v>0</v>
      </c>
      <c r="Y210" s="22">
        <f t="shared" ca="1" si="531"/>
        <v>0</v>
      </c>
      <c r="Z210" s="2">
        <v>0</v>
      </c>
      <c r="AA210" s="21">
        <f t="shared" ca="1" si="532"/>
        <v>0</v>
      </c>
      <c r="AB210" s="22">
        <f t="shared" ca="1" si="533"/>
        <v>0</v>
      </c>
      <c r="AC210" s="2">
        <v>0</v>
      </c>
      <c r="AD210" s="21">
        <f t="shared" ca="1" si="534"/>
        <v>0</v>
      </c>
      <c r="AE210" s="22">
        <f t="shared" ca="1" si="535"/>
        <v>0</v>
      </c>
      <c r="AF210" s="2">
        <v>0</v>
      </c>
      <c r="AG210" s="21">
        <f t="shared" ca="1" si="536"/>
        <v>0</v>
      </c>
      <c r="AH210" s="22">
        <f t="shared" ca="1" si="537"/>
        <v>0</v>
      </c>
      <c r="AI210" s="2">
        <v>0</v>
      </c>
      <c r="AJ210" s="21">
        <f t="shared" ca="1" si="538"/>
        <v>0</v>
      </c>
      <c r="AK210" s="22">
        <f t="shared" ca="1" si="539"/>
        <v>0</v>
      </c>
      <c r="AL210" s="2">
        <v>324243.50248204829</v>
      </c>
    </row>
    <row r="211" spans="1:38" ht="12.75" x14ac:dyDescent="0.2">
      <c r="A211" s="8" t="s">
        <v>16</v>
      </c>
      <c r="B211" s="8" t="s">
        <v>17</v>
      </c>
      <c r="C211" s="8" t="s">
        <v>18</v>
      </c>
      <c r="D211" s="8" t="s">
        <v>87</v>
      </c>
      <c r="E211" s="8" t="s">
        <v>196</v>
      </c>
      <c r="F211" s="23" t="s">
        <v>37</v>
      </c>
      <c r="G211" s="8" t="s">
        <v>569</v>
      </c>
      <c r="H211" s="20">
        <v>0</v>
      </c>
      <c r="I211" s="21">
        <f>H211/H$649</f>
        <v>0</v>
      </c>
      <c r="J211" s="22">
        <f>I211*J$679</f>
        <v>0</v>
      </c>
      <c r="K211" s="2">
        <v>0</v>
      </c>
      <c r="L211" s="21">
        <f ca="1">K211/K$649</f>
        <v>0</v>
      </c>
      <c r="M211" s="22">
        <f ca="1">L211*M$679</f>
        <v>0</v>
      </c>
      <c r="N211" s="2">
        <v>0</v>
      </c>
      <c r="O211" s="21">
        <f ca="1">N211/N$649</f>
        <v>0</v>
      </c>
      <c r="P211" s="22">
        <f ca="1">O211*P$679</f>
        <v>0</v>
      </c>
      <c r="Q211" s="2">
        <v>0</v>
      </c>
      <c r="R211" s="21">
        <f ca="1">Q211/Q$649</f>
        <v>0</v>
      </c>
      <c r="S211" s="22">
        <f ca="1">R211*S$679</f>
        <v>0</v>
      </c>
      <c r="T211" s="2">
        <v>0</v>
      </c>
      <c r="U211" s="21">
        <f ca="1">T211/T$649</f>
        <v>0</v>
      </c>
      <c r="V211" s="22">
        <f ca="1">U211*V$679</f>
        <v>0</v>
      </c>
      <c r="W211" s="2">
        <v>0</v>
      </c>
      <c r="X211" s="21">
        <f ca="1">W211/W$649</f>
        <v>0</v>
      </c>
      <c r="Y211" s="22">
        <f ca="1">X211*Y$679</f>
        <v>0</v>
      </c>
      <c r="Z211" s="2">
        <v>0</v>
      </c>
      <c r="AA211" s="21">
        <f ca="1">Z211/Z$649</f>
        <v>0</v>
      </c>
      <c r="AB211" s="22">
        <f ca="1">AA211*AB$679</f>
        <v>0</v>
      </c>
      <c r="AC211" s="2">
        <v>0</v>
      </c>
      <c r="AD211" s="21">
        <f ca="1">AC211/AC$649</f>
        <v>0</v>
      </c>
      <c r="AE211" s="22">
        <f ca="1">AD211*AE$679</f>
        <v>0</v>
      </c>
      <c r="AF211" s="2">
        <v>0</v>
      </c>
      <c r="AG211" s="21">
        <f ca="1">AF211/AF$649</f>
        <v>0</v>
      </c>
      <c r="AH211" s="22">
        <f ca="1">AG211*AH$679</f>
        <v>0</v>
      </c>
      <c r="AI211" s="2">
        <v>0</v>
      </c>
      <c r="AJ211" s="21">
        <f ca="1">AI211/AI$649</f>
        <v>0</v>
      </c>
      <c r="AK211" s="22">
        <f ca="1">AJ211*AK$679</f>
        <v>0</v>
      </c>
      <c r="AL211" s="2">
        <v>0</v>
      </c>
    </row>
    <row r="212" spans="1:38" ht="12.75" x14ac:dyDescent="0.2">
      <c r="A212" s="8" t="s">
        <v>16</v>
      </c>
      <c r="B212" s="8" t="s">
        <v>17</v>
      </c>
      <c r="C212" s="8" t="s">
        <v>18</v>
      </c>
      <c r="D212" s="8" t="s">
        <v>87</v>
      </c>
      <c r="E212" s="8" t="s">
        <v>196</v>
      </c>
      <c r="F212" s="8" t="s">
        <v>26</v>
      </c>
      <c r="G212" s="8" t="s">
        <v>570</v>
      </c>
      <c r="H212" s="20">
        <v>0</v>
      </c>
      <c r="I212" s="21">
        <f>H212/H$655</f>
        <v>0</v>
      </c>
      <c r="J212" s="22">
        <f>I212*J$685</f>
        <v>0</v>
      </c>
      <c r="K212" s="2">
        <v>0</v>
      </c>
      <c r="L212" s="21">
        <f ca="1">K212/K$655</f>
        <v>0</v>
      </c>
      <c r="M212" s="22">
        <f ca="1">L212*M$685</f>
        <v>0</v>
      </c>
      <c r="N212" s="2">
        <v>0</v>
      </c>
      <c r="O212" s="21">
        <f ca="1">N212/N$655</f>
        <v>0</v>
      </c>
      <c r="P212" s="22">
        <f ca="1">O212*P$685</f>
        <v>0</v>
      </c>
      <c r="Q212" s="2">
        <v>0</v>
      </c>
      <c r="R212" s="21">
        <f ca="1">Q212/Q$655</f>
        <v>0</v>
      </c>
      <c r="S212" s="22">
        <f ca="1">R212*S$685</f>
        <v>0</v>
      </c>
      <c r="T212" s="2">
        <v>0</v>
      </c>
      <c r="U212" s="21">
        <f ca="1">T212/T$655</f>
        <v>0</v>
      </c>
      <c r="V212" s="22">
        <f ca="1">U212*V$685</f>
        <v>0</v>
      </c>
      <c r="W212" s="2">
        <v>0</v>
      </c>
      <c r="X212" s="21">
        <f ca="1">W212/W$655</f>
        <v>0</v>
      </c>
      <c r="Y212" s="22">
        <f ca="1">X212*Y$685</f>
        <v>0</v>
      </c>
      <c r="Z212" s="2">
        <v>0</v>
      </c>
      <c r="AA212" s="21">
        <f ca="1">Z212/Z$655</f>
        <v>0</v>
      </c>
      <c r="AB212" s="22">
        <f ca="1">AA212*AB$685</f>
        <v>0</v>
      </c>
      <c r="AC212" s="2">
        <v>0</v>
      </c>
      <c r="AD212" s="21">
        <f ca="1">AC212/AC$655</f>
        <v>0</v>
      </c>
      <c r="AE212" s="22">
        <f ca="1">AD212*AE$685</f>
        <v>0</v>
      </c>
      <c r="AF212" s="2">
        <v>0</v>
      </c>
      <c r="AG212" s="21">
        <f ca="1">AF212/AF$655</f>
        <v>0</v>
      </c>
      <c r="AH212" s="22">
        <f ca="1">AG212*AH$685</f>
        <v>0</v>
      </c>
      <c r="AI212" s="2">
        <v>0</v>
      </c>
      <c r="AJ212" s="21">
        <f ca="1">AI212/AI$655</f>
        <v>0</v>
      </c>
      <c r="AK212" s="22">
        <f ca="1">AJ212*AK$685</f>
        <v>0</v>
      </c>
      <c r="AL212" s="2">
        <v>0</v>
      </c>
    </row>
    <row r="213" spans="1:38" ht="12.75" x14ac:dyDescent="0.2">
      <c r="A213" s="8" t="s">
        <v>16</v>
      </c>
      <c r="B213" s="8" t="s">
        <v>17</v>
      </c>
      <c r="C213" s="8" t="s">
        <v>18</v>
      </c>
      <c r="D213" s="8" t="s">
        <v>87</v>
      </c>
      <c r="E213" s="8" t="s">
        <v>91</v>
      </c>
      <c r="F213" s="23" t="s">
        <v>37</v>
      </c>
      <c r="G213" s="8" t="s">
        <v>571</v>
      </c>
      <c r="H213" s="20">
        <v>0</v>
      </c>
      <c r="I213" s="21">
        <f>H213/H$649</f>
        <v>0</v>
      </c>
      <c r="J213" s="22">
        <f>I213*J$679</f>
        <v>0</v>
      </c>
      <c r="K213" s="2">
        <v>0</v>
      </c>
      <c r="L213" s="21">
        <f ca="1">K213/K$649</f>
        <v>0</v>
      </c>
      <c r="M213" s="22">
        <f ca="1">L213*M$679</f>
        <v>0</v>
      </c>
      <c r="N213" s="2">
        <v>0</v>
      </c>
      <c r="O213" s="21">
        <f ca="1">N213/N$649</f>
        <v>0</v>
      </c>
      <c r="P213" s="22">
        <f ca="1">O213*P$679</f>
        <v>0</v>
      </c>
      <c r="Q213" s="2">
        <v>0</v>
      </c>
      <c r="R213" s="21">
        <f ca="1">Q213/Q$649</f>
        <v>0</v>
      </c>
      <c r="S213" s="22">
        <f ca="1">R213*S$679</f>
        <v>0</v>
      </c>
      <c r="T213" s="2">
        <v>0</v>
      </c>
      <c r="U213" s="21">
        <f ca="1">T213/T$649</f>
        <v>0</v>
      </c>
      <c r="V213" s="22">
        <f ca="1">U213*V$679</f>
        <v>0</v>
      </c>
      <c r="W213" s="2">
        <v>0</v>
      </c>
      <c r="X213" s="21">
        <f ca="1">W213/W$649</f>
        <v>0</v>
      </c>
      <c r="Y213" s="22">
        <f ca="1">X213*Y$679</f>
        <v>0</v>
      </c>
      <c r="Z213" s="2">
        <v>0</v>
      </c>
      <c r="AA213" s="21">
        <f ca="1">Z213/Z$649</f>
        <v>0</v>
      </c>
      <c r="AB213" s="22">
        <f ca="1">AA213*AB$679</f>
        <v>0</v>
      </c>
      <c r="AC213" s="2">
        <v>0</v>
      </c>
      <c r="AD213" s="21">
        <f ca="1">AC213/AC$649</f>
        <v>0</v>
      </c>
      <c r="AE213" s="22">
        <f ca="1">AD213*AE$679</f>
        <v>0</v>
      </c>
      <c r="AF213" s="2">
        <v>0</v>
      </c>
      <c r="AG213" s="21">
        <f ca="1">AF213/AF$649</f>
        <v>0</v>
      </c>
      <c r="AH213" s="22">
        <f ca="1">AG213*AH$679</f>
        <v>0</v>
      </c>
      <c r="AI213" s="2">
        <v>0</v>
      </c>
      <c r="AJ213" s="21">
        <f ca="1">AI213/AI$649</f>
        <v>0</v>
      </c>
      <c r="AK213" s="22">
        <f ca="1">AJ213*AK$679</f>
        <v>0</v>
      </c>
      <c r="AL213" s="2">
        <v>0</v>
      </c>
    </row>
    <row r="214" spans="1:38" ht="12.75" x14ac:dyDescent="0.2">
      <c r="A214" s="8" t="s">
        <v>16</v>
      </c>
      <c r="B214" s="8" t="s">
        <v>17</v>
      </c>
      <c r="C214" s="8" t="s">
        <v>18</v>
      </c>
      <c r="D214" s="8" t="s">
        <v>87</v>
      </c>
      <c r="E214" s="8" t="s">
        <v>91</v>
      </c>
      <c r="F214" s="8" t="s">
        <v>26</v>
      </c>
      <c r="G214" s="8" t="s">
        <v>572</v>
      </c>
      <c r="H214" s="20">
        <v>92349.063604598792</v>
      </c>
      <c r="I214" s="21">
        <f>H214/H$655</f>
        <v>2.3283914366967421E-3</v>
      </c>
      <c r="J214" s="22">
        <f>I214*J$685</f>
        <v>5619.5215078559795</v>
      </c>
      <c r="K214" s="2">
        <v>0</v>
      </c>
      <c r="L214" s="21">
        <f ca="1">K214/K$655</f>
        <v>0</v>
      </c>
      <c r="M214" s="22">
        <f ca="1">L214*M$685</f>
        <v>0</v>
      </c>
      <c r="N214" s="2">
        <v>0</v>
      </c>
      <c r="O214" s="21">
        <f ca="1">N214/N$655</f>
        <v>0</v>
      </c>
      <c r="P214" s="22">
        <f ca="1">O214*P$685</f>
        <v>0</v>
      </c>
      <c r="Q214" s="2">
        <v>93260.58505966005</v>
      </c>
      <c r="R214" s="21">
        <f ca="1">Q214/Q$655</f>
        <v>6.6989160234232656E-4</v>
      </c>
      <c r="S214" s="22">
        <f ca="1">R214*S$685</f>
        <v>1945.5314535021537</v>
      </c>
      <c r="T214" s="2">
        <v>0</v>
      </c>
      <c r="U214" s="21">
        <f ca="1">T214/T$655</f>
        <v>0</v>
      </c>
      <c r="V214" s="22">
        <f ca="1">U214*V$685</f>
        <v>0</v>
      </c>
      <c r="W214" s="2">
        <v>0</v>
      </c>
      <c r="X214" s="21">
        <f ca="1">W214/W$655</f>
        <v>0</v>
      </c>
      <c r="Y214" s="22">
        <f ca="1">X214*Y$685</f>
        <v>0</v>
      </c>
      <c r="Z214" s="2">
        <v>0</v>
      </c>
      <c r="AA214" s="21">
        <f ca="1">Z214/Z$655</f>
        <v>0</v>
      </c>
      <c r="AB214" s="22">
        <f ca="1">AA214*AB$685</f>
        <v>0</v>
      </c>
      <c r="AC214" s="2">
        <v>0</v>
      </c>
      <c r="AD214" s="21">
        <f ca="1">AC214/AC$655</f>
        <v>0</v>
      </c>
      <c r="AE214" s="22">
        <f ca="1">AD214*AE$685</f>
        <v>0</v>
      </c>
      <c r="AF214" s="2">
        <v>0</v>
      </c>
      <c r="AG214" s="21">
        <f ca="1">AF214/AF$655</f>
        <v>0</v>
      </c>
      <c r="AH214" s="22">
        <f ca="1">AG214*AH$685</f>
        <v>0</v>
      </c>
      <c r="AI214" s="2">
        <v>0</v>
      </c>
      <c r="AJ214" s="21">
        <f ca="1">AI214/AI$655</f>
        <v>0</v>
      </c>
      <c r="AK214" s="22">
        <f ca="1">AJ214*AK$685</f>
        <v>0</v>
      </c>
      <c r="AL214" s="2">
        <v>185609.64866425883</v>
      </c>
    </row>
    <row r="215" spans="1:38" ht="12.75" x14ac:dyDescent="0.2">
      <c r="A215" s="8" t="s">
        <v>16</v>
      </c>
      <c r="B215" s="8" t="s">
        <v>17</v>
      </c>
      <c r="C215" s="8" t="s">
        <v>18</v>
      </c>
      <c r="D215" s="8" t="s">
        <v>87</v>
      </c>
      <c r="E215" s="8" t="s">
        <v>91</v>
      </c>
      <c r="F215" s="8" t="s">
        <v>28</v>
      </c>
      <c r="G215" s="8" t="s">
        <v>573</v>
      </c>
      <c r="H215" s="20">
        <v>0</v>
      </c>
      <c r="I215" s="21">
        <f>H215/H$669</f>
        <v>0</v>
      </c>
      <c r="J215" s="22">
        <f>I215*J$699</f>
        <v>0</v>
      </c>
      <c r="K215" s="2">
        <v>0</v>
      </c>
      <c r="L215" s="21">
        <f ca="1">K215/K$669</f>
        <v>0</v>
      </c>
      <c r="M215" s="22">
        <f ca="1">L215*M$699</f>
        <v>0</v>
      </c>
      <c r="N215" s="2">
        <v>108081.16749401609</v>
      </c>
      <c r="O215" s="21">
        <f ca="1">N215/N$669</f>
        <v>3.8320628836450198E-3</v>
      </c>
      <c r="P215" s="22">
        <f ca="1">O215*P$699</f>
        <v>18635.152425986274</v>
      </c>
      <c r="Q215" s="2">
        <v>0</v>
      </c>
      <c r="R215" s="21">
        <f ca="1">Q215/Q$669</f>
        <v>0</v>
      </c>
      <c r="S215" s="22">
        <f ca="1">R215*S$699</f>
        <v>0</v>
      </c>
      <c r="T215" s="2">
        <v>0</v>
      </c>
      <c r="U215" s="21">
        <f ca="1">T215/T$669</f>
        <v>0</v>
      </c>
      <c r="V215" s="22">
        <f ca="1">U215*V$699</f>
        <v>0</v>
      </c>
      <c r="W215" s="2">
        <v>0</v>
      </c>
      <c r="X215" s="21">
        <f ca="1">W215/W$669</f>
        <v>0</v>
      </c>
      <c r="Y215" s="22">
        <f ca="1">X215*Y$699</f>
        <v>0</v>
      </c>
      <c r="Z215" s="2">
        <v>0</v>
      </c>
      <c r="AA215" s="21">
        <f ca="1">Z215/Z$669</f>
        <v>0</v>
      </c>
      <c r="AB215" s="22">
        <f ca="1">AA215*AB$699</f>
        <v>0</v>
      </c>
      <c r="AC215" s="2">
        <v>0</v>
      </c>
      <c r="AD215" s="21">
        <f ca="1">AC215/AC$669</f>
        <v>0</v>
      </c>
      <c r="AE215" s="22">
        <f ca="1">AD215*AE$699</f>
        <v>0</v>
      </c>
      <c r="AF215" s="2">
        <v>0</v>
      </c>
      <c r="AG215" s="21">
        <f ca="1">AF215/AF$669</f>
        <v>0</v>
      </c>
      <c r="AH215" s="22">
        <f ca="1">AG215*AH$699</f>
        <v>0</v>
      </c>
      <c r="AI215" s="2">
        <v>0</v>
      </c>
      <c r="AJ215" s="21">
        <f ca="1">AI215/AI$669</f>
        <v>0</v>
      </c>
      <c r="AK215" s="22">
        <f ca="1">AJ215*AK$699</f>
        <v>0</v>
      </c>
      <c r="AL215" s="2">
        <v>108081.16749401609</v>
      </c>
    </row>
    <row r="216" spans="1:38" ht="12.75" x14ac:dyDescent="0.2">
      <c r="A216" s="8" t="s">
        <v>16</v>
      </c>
      <c r="B216" s="8" t="s">
        <v>17</v>
      </c>
      <c r="C216" s="8" t="s">
        <v>18</v>
      </c>
      <c r="D216" s="8" t="s">
        <v>87</v>
      </c>
      <c r="E216" s="8" t="s">
        <v>92</v>
      </c>
      <c r="F216" s="8" t="s">
        <v>24</v>
      </c>
      <c r="G216" s="8" t="s">
        <v>574</v>
      </c>
      <c r="H216" s="20">
        <v>0</v>
      </c>
      <c r="I216" s="21">
        <f>H216/H$646</f>
        <v>0</v>
      </c>
      <c r="J216" s="22">
        <f>I216*J$676</f>
        <v>0</v>
      </c>
      <c r="K216" s="2">
        <v>0</v>
      </c>
      <c r="L216" s="21">
        <f ca="1">K216/K$646</f>
        <v>0</v>
      </c>
      <c r="M216" s="22">
        <f ca="1">L216*M$676</f>
        <v>0</v>
      </c>
      <c r="N216" s="2">
        <v>0</v>
      </c>
      <c r="O216" s="21">
        <f ca="1">N216/N$646</f>
        <v>0</v>
      </c>
      <c r="P216" s="22">
        <f ca="1">O216*P$676</f>
        <v>0</v>
      </c>
      <c r="Q216" s="2">
        <v>0</v>
      </c>
      <c r="R216" s="21">
        <f ca="1">Q216/Q$646</f>
        <v>0</v>
      </c>
      <c r="S216" s="22">
        <f ca="1">R216*S$676</f>
        <v>0</v>
      </c>
      <c r="T216" s="2">
        <v>0</v>
      </c>
      <c r="U216" s="21">
        <f ca="1">T216/T$646</f>
        <v>0</v>
      </c>
      <c r="V216" s="22">
        <f ca="1">U216*V$676</f>
        <v>0</v>
      </c>
      <c r="W216" s="2">
        <v>1176693.8701340109</v>
      </c>
      <c r="X216" s="21">
        <f ca="1">W216/W$646</f>
        <v>1.3462261102036747E-2</v>
      </c>
      <c r="Y216" s="22">
        <f ca="1">X216*Y$676</f>
        <v>243663.21588232802</v>
      </c>
      <c r="Z216" s="2">
        <v>0</v>
      </c>
      <c r="AA216" s="21">
        <f ca="1">Z216/Z$646</f>
        <v>0</v>
      </c>
      <c r="AB216" s="22">
        <f ca="1">AA216*AB$676</f>
        <v>0</v>
      </c>
      <c r="AC216" s="2">
        <v>0</v>
      </c>
      <c r="AD216" s="21">
        <f ca="1">AC216/AC$646</f>
        <v>0</v>
      </c>
      <c r="AE216" s="22">
        <f ca="1">AD216*AE$676</f>
        <v>0</v>
      </c>
      <c r="AF216" s="2">
        <v>0</v>
      </c>
      <c r="AG216" s="21">
        <f ca="1">AF216/AF$646</f>
        <v>0</v>
      </c>
      <c r="AH216" s="22">
        <f ca="1">AG216*AH$676</f>
        <v>0</v>
      </c>
      <c r="AI216" s="2">
        <v>0</v>
      </c>
      <c r="AJ216" s="21">
        <f ca="1">AI216/AI$646</f>
        <v>0</v>
      </c>
      <c r="AK216" s="22">
        <f ca="1">AJ216*AK$676</f>
        <v>0</v>
      </c>
      <c r="AL216" s="2">
        <v>1176693.8701340109</v>
      </c>
    </row>
    <row r="217" spans="1:38" ht="12.75" x14ac:dyDescent="0.2">
      <c r="A217" s="8" t="s">
        <v>16</v>
      </c>
      <c r="B217" s="8" t="s">
        <v>17</v>
      </c>
      <c r="C217" s="8" t="s">
        <v>18</v>
      </c>
      <c r="D217" s="8" t="s">
        <v>87</v>
      </c>
      <c r="E217" s="8" t="s">
        <v>92</v>
      </c>
      <c r="F217" s="23" t="s">
        <v>37</v>
      </c>
      <c r="G217" s="8" t="s">
        <v>575</v>
      </c>
      <c r="H217" s="20">
        <v>0</v>
      </c>
      <c r="I217" s="21">
        <f>H217/H$649</f>
        <v>0</v>
      </c>
      <c r="J217" s="22">
        <f>I217*J$679</f>
        <v>0</v>
      </c>
      <c r="K217" s="2">
        <v>4979737.60840791</v>
      </c>
      <c r="L217" s="21">
        <f ca="1">K217/K$649</f>
        <v>5.9369222687504164E-2</v>
      </c>
      <c r="M217" s="22">
        <f ca="1">L217*M$679</f>
        <v>5422331.04130763</v>
      </c>
      <c r="N217" s="2">
        <v>5213236.2032446731</v>
      </c>
      <c r="O217" s="21">
        <f ca="1">N217/N$649</f>
        <v>5.8405757354363146E-2</v>
      </c>
      <c r="P217" s="22">
        <f ca="1">O217*P$679</f>
        <v>14467514.836519329</v>
      </c>
      <c r="Q217" s="2">
        <v>2991544.6431060643</v>
      </c>
      <c r="R217" s="21">
        <f ca="1">Q217/Q$649</f>
        <v>3.797673587414431E-2</v>
      </c>
      <c r="S217" s="22">
        <f ca="1">R217*S$679</f>
        <v>9623466.6225406732</v>
      </c>
      <c r="T217" s="2">
        <v>1823278.4018804436</v>
      </c>
      <c r="U217" s="21">
        <f ca="1">T217/T$649</f>
        <v>2.3461412835855844E-2</v>
      </c>
      <c r="V217" s="22">
        <f ca="1">U217*V$679</f>
        <v>6070071.6012819791</v>
      </c>
      <c r="W217" s="2">
        <v>5806538.6282848939</v>
      </c>
      <c r="X217" s="21">
        <f ca="1">W217/W$649</f>
        <v>6.5290252157106904E-2</v>
      </c>
      <c r="Y217" s="22">
        <f ca="1">X217*Y$679</f>
        <v>17230114.758688394</v>
      </c>
      <c r="Z217" s="2">
        <v>5279092.3111258913</v>
      </c>
      <c r="AA217" s="21">
        <f ca="1">Z217/Z$649</f>
        <v>5.4657744477626079E-2</v>
      </c>
      <c r="AB217" s="22">
        <f ca="1">AA217*AB$679</f>
        <v>14683828.656148339</v>
      </c>
      <c r="AC217" s="2">
        <v>8882468.0203576982</v>
      </c>
      <c r="AD217" s="21">
        <f ca="1">AC217/AC$649</f>
        <v>9.0804328202123308E-2</v>
      </c>
      <c r="AE217" s="22">
        <f ca="1">AD217*AE$679</f>
        <v>24858123.185972828</v>
      </c>
      <c r="AF217" s="2">
        <v>4587302.5244185021</v>
      </c>
      <c r="AG217" s="21">
        <f ca="1">AF217/AF$649</f>
        <v>4.5255625209890231E-2</v>
      </c>
      <c r="AH217" s="22">
        <f ca="1">AG217*AH$679</f>
        <v>12611946.889622591</v>
      </c>
      <c r="AI217" s="2">
        <v>6867694.1158133904</v>
      </c>
      <c r="AJ217" s="21">
        <f ca="1">AI217/AI$649</f>
        <v>3.585244302219745E-2</v>
      </c>
      <c r="AK217" s="22">
        <f ca="1">AJ217*AK$679</f>
        <v>10171291.392968245</v>
      </c>
      <c r="AL217" s="2">
        <v>46430892.456639461</v>
      </c>
    </row>
    <row r="218" spans="1:38" ht="12.75" x14ac:dyDescent="0.2">
      <c r="A218" s="8" t="s">
        <v>16</v>
      </c>
      <c r="B218" s="8" t="s">
        <v>17</v>
      </c>
      <c r="C218" s="8" t="s">
        <v>18</v>
      </c>
      <c r="D218" s="8" t="s">
        <v>87</v>
      </c>
      <c r="E218" s="8" t="s">
        <v>92</v>
      </c>
      <c r="F218" s="8" t="s">
        <v>26</v>
      </c>
      <c r="G218" s="8" t="s">
        <v>576</v>
      </c>
      <c r="H218" s="20">
        <v>2929011.0731243994</v>
      </c>
      <c r="I218" s="21">
        <f>H218/H$655</f>
        <v>7.3848981618836573E-2</v>
      </c>
      <c r="J218" s="22">
        <f>I218*J$685</f>
        <v>178232.89245946644</v>
      </c>
      <c r="K218" s="2">
        <v>4585326.2864747159</v>
      </c>
      <c r="L218" s="21">
        <f ca="1">K218/K$655</f>
        <v>0.11549627329760538</v>
      </c>
      <c r="M218" s="22">
        <f ca="1">L218*M$685</f>
        <v>319579.34317720705</v>
      </c>
      <c r="N218" s="2">
        <v>5546172.7748359656</v>
      </c>
      <c r="O218" s="21">
        <f ca="1">N218/N$655</f>
        <v>4.7947655972673822E-2</v>
      </c>
      <c r="P218" s="22">
        <f ca="1">O218*P$685</f>
        <v>136121.10628532484</v>
      </c>
      <c r="Q218" s="2">
        <v>3470521.2282859473</v>
      </c>
      <c r="R218" s="21">
        <f ca="1">Q218/Q$655</f>
        <v>2.4928784492315594E-2</v>
      </c>
      <c r="S218" s="22">
        <f ca="1">R218*S$685</f>
        <v>72399.376492844094</v>
      </c>
      <c r="T218" s="2">
        <v>981716.73500098346</v>
      </c>
      <c r="U218" s="21">
        <f ca="1">T218/T$655</f>
        <v>9.8823911272716471E-3</v>
      </c>
      <c r="V218" s="22">
        <f ca="1">U218*V$685</f>
        <v>29303.635475542316</v>
      </c>
      <c r="W218" s="2">
        <v>2235010.1374199367</v>
      </c>
      <c r="X218" s="21">
        <f ca="1">W218/W$655</f>
        <v>2.0848055847480913E-2</v>
      </c>
      <c r="Y218" s="22">
        <f ca="1">X218*Y$685</f>
        <v>63055.823030818319</v>
      </c>
      <c r="Z218" s="2">
        <v>4996145.9526966661</v>
      </c>
      <c r="AA218" s="21">
        <f ca="1">Z218/Z$655</f>
        <v>4.3312704764222408E-2</v>
      </c>
      <c r="AB218" s="22">
        <f ca="1">AA218*AB$685</f>
        <v>133359.11976823999</v>
      </c>
      <c r="AC218" s="2">
        <v>2726207.1680513695</v>
      </c>
      <c r="AD218" s="21">
        <f ca="1">AC218/AC$655</f>
        <v>2.4198518415255631E-2</v>
      </c>
      <c r="AE218" s="22">
        <f ca="1">AD218*AE$685</f>
        <v>75922.478144725392</v>
      </c>
      <c r="AF218" s="2">
        <v>1873988.2820479262</v>
      </c>
      <c r="AG218" s="21">
        <f ca="1">AF218/AF$655</f>
        <v>1.5558160771486401E-2</v>
      </c>
      <c r="AH218" s="22">
        <f ca="1">AG218*AH$685</f>
        <v>49692.132286984161</v>
      </c>
      <c r="AI218" s="2">
        <v>2768110.8995360951</v>
      </c>
      <c r="AJ218" s="21">
        <f ca="1">AI218/AI$655</f>
        <v>1.4949654097305084E-2</v>
      </c>
      <c r="AK218" s="22">
        <f ca="1">AJ218*AK$685</f>
        <v>48608.061186488907</v>
      </c>
      <c r="AL218" s="2">
        <v>32112210.537474006</v>
      </c>
    </row>
    <row r="219" spans="1:38" ht="12.75" x14ac:dyDescent="0.2">
      <c r="A219" s="8" t="s">
        <v>16</v>
      </c>
      <c r="B219" s="8" t="s">
        <v>17</v>
      </c>
      <c r="C219" s="8" t="s">
        <v>18</v>
      </c>
      <c r="D219" s="8" t="s">
        <v>87</v>
      </c>
      <c r="E219" s="8" t="s">
        <v>92</v>
      </c>
      <c r="F219" s="8" t="s">
        <v>38</v>
      </c>
      <c r="G219" s="8" t="s">
        <v>577</v>
      </c>
      <c r="H219" s="20">
        <v>0</v>
      </c>
      <c r="I219" s="21">
        <f>H219/H$656</f>
        <v>0</v>
      </c>
      <c r="J219" s="22">
        <f>I219*J$686</f>
        <v>0</v>
      </c>
      <c r="K219" s="2">
        <v>0</v>
      </c>
      <c r="L219" s="21">
        <f ca="1">K219/K$656</f>
        <v>0</v>
      </c>
      <c r="M219" s="22">
        <f ca="1">L219*M$686</f>
        <v>0</v>
      </c>
      <c r="N219" s="2">
        <v>0</v>
      </c>
      <c r="O219" s="21">
        <f ca="1">N219/N$656</f>
        <v>0</v>
      </c>
      <c r="P219" s="22">
        <f ca="1">O219*P$686</f>
        <v>0</v>
      </c>
      <c r="Q219" s="2">
        <v>0</v>
      </c>
      <c r="R219" s="21">
        <f ca="1">Q219/Q$656</f>
        <v>0</v>
      </c>
      <c r="S219" s="22">
        <f ca="1">R219*S$686</f>
        <v>0</v>
      </c>
      <c r="T219" s="2">
        <v>0</v>
      </c>
      <c r="U219" s="21">
        <f ca="1">T219/T$656</f>
        <v>0</v>
      </c>
      <c r="V219" s="22">
        <f ca="1">U219*V$686</f>
        <v>0</v>
      </c>
      <c r="W219" s="2">
        <v>0</v>
      </c>
      <c r="X219" s="21">
        <f ca="1">W219/W$656</f>
        <v>0</v>
      </c>
      <c r="Y219" s="22">
        <f ca="1">X219*Y$686</f>
        <v>0</v>
      </c>
      <c r="Z219" s="2">
        <v>0</v>
      </c>
      <c r="AA219" s="21">
        <f ca="1">Z219/Z$656</f>
        <v>0</v>
      </c>
      <c r="AB219" s="22">
        <f ca="1">AA219*AB$686</f>
        <v>0</v>
      </c>
      <c r="AC219" s="2">
        <v>0</v>
      </c>
      <c r="AD219" s="21">
        <f ca="1">AC219/AC$656</f>
        <v>0</v>
      </c>
      <c r="AE219" s="22">
        <f ca="1">AD219*AE$686</f>
        <v>0</v>
      </c>
      <c r="AF219" s="2">
        <v>0</v>
      </c>
      <c r="AG219" s="21">
        <f ca="1">AF219/AF$656</f>
        <v>0</v>
      </c>
      <c r="AH219" s="22">
        <f ca="1">AG219*AH$686</f>
        <v>0</v>
      </c>
      <c r="AI219" s="2">
        <v>0</v>
      </c>
      <c r="AJ219" s="21">
        <f ca="1">AI219/AI$656</f>
        <v>0</v>
      </c>
      <c r="AK219" s="22">
        <f ca="1">AJ219*AK$686</f>
        <v>0</v>
      </c>
      <c r="AL219" s="2">
        <v>0</v>
      </c>
    </row>
    <row r="220" spans="1:38" ht="12.75" x14ac:dyDescent="0.2">
      <c r="A220" s="8" t="s">
        <v>16</v>
      </c>
      <c r="B220" s="8" t="s">
        <v>17</v>
      </c>
      <c r="C220" s="8" t="s">
        <v>18</v>
      </c>
      <c r="D220" s="8" t="s">
        <v>87</v>
      </c>
      <c r="E220" s="8" t="s">
        <v>92</v>
      </c>
      <c r="F220" s="8" t="s">
        <v>27</v>
      </c>
      <c r="G220" s="8" t="s">
        <v>578</v>
      </c>
      <c r="H220" s="20">
        <v>0</v>
      </c>
      <c r="I220" s="21">
        <f>H220/H$657</f>
        <v>0</v>
      </c>
      <c r="J220" s="22">
        <f>I220*J$687</f>
        <v>0</v>
      </c>
      <c r="K220" s="2">
        <v>0</v>
      </c>
      <c r="L220" s="21">
        <f ca="1">K220/K$657</f>
        <v>0</v>
      </c>
      <c r="M220" s="22">
        <f ca="1">L220*M$687</f>
        <v>0</v>
      </c>
      <c r="N220" s="2">
        <v>0</v>
      </c>
      <c r="O220" s="21">
        <f ca="1">N220/N$657</f>
        <v>0</v>
      </c>
      <c r="P220" s="22">
        <f ca="1">O220*P$687</f>
        <v>0</v>
      </c>
      <c r="Q220" s="2">
        <v>0</v>
      </c>
      <c r="R220" s="21">
        <f ca="1">Q220/Q$657</f>
        <v>0</v>
      </c>
      <c r="S220" s="22">
        <f ca="1">R220*S$687</f>
        <v>0</v>
      </c>
      <c r="T220" s="2">
        <v>0</v>
      </c>
      <c r="U220" s="21">
        <f ca="1">T220/T$657</f>
        <v>0</v>
      </c>
      <c r="V220" s="22">
        <f ca="1">U220*V$687</f>
        <v>0</v>
      </c>
      <c r="W220" s="2">
        <v>0</v>
      </c>
      <c r="X220" s="21">
        <f ca="1">W220/W$657</f>
        <v>0</v>
      </c>
      <c r="Y220" s="22">
        <f ca="1">X220*Y$687</f>
        <v>0</v>
      </c>
      <c r="Z220" s="2">
        <v>0</v>
      </c>
      <c r="AA220" s="21">
        <f ca="1">Z220/Z$657</f>
        <v>0</v>
      </c>
      <c r="AB220" s="22">
        <f ca="1">AA220*AB$687</f>
        <v>0</v>
      </c>
      <c r="AC220" s="2">
        <v>0</v>
      </c>
      <c r="AD220" s="21">
        <f ca="1">AC220/AC$657</f>
        <v>0</v>
      </c>
      <c r="AE220" s="22">
        <f ca="1">AD220*AE$687</f>
        <v>0</v>
      </c>
      <c r="AF220" s="2">
        <v>0</v>
      </c>
      <c r="AG220" s="21">
        <f ca="1">AF220/AF$657</f>
        <v>0</v>
      </c>
      <c r="AH220" s="22">
        <f ca="1">AG220*AH$687</f>
        <v>0</v>
      </c>
      <c r="AI220" s="2">
        <v>0</v>
      </c>
      <c r="AJ220" s="21">
        <f ca="1">AI220/AI$657</f>
        <v>0</v>
      </c>
      <c r="AK220" s="22">
        <f ca="1">AJ220*AK$687</f>
        <v>0</v>
      </c>
      <c r="AL220" s="2">
        <v>0</v>
      </c>
    </row>
    <row r="221" spans="1:38" ht="12.75" x14ac:dyDescent="0.2">
      <c r="A221" s="8" t="s">
        <v>16</v>
      </c>
      <c r="B221" s="8" t="s">
        <v>17</v>
      </c>
      <c r="C221" s="8" t="s">
        <v>18</v>
      </c>
      <c r="D221" s="8" t="s">
        <v>87</v>
      </c>
      <c r="E221" s="8" t="s">
        <v>92</v>
      </c>
      <c r="F221" s="8" t="s">
        <v>28</v>
      </c>
      <c r="G221" s="8" t="s">
        <v>579</v>
      </c>
      <c r="H221" s="20">
        <v>0</v>
      </c>
      <c r="I221" s="21">
        <f>H221/H$669</f>
        <v>0</v>
      </c>
      <c r="J221" s="22">
        <f>I221*J$699</f>
        <v>0</v>
      </c>
      <c r="K221" s="2">
        <v>0</v>
      </c>
      <c r="L221" s="21">
        <f ca="1">K221/K$669</f>
        <v>0</v>
      </c>
      <c r="M221" s="22">
        <f ca="1">L221*M$699</f>
        <v>0</v>
      </c>
      <c r="N221" s="2">
        <v>0</v>
      </c>
      <c r="O221" s="21">
        <f ca="1">N221/N$669</f>
        <v>0</v>
      </c>
      <c r="P221" s="22">
        <f ca="1">O221*P$699</f>
        <v>0</v>
      </c>
      <c r="Q221" s="2">
        <v>0</v>
      </c>
      <c r="R221" s="21">
        <f ca="1">Q221/Q$669</f>
        <v>0</v>
      </c>
      <c r="S221" s="22">
        <f ca="1">R221*S$699</f>
        <v>0</v>
      </c>
      <c r="T221" s="2">
        <v>0</v>
      </c>
      <c r="U221" s="21">
        <f ca="1">T221/T$669</f>
        <v>0</v>
      </c>
      <c r="V221" s="22">
        <f ca="1">U221*V$699</f>
        <v>0</v>
      </c>
      <c r="W221" s="2">
        <v>0</v>
      </c>
      <c r="X221" s="21">
        <f ca="1">W221/W$669</f>
        <v>0</v>
      </c>
      <c r="Y221" s="22">
        <f ca="1">X221*Y$699</f>
        <v>0</v>
      </c>
      <c r="Z221" s="2">
        <v>0</v>
      </c>
      <c r="AA221" s="21">
        <f ca="1">Z221/Z$669</f>
        <v>0</v>
      </c>
      <c r="AB221" s="22">
        <f ca="1">AA221*AB$699</f>
        <v>0</v>
      </c>
      <c r="AC221" s="2">
        <v>0</v>
      </c>
      <c r="AD221" s="21">
        <f ca="1">AC221/AC$669</f>
        <v>0</v>
      </c>
      <c r="AE221" s="22">
        <f ca="1">AD221*AE$699</f>
        <v>0</v>
      </c>
      <c r="AF221" s="2">
        <v>0</v>
      </c>
      <c r="AG221" s="21">
        <f ca="1">AF221/AF$669</f>
        <v>0</v>
      </c>
      <c r="AH221" s="22">
        <f ca="1">AG221*AH$699</f>
        <v>0</v>
      </c>
      <c r="AI221" s="2">
        <v>0</v>
      </c>
      <c r="AJ221" s="21">
        <f ca="1">AI221/AI$669</f>
        <v>0</v>
      </c>
      <c r="AK221" s="22">
        <f ca="1">AJ221*AK$699</f>
        <v>0</v>
      </c>
      <c r="AL221" s="2">
        <v>0</v>
      </c>
    </row>
    <row r="222" spans="1:38" ht="12.75" x14ac:dyDescent="0.2">
      <c r="A222" s="8" t="s">
        <v>16</v>
      </c>
      <c r="B222" s="8" t="s">
        <v>17</v>
      </c>
      <c r="C222" s="8" t="s">
        <v>18</v>
      </c>
      <c r="D222" s="8" t="s">
        <v>87</v>
      </c>
      <c r="E222" s="8" t="s">
        <v>92</v>
      </c>
      <c r="F222" s="8" t="s">
        <v>34</v>
      </c>
      <c r="G222" s="8" t="s">
        <v>580</v>
      </c>
      <c r="H222" s="20">
        <v>0</v>
      </c>
      <c r="I222" s="21">
        <f>H222/H$653</f>
        <v>0</v>
      </c>
      <c r="J222" s="22">
        <f>I222*J$683</f>
        <v>0</v>
      </c>
      <c r="K222" s="2">
        <v>0</v>
      </c>
      <c r="L222" s="21">
        <f ca="1">K222/K$653</f>
        <v>0</v>
      </c>
      <c r="M222" s="22">
        <f ca="1">L222*M$683</f>
        <v>0</v>
      </c>
      <c r="N222" s="2">
        <v>0</v>
      </c>
      <c r="O222" s="21">
        <f ca="1">N222/N$653</f>
        <v>0</v>
      </c>
      <c r="P222" s="22">
        <f ca="1">O222*P$683</f>
        <v>0</v>
      </c>
      <c r="Q222" s="2">
        <v>0</v>
      </c>
      <c r="R222" s="21">
        <f ca="1">Q222/Q$653</f>
        <v>0</v>
      </c>
      <c r="S222" s="22">
        <f ca="1">R222*S$683</f>
        <v>0</v>
      </c>
      <c r="T222" s="2">
        <v>0</v>
      </c>
      <c r="U222" s="21">
        <f ca="1">T222/T$653</f>
        <v>0</v>
      </c>
      <c r="V222" s="22">
        <f ca="1">U222*V$683</f>
        <v>0</v>
      </c>
      <c r="W222" s="2">
        <v>0</v>
      </c>
      <c r="X222" s="21">
        <f ca="1">W222/W$653</f>
        <v>0</v>
      </c>
      <c r="Y222" s="22">
        <f ca="1">X222*Y$683</f>
        <v>0</v>
      </c>
      <c r="Z222" s="2">
        <v>0</v>
      </c>
      <c r="AA222" s="21">
        <f ca="1">Z222/Z$653</f>
        <v>0</v>
      </c>
      <c r="AB222" s="22">
        <f ca="1">AA222*AB$683</f>
        <v>0</v>
      </c>
      <c r="AC222" s="2">
        <v>0</v>
      </c>
      <c r="AD222" s="21">
        <f ca="1">AC222/AC$653</f>
        <v>0</v>
      </c>
      <c r="AE222" s="22">
        <f ca="1">AD222*AE$683</f>
        <v>0</v>
      </c>
      <c r="AF222" s="2">
        <v>0</v>
      </c>
      <c r="AG222" s="21">
        <f ca="1">AF222/AF$653</f>
        <v>0</v>
      </c>
      <c r="AH222" s="22">
        <f ca="1">AG222*AH$683</f>
        <v>0</v>
      </c>
      <c r="AI222" s="2">
        <v>0</v>
      </c>
      <c r="AJ222" s="21">
        <f ca="1">AI222/AI$653</f>
        <v>0</v>
      </c>
      <c r="AK222" s="22">
        <f ca="1">AJ222*AK$683</f>
        <v>0</v>
      </c>
      <c r="AL222" s="2">
        <v>0</v>
      </c>
    </row>
    <row r="223" spans="1:38" ht="12.75" x14ac:dyDescent="0.2">
      <c r="A223" s="8" t="s">
        <v>16</v>
      </c>
      <c r="B223" s="8" t="s">
        <v>17</v>
      </c>
      <c r="C223" s="8" t="s">
        <v>18</v>
      </c>
      <c r="D223" s="8" t="s">
        <v>87</v>
      </c>
      <c r="E223" s="8" t="s">
        <v>92</v>
      </c>
      <c r="F223" s="8" t="s">
        <v>55</v>
      </c>
      <c r="G223" s="8" t="s">
        <v>581</v>
      </c>
      <c r="H223" s="20">
        <v>504683.00854015362</v>
      </c>
      <c r="I223" s="21">
        <f>H223/H$654</f>
        <v>0.22875563748118552</v>
      </c>
      <c r="J223" s="22">
        <f>I223*J$684</f>
        <v>352074.37031273043</v>
      </c>
      <c r="K223" s="2">
        <v>1371324.8598355986</v>
      </c>
      <c r="L223" s="21">
        <f ca="1">K223/K$654</f>
        <v>0.37889308321721249</v>
      </c>
      <c r="M223" s="22">
        <f ca="1">L223*M$684</f>
        <v>1129022.9571190672</v>
      </c>
      <c r="N223" s="2">
        <v>428990.99760206061</v>
      </c>
      <c r="O223" s="21">
        <f ca="1">N223/N$654</f>
        <v>0.15697960744747372</v>
      </c>
      <c r="P223" s="22">
        <f ca="1">O223*P$684</f>
        <v>479928.67084947228</v>
      </c>
      <c r="Q223" s="2">
        <v>1163956.1431480318</v>
      </c>
      <c r="R223" s="21">
        <f ca="1">Q223/Q$654</f>
        <v>0.37922495870975997</v>
      </c>
      <c r="S223" s="22">
        <f ca="1">R223*S$684</f>
        <v>1186058.2052645241</v>
      </c>
      <c r="T223" s="2">
        <v>4529019.4794919677</v>
      </c>
      <c r="U223" s="21">
        <f ca="1">T223/T$654</f>
        <v>0.81031340710628763</v>
      </c>
      <c r="V223" s="22">
        <f ca="1">U223*V$684</f>
        <v>2587544.6721455227</v>
      </c>
      <c r="W223" s="2">
        <v>690600.5171452217</v>
      </c>
      <c r="X223" s="21">
        <f ca="1">W223/W$654</f>
        <v>0.29968980436982501</v>
      </c>
      <c r="Y223" s="22">
        <f ca="1">X223*Y$684</f>
        <v>976128.45171491918</v>
      </c>
      <c r="Z223" s="2">
        <v>306369.95160116476</v>
      </c>
      <c r="AA223" s="21">
        <f ca="1">Z223/Z$654</f>
        <v>0.15574595722813878</v>
      </c>
      <c r="AB223" s="22">
        <f ca="1">AA223*AB$684</f>
        <v>516415.85069323354</v>
      </c>
      <c r="AC223" s="2">
        <v>693747.7735229918</v>
      </c>
      <c r="AD223" s="21">
        <f ca="1">AC223/AC$654</f>
        <v>0.27043102064849123</v>
      </c>
      <c r="AE223" s="22">
        <f ca="1">AD223*AE$684</f>
        <v>913720.72025909554</v>
      </c>
      <c r="AF223" s="2">
        <v>926399.98616313946</v>
      </c>
      <c r="AG223" s="21">
        <f ca="1">AF223/AF$654</f>
        <v>0.3374374666942912</v>
      </c>
      <c r="AH223" s="22">
        <f ca="1">AG223*AH$684</f>
        <v>1160641.3698994019</v>
      </c>
      <c r="AI223" s="2">
        <v>426294.63011404779</v>
      </c>
      <c r="AJ223" s="21">
        <f ca="1">AI223/AI$654</f>
        <v>0.20388650373981773</v>
      </c>
      <c r="AK223" s="22">
        <f ca="1">AJ223*AK$684</f>
        <v>713905.9484370182</v>
      </c>
      <c r="AL223" s="2">
        <v>11041387.347164378</v>
      </c>
    </row>
    <row r="224" spans="1:38" ht="12.75" x14ac:dyDescent="0.2">
      <c r="A224" s="8" t="s">
        <v>16</v>
      </c>
      <c r="B224" s="8" t="s">
        <v>17</v>
      </c>
      <c r="C224" s="8" t="s">
        <v>18</v>
      </c>
      <c r="D224" s="8" t="s">
        <v>87</v>
      </c>
      <c r="E224" s="8" t="s">
        <v>93</v>
      </c>
      <c r="F224" s="8" t="s">
        <v>24</v>
      </c>
      <c r="G224" s="8" t="s">
        <v>582</v>
      </c>
      <c r="H224" s="20">
        <v>0</v>
      </c>
      <c r="I224" s="21">
        <f>H224/H$646</f>
        <v>0</v>
      </c>
      <c r="J224" s="22">
        <f>I224*J$676</f>
        <v>0</v>
      </c>
      <c r="K224" s="2">
        <v>0</v>
      </c>
      <c r="L224" s="21">
        <f ca="1">K224/K$646</f>
        <v>0</v>
      </c>
      <c r="M224" s="22">
        <f ca="1">L224*M$676</f>
        <v>0</v>
      </c>
      <c r="N224" s="2">
        <v>0</v>
      </c>
      <c r="O224" s="21">
        <f ca="1">N224/N$646</f>
        <v>0</v>
      </c>
      <c r="P224" s="22">
        <f ca="1">O224*P$676</f>
        <v>0</v>
      </c>
      <c r="Q224" s="2">
        <v>0</v>
      </c>
      <c r="R224" s="21">
        <f ca="1">Q224/Q$646</f>
        <v>0</v>
      </c>
      <c r="S224" s="22">
        <f ca="1">R224*S$676</f>
        <v>0</v>
      </c>
      <c r="T224" s="2">
        <v>0</v>
      </c>
      <c r="U224" s="21">
        <f ca="1">T224/T$646</f>
        <v>0</v>
      </c>
      <c r="V224" s="22">
        <f ca="1">U224*V$676</f>
        <v>0</v>
      </c>
      <c r="W224" s="2">
        <v>0</v>
      </c>
      <c r="X224" s="21">
        <f ca="1">W224/W$646</f>
        <v>0</v>
      </c>
      <c r="Y224" s="22">
        <f ca="1">X224*Y$676</f>
        <v>0</v>
      </c>
      <c r="Z224" s="2">
        <v>0</v>
      </c>
      <c r="AA224" s="21">
        <f ca="1">Z224/Z$646</f>
        <v>0</v>
      </c>
      <c r="AB224" s="22">
        <f ca="1">AA224*AB$676</f>
        <v>0</v>
      </c>
      <c r="AC224" s="2">
        <v>0</v>
      </c>
      <c r="AD224" s="21">
        <f ca="1">AC224/AC$646</f>
        <v>0</v>
      </c>
      <c r="AE224" s="22">
        <f ca="1">AD224*AE$676</f>
        <v>0</v>
      </c>
      <c r="AF224" s="2">
        <v>0</v>
      </c>
      <c r="AG224" s="21">
        <f ca="1">AF224/AF$646</f>
        <v>0</v>
      </c>
      <c r="AH224" s="22">
        <f ca="1">AG224*AH$676</f>
        <v>0</v>
      </c>
      <c r="AI224" s="2">
        <v>0</v>
      </c>
      <c r="AJ224" s="21">
        <f ca="1">AI224/AI$646</f>
        <v>0</v>
      </c>
      <c r="AK224" s="22">
        <f ca="1">AJ224*AK$676</f>
        <v>0</v>
      </c>
      <c r="AL224" s="2">
        <v>0</v>
      </c>
    </row>
    <row r="225" spans="1:38" ht="12.75" x14ac:dyDescent="0.2">
      <c r="A225" s="8" t="s">
        <v>16</v>
      </c>
      <c r="B225" s="8" t="s">
        <v>17</v>
      </c>
      <c r="C225" s="8" t="s">
        <v>18</v>
      </c>
      <c r="D225" s="8" t="s">
        <v>87</v>
      </c>
      <c r="E225" s="8" t="s">
        <v>93</v>
      </c>
      <c r="F225" s="23" t="s">
        <v>37</v>
      </c>
      <c r="G225" s="8" t="s">
        <v>583</v>
      </c>
      <c r="H225" s="20">
        <v>0</v>
      </c>
      <c r="I225" s="21">
        <f>H225/H$649</f>
        <v>0</v>
      </c>
      <c r="J225" s="22">
        <f>I225*J$679</f>
        <v>0</v>
      </c>
      <c r="K225" s="2">
        <v>705422.5379913873</v>
      </c>
      <c r="L225" s="21">
        <f ca="1">K225/K$649</f>
        <v>8.4101595385433908E-3</v>
      </c>
      <c r="M225" s="22">
        <f ca="1">L225*M$679</f>
        <v>768119.69340120023</v>
      </c>
      <c r="N225" s="2">
        <v>3880603.3301675972</v>
      </c>
      <c r="O225" s="21">
        <f ca="1">N225/N$649</f>
        <v>4.347579270420119E-2</v>
      </c>
      <c r="P225" s="22">
        <f ca="1">O225*P$679</f>
        <v>10769258.108601201</v>
      </c>
      <c r="Q225" s="2">
        <v>760779.56007452065</v>
      </c>
      <c r="R225" s="21">
        <f ca="1">Q225/Q$649</f>
        <v>9.6578616929479735E-3</v>
      </c>
      <c r="S225" s="22">
        <f ca="1">R225*S$679</f>
        <v>2447343.2881438537</v>
      </c>
      <c r="T225" s="2">
        <v>1520808.8983360971</v>
      </c>
      <c r="U225" s="21">
        <f ca="1">T225/T$649</f>
        <v>1.9569323791422795E-2</v>
      </c>
      <c r="V225" s="22">
        <f ca="1">U225*V$679</f>
        <v>5063087.9492928917</v>
      </c>
      <c r="W225" s="2">
        <v>1718863.9851149921</v>
      </c>
      <c r="X225" s="21">
        <f ca="1">W225/W$649</f>
        <v>1.9327360101464779E-2</v>
      </c>
      <c r="Y225" s="22">
        <f ca="1">X225*Y$679</f>
        <v>5100495.4266283195</v>
      </c>
      <c r="Z225" s="2">
        <v>2772501.6645332165</v>
      </c>
      <c r="AA225" s="21">
        <f ca="1">Z225/Z$649</f>
        <v>2.870544377950654E-2</v>
      </c>
      <c r="AB225" s="22">
        <f ca="1">AA225*AB$679</f>
        <v>7711730.9172813538</v>
      </c>
      <c r="AC225" s="2">
        <v>2495944.9776321542</v>
      </c>
      <c r="AD225" s="21">
        <f ca="1">AC225/AC$649</f>
        <v>2.5515724504035366E-2</v>
      </c>
      <c r="AE225" s="22">
        <f ca="1">AD225*AE$679</f>
        <v>6985052.7552917367</v>
      </c>
      <c r="AF225" s="2">
        <v>3458673.7374131149</v>
      </c>
      <c r="AG225" s="21">
        <f ca="1">AF225/AF$649</f>
        <v>3.4121238255046114E-2</v>
      </c>
      <c r="AH225" s="22">
        <f ca="1">AG225*AH$679</f>
        <v>9508989.0524096452</v>
      </c>
      <c r="AI225" s="2">
        <v>1667325.7448849597</v>
      </c>
      <c r="AJ225" s="21">
        <f ca="1">AI225/AI$649</f>
        <v>8.7041880811622365E-3</v>
      </c>
      <c r="AK225" s="22">
        <f ca="1">AJ225*AK$679</f>
        <v>2469366.8227263787</v>
      </c>
      <c r="AL225" s="2">
        <v>18980924.43614804</v>
      </c>
    </row>
    <row r="226" spans="1:38" ht="12.75" x14ac:dyDescent="0.2">
      <c r="A226" s="8" t="s">
        <v>16</v>
      </c>
      <c r="B226" s="8" t="s">
        <v>17</v>
      </c>
      <c r="C226" s="8" t="s">
        <v>18</v>
      </c>
      <c r="D226" s="8" t="s">
        <v>87</v>
      </c>
      <c r="E226" s="8" t="s">
        <v>93</v>
      </c>
      <c r="F226" s="8" t="s">
        <v>26</v>
      </c>
      <c r="G226" s="8" t="s">
        <v>584</v>
      </c>
      <c r="H226" s="20">
        <v>0</v>
      </c>
      <c r="I226" s="21">
        <f>H226/H$655</f>
        <v>0</v>
      </c>
      <c r="J226" s="22">
        <f>I226*J$685</f>
        <v>0</v>
      </c>
      <c r="K226" s="2">
        <v>388265.08822427416</v>
      </c>
      <c r="L226" s="21">
        <f ca="1">K226/K$655</f>
        <v>9.7797120509707271E-3</v>
      </c>
      <c r="M226" s="22">
        <f ca="1">L226*M$685</f>
        <v>27060.561042156511</v>
      </c>
      <c r="N226" s="2">
        <v>458268.29732686386</v>
      </c>
      <c r="O226" s="21">
        <f ca="1">N226/N$655</f>
        <v>3.9618114248273382E-3</v>
      </c>
      <c r="P226" s="22">
        <f ca="1">O226*P$685</f>
        <v>11247.393498207392</v>
      </c>
      <c r="Q226" s="2">
        <v>444021.78408948303</v>
      </c>
      <c r="R226" s="21">
        <f ca="1">Q226/Q$655</f>
        <v>3.1894123785339954E-3</v>
      </c>
      <c r="S226" s="22">
        <f ca="1">R226*S$685</f>
        <v>9262.8450318385803</v>
      </c>
      <c r="T226" s="2">
        <v>222225.09142179793</v>
      </c>
      <c r="U226" s="21">
        <f ca="1">T226/T$655</f>
        <v>2.2370152136824951E-3</v>
      </c>
      <c r="V226" s="22">
        <f ca="1">U226*V$685</f>
        <v>6633.28110886987</v>
      </c>
      <c r="W226" s="2">
        <v>0</v>
      </c>
      <c r="X226" s="21">
        <f ca="1">W226/W$655</f>
        <v>0</v>
      </c>
      <c r="Y226" s="22">
        <f ca="1">X226*Y$685</f>
        <v>0</v>
      </c>
      <c r="Z226" s="2">
        <v>689398.93540140463</v>
      </c>
      <c r="AA226" s="21">
        <f ca="1">Z226/Z$655</f>
        <v>5.9765532945836993E-3</v>
      </c>
      <c r="AB226" s="22">
        <f ca="1">AA226*AB$685</f>
        <v>18401.711251984099</v>
      </c>
      <c r="AC226" s="2">
        <v>0</v>
      </c>
      <c r="AD226" s="21">
        <f ca="1">AC226/AC$655</f>
        <v>0</v>
      </c>
      <c r="AE226" s="22">
        <f ca="1">AD226*AE$685</f>
        <v>0</v>
      </c>
      <c r="AF226" s="2">
        <v>542002.19436115341</v>
      </c>
      <c r="AG226" s="21">
        <f ca="1">AF226/AF$655</f>
        <v>4.4997918925907066E-3</v>
      </c>
      <c r="AH226" s="22">
        <f ca="1">AG226*AH$685</f>
        <v>14372.152163404688</v>
      </c>
      <c r="AI226" s="2">
        <v>0</v>
      </c>
      <c r="AJ226" s="21">
        <f ca="1">AI226/AI$655</f>
        <v>0</v>
      </c>
      <c r="AK226" s="22">
        <f ca="1">AJ226*AK$685</f>
        <v>0</v>
      </c>
      <c r="AL226" s="2">
        <v>2744181.3908249773</v>
      </c>
    </row>
    <row r="227" spans="1:38" ht="12.75" x14ac:dyDescent="0.2">
      <c r="A227" s="8" t="s">
        <v>16</v>
      </c>
      <c r="B227" s="8" t="s">
        <v>17</v>
      </c>
      <c r="C227" s="8" t="s">
        <v>18</v>
      </c>
      <c r="D227" s="8" t="s">
        <v>87</v>
      </c>
      <c r="E227" s="8" t="s">
        <v>93</v>
      </c>
      <c r="F227" s="8" t="s">
        <v>38</v>
      </c>
      <c r="G227" s="8" t="s">
        <v>585</v>
      </c>
      <c r="H227" s="20">
        <v>0</v>
      </c>
      <c r="I227" s="21">
        <f>H227/H$656</f>
        <v>0</v>
      </c>
      <c r="J227" s="22">
        <f>I227*J$686</f>
        <v>0</v>
      </c>
      <c r="K227" s="2">
        <v>0</v>
      </c>
      <c r="L227" s="21">
        <f ca="1">K227/K$656</f>
        <v>0</v>
      </c>
      <c r="M227" s="22">
        <f ca="1">L227*M$686</f>
        <v>0</v>
      </c>
      <c r="N227" s="2">
        <v>0</v>
      </c>
      <c r="O227" s="21">
        <f ca="1">N227/N$656</f>
        <v>0</v>
      </c>
      <c r="P227" s="22">
        <f ca="1">O227*P$686</f>
        <v>0</v>
      </c>
      <c r="Q227" s="2">
        <v>0</v>
      </c>
      <c r="R227" s="21">
        <f ca="1">Q227/Q$656</f>
        <v>0</v>
      </c>
      <c r="S227" s="22">
        <f ca="1">R227*S$686</f>
        <v>0</v>
      </c>
      <c r="T227" s="2">
        <v>0</v>
      </c>
      <c r="U227" s="21">
        <f ca="1">T227/T$656</f>
        <v>0</v>
      </c>
      <c r="V227" s="22">
        <f ca="1">U227*V$686</f>
        <v>0</v>
      </c>
      <c r="W227" s="2">
        <v>0</v>
      </c>
      <c r="X227" s="21">
        <f ca="1">W227/W$656</f>
        <v>0</v>
      </c>
      <c r="Y227" s="22">
        <f ca="1">X227*Y$686</f>
        <v>0</v>
      </c>
      <c r="Z227" s="2">
        <v>0</v>
      </c>
      <c r="AA227" s="21">
        <f ca="1">Z227/Z$656</f>
        <v>0</v>
      </c>
      <c r="AB227" s="22">
        <f ca="1">AA227*AB$686</f>
        <v>0</v>
      </c>
      <c r="AC227" s="2">
        <v>0</v>
      </c>
      <c r="AD227" s="21">
        <f ca="1">AC227/AC$656</f>
        <v>0</v>
      </c>
      <c r="AE227" s="22">
        <f ca="1">AD227*AE$686</f>
        <v>0</v>
      </c>
      <c r="AF227" s="2">
        <v>0</v>
      </c>
      <c r="AG227" s="21">
        <f ca="1">AF227/AF$656</f>
        <v>0</v>
      </c>
      <c r="AH227" s="22">
        <f ca="1">AG227*AH$686</f>
        <v>0</v>
      </c>
      <c r="AI227" s="2">
        <v>0</v>
      </c>
      <c r="AJ227" s="21">
        <f ca="1">AI227/AI$656</f>
        <v>0</v>
      </c>
      <c r="AK227" s="22">
        <f ca="1">AJ227*AK$686</f>
        <v>0</v>
      </c>
      <c r="AL227" s="2">
        <v>0</v>
      </c>
    </row>
    <row r="228" spans="1:38" ht="12.75" x14ac:dyDescent="0.2">
      <c r="A228" s="8" t="s">
        <v>16</v>
      </c>
      <c r="B228" s="8" t="s">
        <v>17</v>
      </c>
      <c r="C228" s="8" t="s">
        <v>18</v>
      </c>
      <c r="D228" s="8" t="s">
        <v>87</v>
      </c>
      <c r="E228" s="8" t="s">
        <v>93</v>
      </c>
      <c r="F228" s="8" t="s">
        <v>27</v>
      </c>
      <c r="G228" s="8" t="s">
        <v>586</v>
      </c>
      <c r="H228" s="20">
        <v>0</v>
      </c>
      <c r="I228" s="21">
        <f>H228/H$657</f>
        <v>0</v>
      </c>
      <c r="J228" s="22">
        <f>I228*J$687</f>
        <v>0</v>
      </c>
      <c r="K228" s="2">
        <v>0</v>
      </c>
      <c r="L228" s="21">
        <f ca="1">K228/K$657</f>
        <v>0</v>
      </c>
      <c r="M228" s="22">
        <f ca="1">L228*M$687</f>
        <v>0</v>
      </c>
      <c r="N228" s="2">
        <v>0</v>
      </c>
      <c r="O228" s="21">
        <f ca="1">N228/N$657</f>
        <v>0</v>
      </c>
      <c r="P228" s="22">
        <f ca="1">O228*P$687</f>
        <v>0</v>
      </c>
      <c r="Q228" s="2">
        <v>0</v>
      </c>
      <c r="R228" s="21">
        <f ca="1">Q228/Q$657</f>
        <v>0</v>
      </c>
      <c r="S228" s="22">
        <f ca="1">R228*S$687</f>
        <v>0</v>
      </c>
      <c r="T228" s="2">
        <v>0</v>
      </c>
      <c r="U228" s="21">
        <f ca="1">T228/T$657</f>
        <v>0</v>
      </c>
      <c r="V228" s="22">
        <f ca="1">U228*V$687</f>
        <v>0</v>
      </c>
      <c r="W228" s="2">
        <v>0</v>
      </c>
      <c r="X228" s="21">
        <f ca="1">W228/W$657</f>
        <v>0</v>
      </c>
      <c r="Y228" s="22">
        <f ca="1">X228*Y$687</f>
        <v>0</v>
      </c>
      <c r="Z228" s="2">
        <v>0</v>
      </c>
      <c r="AA228" s="21">
        <f ca="1">Z228/Z$657</f>
        <v>0</v>
      </c>
      <c r="AB228" s="22">
        <f ca="1">AA228*AB$687</f>
        <v>0</v>
      </c>
      <c r="AC228" s="2">
        <v>0</v>
      </c>
      <c r="AD228" s="21">
        <f ca="1">AC228/AC$657</f>
        <v>0</v>
      </c>
      <c r="AE228" s="22">
        <f ca="1">AD228*AE$687</f>
        <v>0</v>
      </c>
      <c r="AF228" s="2">
        <v>0</v>
      </c>
      <c r="AG228" s="21">
        <f ca="1">AF228/AF$657</f>
        <v>0</v>
      </c>
      <c r="AH228" s="22">
        <f ca="1">AG228*AH$687</f>
        <v>0</v>
      </c>
      <c r="AI228" s="2">
        <v>0</v>
      </c>
      <c r="AJ228" s="21">
        <f ca="1">AI228/AI$657</f>
        <v>0</v>
      </c>
      <c r="AK228" s="22">
        <f ca="1">AJ228*AK$687</f>
        <v>0</v>
      </c>
      <c r="AL228" s="2">
        <v>0</v>
      </c>
    </row>
    <row r="229" spans="1:38" ht="12.75" x14ac:dyDescent="0.2">
      <c r="A229" s="8" t="s">
        <v>16</v>
      </c>
      <c r="B229" s="8" t="s">
        <v>17</v>
      </c>
      <c r="C229" s="8" t="s">
        <v>18</v>
      </c>
      <c r="D229" s="8" t="s">
        <v>87</v>
      </c>
      <c r="E229" s="8" t="s">
        <v>93</v>
      </c>
      <c r="F229" s="8" t="s">
        <v>28</v>
      </c>
      <c r="G229" s="8" t="s">
        <v>587</v>
      </c>
      <c r="H229" s="20">
        <v>0</v>
      </c>
      <c r="I229" s="21">
        <f>H229/H$669</f>
        <v>0</v>
      </c>
      <c r="J229" s="22">
        <f>I229*J$699</f>
        <v>0</v>
      </c>
      <c r="K229" s="2">
        <v>0</v>
      </c>
      <c r="L229" s="21">
        <f ca="1">K229/K$669</f>
        <v>0</v>
      </c>
      <c r="M229" s="22">
        <f ca="1">L229*M$699</f>
        <v>0</v>
      </c>
      <c r="N229" s="2">
        <v>0</v>
      </c>
      <c r="O229" s="21">
        <f ca="1">N229/N$669</f>
        <v>0</v>
      </c>
      <c r="P229" s="22">
        <f ca="1">O229*P$699</f>
        <v>0</v>
      </c>
      <c r="Q229" s="2">
        <v>0</v>
      </c>
      <c r="R229" s="21">
        <f ca="1">Q229/Q$669</f>
        <v>0</v>
      </c>
      <c r="S229" s="22">
        <f ca="1">R229*S$699</f>
        <v>0</v>
      </c>
      <c r="T229" s="2">
        <v>0</v>
      </c>
      <c r="U229" s="21">
        <f ca="1">T229/T$669</f>
        <v>0</v>
      </c>
      <c r="V229" s="22">
        <f ca="1">U229*V$699</f>
        <v>0</v>
      </c>
      <c r="W229" s="2">
        <v>0</v>
      </c>
      <c r="X229" s="21">
        <f ca="1">W229/W$669</f>
        <v>0</v>
      </c>
      <c r="Y229" s="22">
        <f ca="1">X229*Y$699</f>
        <v>0</v>
      </c>
      <c r="Z229" s="2">
        <v>0</v>
      </c>
      <c r="AA229" s="21">
        <f ca="1">Z229/Z$669</f>
        <v>0</v>
      </c>
      <c r="AB229" s="22">
        <f ca="1">AA229*AB$699</f>
        <v>0</v>
      </c>
      <c r="AC229" s="2">
        <v>0</v>
      </c>
      <c r="AD229" s="21">
        <f ca="1">AC229/AC$669</f>
        <v>0</v>
      </c>
      <c r="AE229" s="22">
        <f ca="1">AD229*AE$699</f>
        <v>0</v>
      </c>
      <c r="AF229" s="2">
        <v>0</v>
      </c>
      <c r="AG229" s="21">
        <f ca="1">AF229/AF$669</f>
        <v>0</v>
      </c>
      <c r="AH229" s="22">
        <f ca="1">AG229*AH$699</f>
        <v>0</v>
      </c>
      <c r="AI229" s="2">
        <v>0</v>
      </c>
      <c r="AJ229" s="21">
        <f ca="1">AI229/AI$669</f>
        <v>0</v>
      </c>
      <c r="AK229" s="22">
        <f ca="1">AJ229*AK$699</f>
        <v>0</v>
      </c>
      <c r="AL229" s="2">
        <v>0</v>
      </c>
    </row>
    <row r="230" spans="1:38" ht="12.75" x14ac:dyDescent="0.2">
      <c r="A230" s="8" t="s">
        <v>16</v>
      </c>
      <c r="B230" s="8" t="s">
        <v>17</v>
      </c>
      <c r="C230" s="8" t="s">
        <v>18</v>
      </c>
      <c r="D230" s="8" t="s">
        <v>87</v>
      </c>
      <c r="E230" s="8" t="s">
        <v>93</v>
      </c>
      <c r="F230" s="8" t="s">
        <v>55</v>
      </c>
      <c r="G230" s="8" t="s">
        <v>588</v>
      </c>
      <c r="H230" s="20">
        <v>355391.96151126001</v>
      </c>
      <c r="I230" s="21">
        <f>H230/H$654</f>
        <v>0.16108708503256258</v>
      </c>
      <c r="J230" s="22">
        <f>I230*J$684</f>
        <v>247926.71626734157</v>
      </c>
      <c r="K230" s="2">
        <v>638975.66319517943</v>
      </c>
      <c r="L230" s="21">
        <f ca="1">K230/K$654</f>
        <v>0.17654712331096314</v>
      </c>
      <c r="M230" s="22">
        <f ca="1">L230*M$684</f>
        <v>526073.88221214479</v>
      </c>
      <c r="N230" s="2">
        <v>179311.16557141347</v>
      </c>
      <c r="O230" s="21">
        <f ca="1">N230/N$654</f>
        <v>6.5614888283646922E-2</v>
      </c>
      <c r="P230" s="22">
        <f ca="1">O230*P$684</f>
        <v>200602.27333951113</v>
      </c>
      <c r="Q230" s="2">
        <v>445222.5641546289</v>
      </c>
      <c r="R230" s="21">
        <f ca="1">Q230/Q$654</f>
        <v>0.14505658954773831</v>
      </c>
      <c r="S230" s="22">
        <f ca="1">R230*S$684</f>
        <v>453676.78025764757</v>
      </c>
      <c r="T230" s="2">
        <v>0</v>
      </c>
      <c r="U230" s="21">
        <f ca="1">T230/T$654</f>
        <v>0</v>
      </c>
      <c r="V230" s="22">
        <f ca="1">U230*V$684</f>
        <v>0</v>
      </c>
      <c r="W230" s="2">
        <v>208848.27233473852</v>
      </c>
      <c r="X230" s="21">
        <f ca="1">W230/W$654</f>
        <v>9.063082972729973E-2</v>
      </c>
      <c r="Y230" s="22">
        <f ca="1">X230*Y$684</f>
        <v>295196.33370702388</v>
      </c>
      <c r="Z230" s="2">
        <v>351296.66948214005</v>
      </c>
      <c r="AA230" s="21">
        <f ca="1">Z230/Z$654</f>
        <v>0.17858486373617646</v>
      </c>
      <c r="AB230" s="22">
        <f ca="1">AA230*AB$684</f>
        <v>592144.12989328336</v>
      </c>
      <c r="AC230" s="2">
        <v>0</v>
      </c>
      <c r="AD230" s="21">
        <f ca="1">AC230/AC$654</f>
        <v>0</v>
      </c>
      <c r="AE230" s="22">
        <f ca="1">AD230*AE$684</f>
        <v>0</v>
      </c>
      <c r="AF230" s="2">
        <v>0</v>
      </c>
      <c r="AG230" s="21">
        <f ca="1">AF230/AF$654</f>
        <v>0</v>
      </c>
      <c r="AH230" s="22">
        <f ca="1">AG230*AH$684</f>
        <v>0</v>
      </c>
      <c r="AI230" s="2">
        <v>0</v>
      </c>
      <c r="AJ230" s="21">
        <f ca="1">AI230/AI$654</f>
        <v>0</v>
      </c>
      <c r="AK230" s="22">
        <f ca="1">AJ230*AK$684</f>
        <v>0</v>
      </c>
      <c r="AL230" s="2">
        <v>2179046.2962493603</v>
      </c>
    </row>
    <row r="231" spans="1:38" ht="12.75" x14ac:dyDescent="0.2">
      <c r="A231" s="8" t="s">
        <v>16</v>
      </c>
      <c r="B231" s="8" t="s">
        <v>17</v>
      </c>
      <c r="C231" s="8" t="s">
        <v>18</v>
      </c>
      <c r="D231" s="8" t="s">
        <v>87</v>
      </c>
      <c r="E231" s="8" t="s">
        <v>94</v>
      </c>
      <c r="F231" s="8" t="s">
        <v>24</v>
      </c>
      <c r="G231" s="8" t="s">
        <v>589</v>
      </c>
      <c r="H231" s="20">
        <v>300000</v>
      </c>
      <c r="I231" s="21">
        <f>H231/H$646</f>
        <v>3.6536754489567441E-3</v>
      </c>
      <c r="J231" s="22">
        <f>I231*J$676</f>
        <v>7861.3942429932886</v>
      </c>
      <c r="K231" s="2">
        <v>300000</v>
      </c>
      <c r="L231" s="21">
        <f ca="1">K231/K$646</f>
        <v>4.7501216804210272E-3</v>
      </c>
      <c r="M231" s="22">
        <f ca="1">L231*M$676</f>
        <v>18468.536270095301</v>
      </c>
      <c r="N231" s="2">
        <v>300000</v>
      </c>
      <c r="O231" s="21">
        <f ca="1">N231/N$646</f>
        <v>3.2003478788343218E-3</v>
      </c>
      <c r="P231" s="22">
        <f ca="1">O231*P$676</f>
        <v>54371.035428878175</v>
      </c>
      <c r="Q231" s="2">
        <v>300000</v>
      </c>
      <c r="R231" s="21">
        <f ca="1">Q231/Q$646</f>
        <v>2.6972947328466582E-3</v>
      </c>
      <c r="S231" s="22">
        <f ca="1">R231*S$676</f>
        <v>46878.58050601383</v>
      </c>
      <c r="T231" s="2">
        <v>300000</v>
      </c>
      <c r="U231" s="21">
        <f ca="1">T231/T$646</f>
        <v>3.5758091114889727E-3</v>
      </c>
      <c r="V231" s="22">
        <f ca="1">U231*V$676</f>
        <v>63452.117107833285</v>
      </c>
      <c r="W231" s="2">
        <v>300000</v>
      </c>
      <c r="X231" s="21">
        <f ca="1">W231/W$646</f>
        <v>3.4322251803275464E-3</v>
      </c>
      <c r="Y231" s="22">
        <f ca="1">X231*Y$676</f>
        <v>62122.329876991142</v>
      </c>
      <c r="Z231" s="2">
        <v>300000</v>
      </c>
      <c r="AA231" s="21">
        <f ca="1">Z231/Z$646</f>
        <v>2.584742938518732E-3</v>
      </c>
      <c r="AB231" s="22">
        <f ca="1">AA231*AB$676</f>
        <v>47625.231286927046</v>
      </c>
      <c r="AC231" s="2">
        <v>300000</v>
      </c>
      <c r="AD231" s="21">
        <f ca="1">AC231/AC$646</f>
        <v>2.8833454097373186E-3</v>
      </c>
      <c r="AE231" s="22">
        <f ca="1">AD231*AE$676</f>
        <v>54136.552531116169</v>
      </c>
      <c r="AF231" s="2">
        <v>300000</v>
      </c>
      <c r="AG231" s="21">
        <f ca="1">AF231/AF$646</f>
        <v>3.1869554133950903E-3</v>
      </c>
      <c r="AH231" s="22">
        <f ca="1">AG231*AH$676</f>
        <v>60914.080083420013</v>
      </c>
      <c r="AI231" s="2">
        <v>300000</v>
      </c>
      <c r="AJ231" s="21">
        <f ca="1">AI231/AI$646</f>
        <v>2.4281896951493282E-3</v>
      </c>
      <c r="AK231" s="22">
        <f ca="1">AJ231*AK$676</f>
        <v>47246.766564475016</v>
      </c>
      <c r="AL231" s="2">
        <v>3000000</v>
      </c>
    </row>
    <row r="232" spans="1:38" ht="12.75" x14ac:dyDescent="0.2">
      <c r="A232" s="8" t="s">
        <v>16</v>
      </c>
      <c r="B232" s="8" t="s">
        <v>17</v>
      </c>
      <c r="C232" s="8" t="s">
        <v>18</v>
      </c>
      <c r="D232" s="8" t="s">
        <v>87</v>
      </c>
      <c r="E232" s="8" t="s">
        <v>94</v>
      </c>
      <c r="F232" s="23" t="s">
        <v>37</v>
      </c>
      <c r="G232" s="8" t="s">
        <v>590</v>
      </c>
      <c r="H232" s="20">
        <v>0</v>
      </c>
      <c r="I232" s="21">
        <f>H232/H$649</f>
        <v>0</v>
      </c>
      <c r="J232" s="22">
        <f>I232*J$679</f>
        <v>0</v>
      </c>
      <c r="K232" s="2">
        <v>0</v>
      </c>
      <c r="L232" s="21">
        <f ca="1">K232/K$649</f>
        <v>0</v>
      </c>
      <c r="M232" s="22">
        <f ca="1">L232*M$679</f>
        <v>0</v>
      </c>
      <c r="N232" s="2">
        <v>0</v>
      </c>
      <c r="O232" s="21">
        <f ca="1">N232/N$649</f>
        <v>0</v>
      </c>
      <c r="P232" s="22">
        <f ca="1">O232*P$679</f>
        <v>0</v>
      </c>
      <c r="Q232" s="2">
        <v>0</v>
      </c>
      <c r="R232" s="21">
        <f ca="1">Q232/Q$649</f>
        <v>0</v>
      </c>
      <c r="S232" s="22">
        <f ca="1">R232*S$679</f>
        <v>0</v>
      </c>
      <c r="T232" s="2">
        <v>0</v>
      </c>
      <c r="U232" s="21">
        <f ca="1">T232/T$649</f>
        <v>0</v>
      </c>
      <c r="V232" s="22">
        <f ca="1">U232*V$679</f>
        <v>0</v>
      </c>
      <c r="W232" s="2">
        <v>0</v>
      </c>
      <c r="X232" s="21">
        <f ca="1">W232/W$649</f>
        <v>0</v>
      </c>
      <c r="Y232" s="22">
        <f ca="1">X232*Y$679</f>
        <v>0</v>
      </c>
      <c r="Z232" s="2">
        <v>0</v>
      </c>
      <c r="AA232" s="21">
        <f ca="1">Z232/Z$649</f>
        <v>0</v>
      </c>
      <c r="AB232" s="22">
        <f ca="1">AA232*AB$679</f>
        <v>0</v>
      </c>
      <c r="AC232" s="2">
        <v>406552.07989689254</v>
      </c>
      <c r="AD232" s="21">
        <f ca="1">AC232/AC$649</f>
        <v>4.1561296263160257E-3</v>
      </c>
      <c r="AE232" s="22">
        <f ca="1">AD232*AE$679</f>
        <v>1137760.5481301185</v>
      </c>
      <c r="AF232" s="2">
        <v>208534.82111231252</v>
      </c>
      <c r="AG232" s="21">
        <f ca="1">AF232/AF$649</f>
        <v>2.057281737412037E-3</v>
      </c>
      <c r="AH232" s="22">
        <f ca="1">AG232*AH$679</f>
        <v>573328.24127155694</v>
      </c>
      <c r="AI232" s="2">
        <v>426431.48315168719</v>
      </c>
      <c r="AJ232" s="21">
        <f ca="1">AI232/AI$649</f>
        <v>2.2261635702970264E-3</v>
      </c>
      <c r="AK232" s="22">
        <f ca="1">AJ232*AK$679</f>
        <v>631559.70564914052</v>
      </c>
      <c r="AL232" s="2">
        <v>1041518.3841608922</v>
      </c>
    </row>
    <row r="233" spans="1:38" ht="12.75" x14ac:dyDescent="0.2">
      <c r="A233" s="8" t="s">
        <v>16</v>
      </c>
      <c r="B233" s="8" t="s">
        <v>17</v>
      </c>
      <c r="C233" s="8" t="s">
        <v>18</v>
      </c>
      <c r="D233" s="8" t="s">
        <v>87</v>
      </c>
      <c r="E233" s="8" t="s">
        <v>94</v>
      </c>
      <c r="F233" s="8" t="s">
        <v>28</v>
      </c>
      <c r="G233" s="8" t="s">
        <v>591</v>
      </c>
      <c r="H233" s="20">
        <v>0</v>
      </c>
      <c r="I233" s="21">
        <f>H233/H$669</f>
        <v>0</v>
      </c>
      <c r="J233" s="22">
        <f>I233*J$699</f>
        <v>0</v>
      </c>
      <c r="K233" s="2">
        <v>0</v>
      </c>
      <c r="L233" s="21">
        <f ca="1">K233/K$669</f>
        <v>0</v>
      </c>
      <c r="M233" s="22">
        <f ca="1">L233*M$699</f>
        <v>0</v>
      </c>
      <c r="N233" s="2">
        <v>0</v>
      </c>
      <c r="O233" s="21">
        <f ca="1">N233/N$669</f>
        <v>0</v>
      </c>
      <c r="P233" s="22">
        <f ca="1">O233*P$699</f>
        <v>0</v>
      </c>
      <c r="Q233" s="2">
        <v>0</v>
      </c>
      <c r="R233" s="21">
        <f ca="1">Q233/Q$669</f>
        <v>0</v>
      </c>
      <c r="S233" s="22">
        <f ca="1">R233*S$699</f>
        <v>0</v>
      </c>
      <c r="T233" s="2">
        <v>0</v>
      </c>
      <c r="U233" s="21">
        <f ca="1">T233/T$669</f>
        <v>0</v>
      </c>
      <c r="V233" s="22">
        <f ca="1">U233*V$699</f>
        <v>0</v>
      </c>
      <c r="W233" s="2">
        <v>0</v>
      </c>
      <c r="X233" s="21">
        <f ca="1">W233/W$669</f>
        <v>0</v>
      </c>
      <c r="Y233" s="22">
        <f ca="1">X233*Y$699</f>
        <v>0</v>
      </c>
      <c r="Z233" s="2">
        <v>0</v>
      </c>
      <c r="AA233" s="21">
        <f ca="1">Z233/Z$669</f>
        <v>0</v>
      </c>
      <c r="AB233" s="22">
        <f ca="1">AA233*AB$699</f>
        <v>0</v>
      </c>
      <c r="AC233" s="2">
        <v>0</v>
      </c>
      <c r="AD233" s="21">
        <f ca="1">AC233/AC$669</f>
        <v>0</v>
      </c>
      <c r="AE233" s="22">
        <f ca="1">AD233*AE$699</f>
        <v>0</v>
      </c>
      <c r="AF233" s="2">
        <v>0</v>
      </c>
      <c r="AG233" s="21">
        <f ca="1">AF233/AF$669</f>
        <v>0</v>
      </c>
      <c r="AH233" s="22">
        <f ca="1">AG233*AH$699</f>
        <v>0</v>
      </c>
      <c r="AI233" s="2">
        <v>0</v>
      </c>
      <c r="AJ233" s="21">
        <f ca="1">AI233/AI$669</f>
        <v>0</v>
      </c>
      <c r="AK233" s="22">
        <f ca="1">AJ233*AK$699</f>
        <v>0</v>
      </c>
      <c r="AL233" s="2">
        <v>0</v>
      </c>
    </row>
    <row r="234" spans="1:38" ht="12.75" x14ac:dyDescent="0.2">
      <c r="A234" s="8" t="s">
        <v>16</v>
      </c>
      <c r="B234" s="8" t="s">
        <v>17</v>
      </c>
      <c r="C234" s="8" t="s">
        <v>18</v>
      </c>
      <c r="D234" s="8" t="s">
        <v>87</v>
      </c>
      <c r="E234" s="8" t="s">
        <v>95</v>
      </c>
      <c r="F234" s="23" t="s">
        <v>37</v>
      </c>
      <c r="G234" s="8" t="s">
        <v>592</v>
      </c>
      <c r="H234" s="20">
        <v>690636.23747216049</v>
      </c>
      <c r="I234" s="21">
        <f>H234/H$649</f>
        <v>9.7476756703213339E-3</v>
      </c>
      <c r="J234" s="22">
        <f>I234*J$679</f>
        <v>469384.76862454804</v>
      </c>
      <c r="K234" s="2">
        <v>705576.84171191126</v>
      </c>
      <c r="L234" s="21">
        <f ca="1">K234/K$649</f>
        <v>8.4119991720071775E-3</v>
      </c>
      <c r="M234" s="22">
        <f ca="1">L234*M$679</f>
        <v>768287.71146146394</v>
      </c>
      <c r="N234" s="2">
        <v>3707181.9183000159</v>
      </c>
      <c r="O234" s="21">
        <f ca="1">N234/N$649</f>
        <v>4.1532890348216445E-2</v>
      </c>
      <c r="P234" s="22">
        <f ca="1">O234*P$679</f>
        <v>10287987.59804908</v>
      </c>
      <c r="Q234" s="2">
        <v>760961.01128436497</v>
      </c>
      <c r="R234" s="21">
        <f ca="1">Q234/Q$649</f>
        <v>9.6601651600502214E-3</v>
      </c>
      <c r="S234" s="22">
        <f ca="1">R234*S$679</f>
        <v>2447926.9965185826</v>
      </c>
      <c r="T234" s="2">
        <v>772940.00097472349</v>
      </c>
      <c r="U234" s="21">
        <f ca="1">T234/T$649</f>
        <v>9.9459657074377553E-3</v>
      </c>
      <c r="V234" s="22">
        <f ca="1">U234*V$679</f>
        <v>2573277.4241018989</v>
      </c>
      <c r="W234" s="2">
        <v>2696893.1047429317</v>
      </c>
      <c r="X234" s="21">
        <f ca="1">W234/W$649</f>
        <v>3.0324577536038677E-2</v>
      </c>
      <c r="Y234" s="22">
        <f ca="1">X234*Y$679</f>
        <v>8002664.0071387198</v>
      </c>
      <c r="Z234" s="2">
        <v>1868031.5554621844</v>
      </c>
      <c r="AA234" s="21">
        <f ca="1">Z234/Z$649</f>
        <v>1.9340899044218211E-2</v>
      </c>
      <c r="AB234" s="22">
        <f ca="1">AA234*AB$679</f>
        <v>5195941.5876997439</v>
      </c>
      <c r="AC234" s="2">
        <v>3711602.3400772978</v>
      </c>
      <c r="AD234" s="21">
        <f ca="1">AC234/AC$649</f>
        <v>3.7943233375196055E-2</v>
      </c>
      <c r="AE234" s="22">
        <f ca="1">AD234*AE$679</f>
        <v>10387143.300209824</v>
      </c>
      <c r="AF234" s="2">
        <v>1187330.0966241676</v>
      </c>
      <c r="AG234" s="21">
        <f ca="1">AF234/AF$649</f>
        <v>1.1713499505912238E-2</v>
      </c>
      <c r="AH234" s="22">
        <f ca="1">AG234*AH$679</f>
        <v>3264346.3210381293</v>
      </c>
      <c r="AI234" s="2">
        <v>2964288.4379258291</v>
      </c>
      <c r="AJ234" s="21">
        <f ca="1">AI234/AI$649</f>
        <v>1.5474914946689835E-2</v>
      </c>
      <c r="AK234" s="22">
        <f ca="1">AJ234*AK$679</f>
        <v>4390213.2166204248</v>
      </c>
      <c r="AL234" s="2">
        <v>19065441.544575587</v>
      </c>
    </row>
    <row r="235" spans="1:38" ht="12.75" x14ac:dyDescent="0.2">
      <c r="A235" s="8" t="s">
        <v>16</v>
      </c>
      <c r="B235" s="8" t="s">
        <v>17</v>
      </c>
      <c r="C235" s="8" t="s">
        <v>18</v>
      </c>
      <c r="D235" s="8" t="s">
        <v>87</v>
      </c>
      <c r="E235" s="8" t="s">
        <v>95</v>
      </c>
      <c r="F235" s="8" t="s">
        <v>26</v>
      </c>
      <c r="G235" s="8" t="s">
        <v>593</v>
      </c>
      <c r="H235" s="20">
        <v>0</v>
      </c>
      <c r="I235" s="21">
        <f>H235/H$655</f>
        <v>0</v>
      </c>
      <c r="J235" s="22">
        <f>I235*J$685</f>
        <v>0</v>
      </c>
      <c r="K235" s="2">
        <v>977916.31426052749</v>
      </c>
      <c r="L235" s="21">
        <f ca="1">K235/K$655</f>
        <v>2.4631985345770362E-2</v>
      </c>
      <c r="M235" s="22">
        <f ca="1">L235*M$685</f>
        <v>68156.949771600048</v>
      </c>
      <c r="N235" s="2">
        <v>1042524.9528266029</v>
      </c>
      <c r="O235" s="21">
        <f ca="1">N235/N$655</f>
        <v>9.0128147481911749E-3</v>
      </c>
      <c r="P235" s="22">
        <f ca="1">O235*P$685</f>
        <v>25586.950798338665</v>
      </c>
      <c r="Q235" s="2">
        <v>664831.89606907871</v>
      </c>
      <c r="R235" s="21">
        <f ca="1">Q235/Q$655</f>
        <v>4.7754933540369287E-3</v>
      </c>
      <c r="S235" s="22">
        <f ca="1">R235*S$685</f>
        <v>13869.21778655398</v>
      </c>
      <c r="T235" s="2">
        <v>222225.09142179793</v>
      </c>
      <c r="U235" s="21">
        <f ca="1">T235/T$655</f>
        <v>2.2370152136824951E-3</v>
      </c>
      <c r="V235" s="22">
        <f ca="1">U235*V$685</f>
        <v>6633.28110886987</v>
      </c>
      <c r="W235" s="2">
        <v>260493.18057342467</v>
      </c>
      <c r="X235" s="21">
        <f ca="1">W235/W$655</f>
        <v>2.4298665520828002E-3</v>
      </c>
      <c r="Y235" s="22">
        <f ca="1">X235*Y$685</f>
        <v>7349.2337327536034</v>
      </c>
      <c r="Z235" s="2">
        <v>267090.18291499285</v>
      </c>
      <c r="AA235" s="21">
        <f ca="1">Z235/Z$655</f>
        <v>2.3154644294919387E-3</v>
      </c>
      <c r="AB235" s="22">
        <f ca="1">AA235*AB$685</f>
        <v>7129.2776531190757</v>
      </c>
      <c r="AC235" s="2">
        <v>410317.28224230779</v>
      </c>
      <c r="AD235" s="21">
        <f ca="1">AC235/AC$655</f>
        <v>3.6420820936859319E-3</v>
      </c>
      <c r="AE235" s="22">
        <f ca="1">AD235*AE$685</f>
        <v>11426.976371612905</v>
      </c>
      <c r="AF235" s="2">
        <v>0</v>
      </c>
      <c r="AG235" s="21">
        <f ca="1">AF235/AF$655</f>
        <v>0</v>
      </c>
      <c r="AH235" s="22">
        <f ca="1">AG235*AH$685</f>
        <v>0</v>
      </c>
      <c r="AI235" s="2">
        <v>0</v>
      </c>
      <c r="AJ235" s="21">
        <f ca="1">AI235/AI$655</f>
        <v>0</v>
      </c>
      <c r="AK235" s="22">
        <f ca="1">AJ235*AK$685</f>
        <v>0</v>
      </c>
      <c r="AL235" s="2">
        <v>3845398.9003087324</v>
      </c>
    </row>
    <row r="236" spans="1:38" ht="12.75" x14ac:dyDescent="0.2">
      <c r="A236" s="8" t="s">
        <v>16</v>
      </c>
      <c r="B236" s="8" t="s">
        <v>17</v>
      </c>
      <c r="C236" s="8" t="s">
        <v>18</v>
      </c>
      <c r="D236" s="8" t="s">
        <v>87</v>
      </c>
      <c r="E236" s="8" t="s">
        <v>95</v>
      </c>
      <c r="F236" s="8" t="s">
        <v>38</v>
      </c>
      <c r="G236" s="8" t="s">
        <v>594</v>
      </c>
      <c r="H236" s="20">
        <v>0</v>
      </c>
      <c r="I236" s="21">
        <f>H236/H$656</f>
        <v>0</v>
      </c>
      <c r="J236" s="22">
        <f>I236*J$686</f>
        <v>0</v>
      </c>
      <c r="K236" s="2">
        <v>0</v>
      </c>
      <c r="L236" s="21">
        <f ca="1">K236/K$656</f>
        <v>0</v>
      </c>
      <c r="M236" s="22">
        <f ca="1">L236*M$686</f>
        <v>0</v>
      </c>
      <c r="N236" s="2">
        <v>0</v>
      </c>
      <c r="O236" s="21">
        <f ca="1">N236/N$656</f>
        <v>0</v>
      </c>
      <c r="P236" s="22">
        <f ca="1">O236*P$686</f>
        <v>0</v>
      </c>
      <c r="Q236" s="2">
        <v>0</v>
      </c>
      <c r="R236" s="21">
        <f ca="1">Q236/Q$656</f>
        <v>0</v>
      </c>
      <c r="S236" s="22">
        <f ca="1">R236*S$686</f>
        <v>0</v>
      </c>
      <c r="T236" s="2">
        <v>0</v>
      </c>
      <c r="U236" s="21">
        <f ca="1">T236/T$656</f>
        <v>0</v>
      </c>
      <c r="V236" s="22">
        <f ca="1">U236*V$686</f>
        <v>0</v>
      </c>
      <c r="W236" s="2">
        <v>0</v>
      </c>
      <c r="X236" s="21">
        <f ca="1">W236/W$656</f>
        <v>0</v>
      </c>
      <c r="Y236" s="22">
        <f ca="1">X236*Y$686</f>
        <v>0</v>
      </c>
      <c r="Z236" s="2">
        <v>0</v>
      </c>
      <c r="AA236" s="21">
        <f ca="1">Z236/Z$656</f>
        <v>0</v>
      </c>
      <c r="AB236" s="22">
        <f ca="1">AA236*AB$686</f>
        <v>0</v>
      </c>
      <c r="AC236" s="2">
        <v>0</v>
      </c>
      <c r="AD236" s="21">
        <f ca="1">AC236/AC$656</f>
        <v>0</v>
      </c>
      <c r="AE236" s="22">
        <f ca="1">AD236*AE$686</f>
        <v>0</v>
      </c>
      <c r="AF236" s="2">
        <v>0</v>
      </c>
      <c r="AG236" s="21">
        <f ca="1">AF236/AF$656</f>
        <v>0</v>
      </c>
      <c r="AH236" s="22">
        <f ca="1">AG236*AH$686</f>
        <v>0</v>
      </c>
      <c r="AI236" s="2">
        <v>0</v>
      </c>
      <c r="AJ236" s="21">
        <f ca="1">AI236/AI$656</f>
        <v>0</v>
      </c>
      <c r="AK236" s="22">
        <f ca="1">AJ236*AK$686</f>
        <v>0</v>
      </c>
      <c r="AL236" s="2">
        <v>0</v>
      </c>
    </row>
    <row r="237" spans="1:38" ht="12.75" x14ac:dyDescent="0.2">
      <c r="A237" s="8" t="s">
        <v>16</v>
      </c>
      <c r="B237" s="8" t="s">
        <v>17</v>
      </c>
      <c r="C237" s="8" t="s">
        <v>18</v>
      </c>
      <c r="D237" s="8" t="s">
        <v>87</v>
      </c>
      <c r="E237" s="8" t="s">
        <v>95</v>
      </c>
      <c r="F237" s="8" t="s">
        <v>28</v>
      </c>
      <c r="G237" s="8" t="s">
        <v>595</v>
      </c>
      <c r="H237" s="20">
        <v>0</v>
      </c>
      <c r="I237" s="21">
        <f>H237/H$669</f>
        <v>0</v>
      </c>
      <c r="J237" s="22">
        <f>I237*J$699</f>
        <v>0</v>
      </c>
      <c r="K237" s="2">
        <v>0</v>
      </c>
      <c r="L237" s="21">
        <f ca="1">K237/K$669</f>
        <v>0</v>
      </c>
      <c r="M237" s="22">
        <f ca="1">L237*M$699</f>
        <v>0</v>
      </c>
      <c r="N237" s="2">
        <v>0</v>
      </c>
      <c r="O237" s="21">
        <f ca="1">N237/N$669</f>
        <v>0</v>
      </c>
      <c r="P237" s="22">
        <f ca="1">O237*P$699</f>
        <v>0</v>
      </c>
      <c r="Q237" s="2">
        <v>0</v>
      </c>
      <c r="R237" s="21">
        <f ca="1">Q237/Q$669</f>
        <v>0</v>
      </c>
      <c r="S237" s="22">
        <f ca="1">R237*S$699</f>
        <v>0</v>
      </c>
      <c r="T237" s="2">
        <v>0</v>
      </c>
      <c r="U237" s="21">
        <f ca="1">T237/T$669</f>
        <v>0</v>
      </c>
      <c r="V237" s="22">
        <f ca="1">U237*V$699</f>
        <v>0</v>
      </c>
      <c r="W237" s="2">
        <v>0</v>
      </c>
      <c r="X237" s="21">
        <f ca="1">W237/W$669</f>
        <v>0</v>
      </c>
      <c r="Y237" s="22">
        <f ca="1">X237*Y$699</f>
        <v>0</v>
      </c>
      <c r="Z237" s="2">
        <v>0</v>
      </c>
      <c r="AA237" s="21">
        <f ca="1">Z237/Z$669</f>
        <v>0</v>
      </c>
      <c r="AB237" s="22">
        <f ca="1">AA237*AB$699</f>
        <v>0</v>
      </c>
      <c r="AC237" s="2">
        <v>0</v>
      </c>
      <c r="AD237" s="21">
        <f ca="1">AC237/AC$669</f>
        <v>0</v>
      </c>
      <c r="AE237" s="22">
        <f ca="1">AD237*AE$699</f>
        <v>0</v>
      </c>
      <c r="AF237" s="2">
        <v>0</v>
      </c>
      <c r="AG237" s="21">
        <f ca="1">AF237/AF$669</f>
        <v>0</v>
      </c>
      <c r="AH237" s="22">
        <f ca="1">AG237*AH$699</f>
        <v>0</v>
      </c>
      <c r="AI237" s="2">
        <v>0</v>
      </c>
      <c r="AJ237" s="21">
        <f ca="1">AI237/AI$669</f>
        <v>0</v>
      </c>
      <c r="AK237" s="22">
        <f ca="1">AJ237*AK$699</f>
        <v>0</v>
      </c>
      <c r="AL237" s="2">
        <v>0</v>
      </c>
    </row>
    <row r="238" spans="1:38" ht="12.75" x14ac:dyDescent="0.2">
      <c r="A238" s="8" t="s">
        <v>16</v>
      </c>
      <c r="B238" s="8" t="s">
        <v>17</v>
      </c>
      <c r="C238" s="8" t="s">
        <v>18</v>
      </c>
      <c r="D238" s="8" t="s">
        <v>87</v>
      </c>
      <c r="E238" s="8" t="s">
        <v>95</v>
      </c>
      <c r="F238" s="8" t="s">
        <v>55</v>
      </c>
      <c r="G238" s="8" t="s">
        <v>596</v>
      </c>
      <c r="H238" s="20">
        <v>0</v>
      </c>
      <c r="I238" s="21">
        <f>H238/H$654</f>
        <v>0</v>
      </c>
      <c r="J238" s="22">
        <f>I238*J$684</f>
        <v>0</v>
      </c>
      <c r="K238" s="2">
        <v>545338.36270630895</v>
      </c>
      <c r="L238" s="21">
        <f ca="1">K238/K$654</f>
        <v>0.15067540864619866</v>
      </c>
      <c r="M238" s="22">
        <f ca="1">L238*M$684</f>
        <v>448981.52795608225</v>
      </c>
      <c r="N238" s="2">
        <v>430267.04444378457</v>
      </c>
      <c r="O238" s="21">
        <f ca="1">N238/N$654</f>
        <v>0.15744654809055972</v>
      </c>
      <c r="P238" s="22">
        <f ca="1">O238*P$684</f>
        <v>481356.23335804109</v>
      </c>
      <c r="Q238" s="2">
        <v>0</v>
      </c>
      <c r="R238" s="21">
        <f ca="1">Q238/Q$654</f>
        <v>0</v>
      </c>
      <c r="S238" s="22">
        <f ca="1">R238*S$684</f>
        <v>0</v>
      </c>
      <c r="T238" s="2">
        <v>0</v>
      </c>
      <c r="U238" s="21">
        <f ca="1">T238/T$654</f>
        <v>0</v>
      </c>
      <c r="V238" s="22">
        <f ca="1">U238*V$684</f>
        <v>0</v>
      </c>
      <c r="W238" s="2">
        <v>0</v>
      </c>
      <c r="X238" s="21">
        <f ca="1">W238/W$654</f>
        <v>0</v>
      </c>
      <c r="Y238" s="22">
        <f ca="1">X238*Y$684</f>
        <v>0</v>
      </c>
      <c r="Z238" s="2">
        <v>0</v>
      </c>
      <c r="AA238" s="21">
        <f ca="1">Z238/Z$654</f>
        <v>0</v>
      </c>
      <c r="AB238" s="22">
        <f ca="1">AA238*AB$684</f>
        <v>0</v>
      </c>
      <c r="AC238" s="2">
        <v>0</v>
      </c>
      <c r="AD238" s="21">
        <f ca="1">AC238/AC$654</f>
        <v>0</v>
      </c>
      <c r="AE238" s="22">
        <f ca="1">AD238*AE$684</f>
        <v>0</v>
      </c>
      <c r="AF238" s="2">
        <v>0</v>
      </c>
      <c r="AG238" s="21">
        <f ca="1">AF238/AF$654</f>
        <v>0</v>
      </c>
      <c r="AH238" s="22">
        <f ca="1">AG238*AH$684</f>
        <v>0</v>
      </c>
      <c r="AI238" s="2">
        <v>0</v>
      </c>
      <c r="AJ238" s="21">
        <f ca="1">AI238/AI$654</f>
        <v>0</v>
      </c>
      <c r="AK238" s="22">
        <f ca="1">AJ238*AK$684</f>
        <v>0</v>
      </c>
      <c r="AL238" s="2">
        <v>975605.40715009347</v>
      </c>
    </row>
    <row r="239" spans="1:38" ht="12.75" x14ac:dyDescent="0.2">
      <c r="A239" s="8" t="s">
        <v>16</v>
      </c>
      <c r="B239" s="8" t="s">
        <v>17</v>
      </c>
      <c r="C239" s="8" t="s">
        <v>18</v>
      </c>
      <c r="D239" s="8" t="s">
        <v>96</v>
      </c>
      <c r="E239" s="8" t="s">
        <v>97</v>
      </c>
      <c r="F239" s="23" t="s">
        <v>37</v>
      </c>
      <c r="G239" s="8" t="s">
        <v>597</v>
      </c>
      <c r="H239" s="20">
        <v>1270893.9015147611</v>
      </c>
      <c r="I239" s="21">
        <f>H239/H$649</f>
        <v>1.793746243130569E-2</v>
      </c>
      <c r="J239" s="22">
        <f>I239*J$679</f>
        <v>863751.72274811554</v>
      </c>
      <c r="K239" s="2">
        <v>1299105.4432895347</v>
      </c>
      <c r="L239" s="21">
        <f ca="1">K239/K$649</f>
        <v>1.5488141428773737E-2</v>
      </c>
      <c r="M239" s="22">
        <f ca="1">L239*M$679</f>
        <v>1414568.4622392531</v>
      </c>
      <c r="N239" s="2">
        <v>1353847.1518207362</v>
      </c>
      <c r="O239" s="21">
        <f ca="1">N239/N$649</f>
        <v>1.5167635833366527E-2</v>
      </c>
      <c r="P239" s="22">
        <f ca="1">O239*P$679</f>
        <v>3757129.543287389</v>
      </c>
      <c r="Q239" s="2">
        <v>1401050.7807431107</v>
      </c>
      <c r="R239" s="21">
        <f ca="1">Q239/Q$649</f>
        <v>1.7785907213238378E-2</v>
      </c>
      <c r="S239" s="22">
        <f ca="1">R239*S$679</f>
        <v>4507024.6422820445</v>
      </c>
      <c r="T239" s="2">
        <v>1423438.5172329524</v>
      </c>
      <c r="U239" s="21">
        <f ca="1">T239/T$649</f>
        <v>1.8316390225879855E-2</v>
      </c>
      <c r="V239" s="22">
        <f ca="1">U239*V$679</f>
        <v>4738921.7744889632</v>
      </c>
      <c r="W239" s="2">
        <v>0</v>
      </c>
      <c r="X239" s="21">
        <f ca="1">W239/W$649</f>
        <v>0</v>
      </c>
      <c r="Y239" s="22">
        <f ca="1">X239*Y$679</f>
        <v>0</v>
      </c>
      <c r="Z239" s="2">
        <v>1468614.0417574409</v>
      </c>
      <c r="AA239" s="21">
        <f ca="1">Z239/Z$649</f>
        <v>1.5205479711248346E-2</v>
      </c>
      <c r="AB239" s="22">
        <f ca="1">AA239*AB$679</f>
        <v>4084959.2468256201</v>
      </c>
      <c r="AC239" s="2">
        <v>1484498.3547359314</v>
      </c>
      <c r="AD239" s="21">
        <f ca="1">AC239/AC$649</f>
        <v>1.5175835759837074E-2</v>
      </c>
      <c r="AE239" s="22">
        <f ca="1">AD239*AE$679</f>
        <v>4154458.297719121</v>
      </c>
      <c r="AF239" s="2">
        <v>1501578.8882032626</v>
      </c>
      <c r="AG239" s="21">
        <f ca="1">AF239/AF$649</f>
        <v>1.4813693020218814E-2</v>
      </c>
      <c r="AH239" s="22">
        <f ca="1">AG239*AH$679</f>
        <v>4128315.7340922682</v>
      </c>
      <c r="AI239" s="2">
        <v>4691025.365758704</v>
      </c>
      <c r="AJ239" s="21">
        <f ca="1">AI239/AI$649</f>
        <v>2.4489256045095067E-2</v>
      </c>
      <c r="AK239" s="22">
        <f ca="1">AJ239*AK$679</f>
        <v>6947570.0464108596</v>
      </c>
      <c r="AL239" s="2">
        <v>15894052.445056437</v>
      </c>
    </row>
    <row r="240" spans="1:38" ht="12.75" x14ac:dyDescent="0.2">
      <c r="A240" s="8" t="s">
        <v>16</v>
      </c>
      <c r="B240" s="8" t="s">
        <v>17</v>
      </c>
      <c r="C240" s="8" t="s">
        <v>18</v>
      </c>
      <c r="D240" s="8" t="s">
        <v>96</v>
      </c>
      <c r="E240" s="8" t="s">
        <v>97</v>
      </c>
      <c r="F240" s="8" t="s">
        <v>28</v>
      </c>
      <c r="G240" s="8" t="s">
        <v>598</v>
      </c>
      <c r="H240" s="20">
        <v>0</v>
      </c>
      <c r="I240" s="21">
        <f>H240/H$669</f>
        <v>0</v>
      </c>
      <c r="J240" s="22">
        <f>I240*J$699</f>
        <v>0</v>
      </c>
      <c r="K240" s="2">
        <v>0</v>
      </c>
      <c r="L240" s="21">
        <f ca="1">K240/K$669</f>
        <v>0</v>
      </c>
      <c r="M240" s="22">
        <f ca="1">L240*M$699</f>
        <v>0</v>
      </c>
      <c r="N240" s="2">
        <v>0</v>
      </c>
      <c r="O240" s="21">
        <f ca="1">N240/N$669</f>
        <v>0</v>
      </c>
      <c r="P240" s="22">
        <f ca="1">O240*P$699</f>
        <v>0</v>
      </c>
      <c r="Q240" s="2">
        <v>0</v>
      </c>
      <c r="R240" s="21">
        <f ca="1">Q240/Q$669</f>
        <v>0</v>
      </c>
      <c r="S240" s="22">
        <f ca="1">R240*S$699</f>
        <v>0</v>
      </c>
      <c r="T240" s="2">
        <v>0</v>
      </c>
      <c r="U240" s="21">
        <f ca="1">T240/T$669</f>
        <v>0</v>
      </c>
      <c r="V240" s="22">
        <f ca="1">U240*V$699</f>
        <v>0</v>
      </c>
      <c r="W240" s="2">
        <v>0</v>
      </c>
      <c r="X240" s="21">
        <f ca="1">W240/W$669</f>
        <v>0</v>
      </c>
      <c r="Y240" s="22">
        <f ca="1">X240*Y$699</f>
        <v>0</v>
      </c>
      <c r="Z240" s="2">
        <v>0</v>
      </c>
      <c r="AA240" s="21">
        <f ca="1">Z240/Z$669</f>
        <v>0</v>
      </c>
      <c r="AB240" s="22">
        <f ca="1">AA240*AB$699</f>
        <v>0</v>
      </c>
      <c r="AC240" s="2">
        <v>0</v>
      </c>
      <c r="AD240" s="21">
        <f ca="1">AC240/AC$669</f>
        <v>0</v>
      </c>
      <c r="AE240" s="22">
        <f ca="1">AD240*AE$699</f>
        <v>0</v>
      </c>
      <c r="AF240" s="2">
        <v>0</v>
      </c>
      <c r="AG240" s="21">
        <f ca="1">AF240/AF$669</f>
        <v>0</v>
      </c>
      <c r="AH240" s="22">
        <f ca="1">AG240*AH$699</f>
        <v>0</v>
      </c>
      <c r="AI240" s="2">
        <v>0</v>
      </c>
      <c r="AJ240" s="21">
        <f ca="1">AI240/AI$669</f>
        <v>0</v>
      </c>
      <c r="AK240" s="22">
        <f ca="1">AJ240*AK$699</f>
        <v>0</v>
      </c>
      <c r="AL240" s="2">
        <v>0</v>
      </c>
    </row>
    <row r="241" spans="1:38" ht="12.75" x14ac:dyDescent="0.2">
      <c r="A241" s="8" t="s">
        <v>16</v>
      </c>
      <c r="B241" s="8" t="s">
        <v>17</v>
      </c>
      <c r="C241" s="8" t="s">
        <v>18</v>
      </c>
      <c r="D241" s="8" t="s">
        <v>96</v>
      </c>
      <c r="E241" s="8" t="s">
        <v>98</v>
      </c>
      <c r="F241" s="8" t="s">
        <v>21</v>
      </c>
      <c r="G241" s="8" t="s">
        <v>599</v>
      </c>
      <c r="H241" s="20">
        <v>284600</v>
      </c>
      <c r="I241" s="21">
        <f>H241/H$645</f>
        <v>1.8836241455421881E-2</v>
      </c>
      <c r="J241" s="22">
        <f>I241*J$675</f>
        <v>2659.6772935055697</v>
      </c>
      <c r="K241" s="2">
        <v>284600</v>
      </c>
      <c r="L241" s="21">
        <f ca="1">K241/K$645</f>
        <v>1.860260226685272E-2</v>
      </c>
      <c r="M241" s="22">
        <f ca="1">L241*M$675</f>
        <v>8026.2787740562744</v>
      </c>
      <c r="N241" s="2">
        <v>284600</v>
      </c>
      <c r="O241" s="21">
        <f ca="1">N241/N$645</f>
        <v>1.3100526841079695E-2</v>
      </c>
      <c r="P241" s="22">
        <f ca="1">O241*P$675</f>
        <v>5799.3144969344039</v>
      </c>
      <c r="Q241" s="2">
        <v>284600</v>
      </c>
      <c r="R241" s="21">
        <f ca="1">Q241/Q$645</f>
        <v>1.1272531661230404E-2</v>
      </c>
      <c r="S241" s="22">
        <f ca="1">R241*S$675</f>
        <v>5104.8736154655535</v>
      </c>
      <c r="T241" s="2">
        <v>284600</v>
      </c>
      <c r="U241" s="21">
        <f ca="1">T241/T$645</f>
        <v>1.378798833879832E-2</v>
      </c>
      <c r="V241" s="22">
        <f ca="1">U241*V$675</f>
        <v>6375.1466530148437</v>
      </c>
      <c r="W241" s="2">
        <v>284600</v>
      </c>
      <c r="X241" s="21">
        <f ca="1">W241/W$645</f>
        <v>1.3768499448565934E-2</v>
      </c>
      <c r="Y241" s="22">
        <f ca="1">X241*Y$675</f>
        <v>6493.4584044343201</v>
      </c>
      <c r="Z241" s="2">
        <v>284600</v>
      </c>
      <c r="AA241" s="21">
        <f ca="1">Z241/Z$645</f>
        <v>1.3833521791047521E-2</v>
      </c>
      <c r="AB241" s="22">
        <f ca="1">AA241*AB$675</f>
        <v>6641.5581963648401</v>
      </c>
      <c r="AC241" s="2">
        <v>284600</v>
      </c>
      <c r="AD241" s="21">
        <f ca="1">AC241/AC$645</f>
        <v>1.1983991973894147E-2</v>
      </c>
      <c r="AE241" s="22">
        <f ca="1">AD241*AE$675</f>
        <v>5862.9058634833227</v>
      </c>
      <c r="AF241" s="2">
        <v>284600</v>
      </c>
      <c r="AG241" s="21">
        <f ca="1">AF241/AF$645</f>
        <v>1.3047521819126356E-2</v>
      </c>
      <c r="AH241" s="22">
        <f ca="1">AG241*AH$675</f>
        <v>6498.1123521215759</v>
      </c>
      <c r="AI241" s="2">
        <v>284600</v>
      </c>
      <c r="AJ241" s="21">
        <f ca="1">AI241/AI$645</f>
        <v>1.1162421914646956E-2</v>
      </c>
      <c r="AK241" s="22">
        <f ca="1">AJ241*AK$675</f>
        <v>5659.3349623165859</v>
      </c>
      <c r="AL241" s="2">
        <v>2846000</v>
      </c>
    </row>
    <row r="242" spans="1:38" ht="12.75" x14ac:dyDescent="0.2">
      <c r="A242" s="8" t="s">
        <v>16</v>
      </c>
      <c r="B242" s="8" t="s">
        <v>17</v>
      </c>
      <c r="C242" s="8" t="s">
        <v>18</v>
      </c>
      <c r="D242" s="8" t="s">
        <v>96</v>
      </c>
      <c r="E242" s="8" t="s">
        <v>98</v>
      </c>
      <c r="F242" s="8" t="s">
        <v>24</v>
      </c>
      <c r="G242" s="8" t="s">
        <v>600</v>
      </c>
      <c r="H242" s="20">
        <v>25894.730281117831</v>
      </c>
      <c r="I242" s="21">
        <f>H242/H$646</f>
        <v>3.1536980095158996E-4</v>
      </c>
      <c r="J242" s="22">
        <f>I242*J$676</f>
        <v>678.56227851947904</v>
      </c>
      <c r="K242" s="2">
        <v>53544.709857016067</v>
      </c>
      <c r="L242" s="21">
        <f ca="1">K242/K$646</f>
        <v>8.4781295721221832E-4</v>
      </c>
      <c r="M242" s="22">
        <f ca="1">L242*M$676</f>
        <v>3296.3080535534355</v>
      </c>
      <c r="N242" s="2">
        <v>42933.659362169419</v>
      </c>
      <c r="O242" s="21">
        <f ca="1">N242/N$646</f>
        <v>4.5800881890104738E-4</v>
      </c>
      <c r="P242" s="22">
        <f ca="1">O242*P$676</f>
        <v>7781.158380906335</v>
      </c>
      <c r="Q242" s="2">
        <v>75248.88408247249</v>
      </c>
      <c r="R242" s="21">
        <f ca="1">Q242/Q$646</f>
        <v>6.7656139562747263E-4</v>
      </c>
      <c r="S242" s="22">
        <f ca="1">R242*S$676</f>
        <v>11758.536234826299</v>
      </c>
      <c r="T242" s="2">
        <v>0</v>
      </c>
      <c r="U242" s="21">
        <f ca="1">T242/T$646</f>
        <v>0</v>
      </c>
      <c r="V242" s="22">
        <f ca="1">U242*V$676</f>
        <v>0</v>
      </c>
      <c r="W242" s="2">
        <v>134516.97029611273</v>
      </c>
      <c r="X242" s="21">
        <f ca="1">W242/W$646</f>
        <v>1.5389751087723025E-3</v>
      </c>
      <c r="Y242" s="22">
        <f ca="1">X242*Y$676</f>
        <v>27855.025342628451</v>
      </c>
      <c r="Z242" s="2">
        <v>152785.71000787886</v>
      </c>
      <c r="AA242" s="21">
        <f ca="1">Z242/Z$646</f>
        <v>1.3163726168314521E-3</v>
      </c>
      <c r="AB242" s="22">
        <f ca="1">AA242*AB$676</f>
        <v>24254.849254875317</v>
      </c>
      <c r="AC242" s="2">
        <v>0</v>
      </c>
      <c r="AD242" s="21">
        <f ca="1">AC242/AC$646</f>
        <v>0</v>
      </c>
      <c r="AE242" s="22">
        <f ca="1">AD242*AE$676</f>
        <v>0</v>
      </c>
      <c r="AF242" s="2">
        <v>260230.2030424267</v>
      </c>
      <c r="AG242" s="21">
        <f ca="1">AF242/AF$646</f>
        <v>2.7644735143832178E-3</v>
      </c>
      <c r="AH242" s="22">
        <f ca="1">AG242*AH$676</f>
        <v>52838.94476083677</v>
      </c>
      <c r="AI242" s="2">
        <v>0</v>
      </c>
      <c r="AJ242" s="21">
        <f ca="1">AI242/AI$646</f>
        <v>0</v>
      </c>
      <c r="AK242" s="22">
        <f ca="1">AJ242*AK$676</f>
        <v>0</v>
      </c>
      <c r="AL242" s="2">
        <v>745154.86692919408</v>
      </c>
    </row>
    <row r="243" spans="1:38" ht="12.75" x14ac:dyDescent="0.2">
      <c r="A243" s="8" t="s">
        <v>16</v>
      </c>
      <c r="B243" s="8" t="s">
        <v>17</v>
      </c>
      <c r="C243" s="8" t="s">
        <v>18</v>
      </c>
      <c r="D243" s="8" t="s">
        <v>96</v>
      </c>
      <c r="E243" s="8" t="s">
        <v>98</v>
      </c>
      <c r="F243" s="23" t="s">
        <v>37</v>
      </c>
      <c r="G243" s="8" t="s">
        <v>601</v>
      </c>
      <c r="H243" s="20">
        <v>0</v>
      </c>
      <c r="I243" s="21">
        <f>H243/H$649</f>
        <v>0</v>
      </c>
      <c r="J243" s="22">
        <f>I243*J$679</f>
        <v>0</v>
      </c>
      <c r="K243" s="2">
        <v>0</v>
      </c>
      <c r="L243" s="21">
        <f ca="1">K243/K$649</f>
        <v>0</v>
      </c>
      <c r="M243" s="22">
        <f ca="1">L243*M$679</f>
        <v>0</v>
      </c>
      <c r="N243" s="2">
        <v>0</v>
      </c>
      <c r="O243" s="21">
        <f ca="1">N243/N$649</f>
        <v>0</v>
      </c>
      <c r="P243" s="22">
        <f ca="1">O243*P$679</f>
        <v>0</v>
      </c>
      <c r="Q243" s="2">
        <v>0</v>
      </c>
      <c r="R243" s="21">
        <f ca="1">Q243/Q$649</f>
        <v>0</v>
      </c>
      <c r="S243" s="22">
        <f ca="1">R243*S$679</f>
        <v>0</v>
      </c>
      <c r="T243" s="2">
        <v>0</v>
      </c>
      <c r="U243" s="21">
        <f ca="1">T243/T$649</f>
        <v>0</v>
      </c>
      <c r="V243" s="22">
        <f ca="1">U243*V$679</f>
        <v>0</v>
      </c>
      <c r="W243" s="2">
        <v>0</v>
      </c>
      <c r="X243" s="21">
        <f ca="1">W243/W$649</f>
        <v>0</v>
      </c>
      <c r="Y243" s="22">
        <f ca="1">X243*Y$679</f>
        <v>0</v>
      </c>
      <c r="Z243" s="2">
        <v>0</v>
      </c>
      <c r="AA243" s="21">
        <f ca="1">Z243/Z$649</f>
        <v>0</v>
      </c>
      <c r="AB243" s="22">
        <f ca="1">AA243*AB$679</f>
        <v>0</v>
      </c>
      <c r="AC243" s="2">
        <v>0</v>
      </c>
      <c r="AD243" s="21">
        <f ca="1">AC243/AC$649</f>
        <v>0</v>
      </c>
      <c r="AE243" s="22">
        <f ca="1">AD243*AE$679</f>
        <v>0</v>
      </c>
      <c r="AF243" s="2">
        <v>0</v>
      </c>
      <c r="AG243" s="21">
        <f ca="1">AF243/AF$649</f>
        <v>0</v>
      </c>
      <c r="AH243" s="22">
        <f ca="1">AG243*AH$679</f>
        <v>0</v>
      </c>
      <c r="AI243" s="2">
        <v>0</v>
      </c>
      <c r="AJ243" s="21">
        <f ca="1">AI243/AI$649</f>
        <v>0</v>
      </c>
      <c r="AK243" s="22">
        <f ca="1">AJ243*AK$679</f>
        <v>0</v>
      </c>
      <c r="AL243" s="2">
        <v>0</v>
      </c>
    </row>
    <row r="244" spans="1:38" ht="12.75" x14ac:dyDescent="0.2">
      <c r="A244" s="8" t="s">
        <v>16</v>
      </c>
      <c r="B244" s="8" t="s">
        <v>17</v>
      </c>
      <c r="C244" s="8" t="s">
        <v>18</v>
      </c>
      <c r="D244" s="8" t="s">
        <v>96</v>
      </c>
      <c r="E244" s="8" t="s">
        <v>98</v>
      </c>
      <c r="F244" s="8" t="s">
        <v>25</v>
      </c>
      <c r="G244" s="8" t="s">
        <v>602</v>
      </c>
      <c r="H244" s="20">
        <v>0</v>
      </c>
      <c r="I244" s="21">
        <f>H244/H$652</f>
        <v>0</v>
      </c>
      <c r="J244" s="22">
        <f>I244*J$682</f>
        <v>0</v>
      </c>
      <c r="K244" s="2">
        <v>344784.40991698444</v>
      </c>
      <c r="L244" s="21">
        <f ca="1">K244/K$652</f>
        <v>1.5347527353497044E-2</v>
      </c>
      <c r="M244" s="22">
        <f ca="1">L244*M$682</f>
        <v>553556.19738124881</v>
      </c>
      <c r="N244" s="2">
        <v>874141.83911555842</v>
      </c>
      <c r="O244" s="21">
        <f ca="1">N244/N$652</f>
        <v>1.7516260466549468E-2</v>
      </c>
      <c r="P244" s="22">
        <f ca="1">O244*P$682</f>
        <v>648204.52217110747</v>
      </c>
      <c r="Q244" s="2">
        <v>0</v>
      </c>
      <c r="R244" s="21">
        <f ca="1">Q244/Q$652</f>
        <v>0</v>
      </c>
      <c r="S244" s="22">
        <f ca="1">R244*S$682</f>
        <v>0</v>
      </c>
      <c r="T244" s="2">
        <v>0</v>
      </c>
      <c r="U244" s="21">
        <f ca="1">T244/T$652</f>
        <v>0</v>
      </c>
      <c r="V244" s="22">
        <f ca="1">U244*V$682</f>
        <v>0</v>
      </c>
      <c r="W244" s="2">
        <v>0</v>
      </c>
      <c r="X244" s="21">
        <f ca="1">W244/W$652</f>
        <v>0</v>
      </c>
      <c r="Y244" s="22">
        <f ca="1">X244*Y$682</f>
        <v>0</v>
      </c>
      <c r="Z244" s="2">
        <v>124630.88373670136</v>
      </c>
      <c r="AA244" s="21">
        <f ca="1">Z244/Z$652</f>
        <v>2.6974593117530194E-3</v>
      </c>
      <c r="AB244" s="22">
        <f ca="1">AA244*AB$682</f>
        <v>108261.71190426462</v>
      </c>
      <c r="AC244" s="2">
        <v>1200444.7303882644</v>
      </c>
      <c r="AD244" s="21">
        <f ca="1">AC244/AC$652</f>
        <v>1.927082374824932E-2</v>
      </c>
      <c r="AE244" s="22">
        <f ca="1">AD244*AE$682</f>
        <v>788123.81505365553</v>
      </c>
      <c r="AF244" s="2">
        <v>0</v>
      </c>
      <c r="AG244" s="21">
        <f ca="1">AF244/AF$652</f>
        <v>0</v>
      </c>
      <c r="AH244" s="22">
        <f ca="1">AG244*AH$682</f>
        <v>0</v>
      </c>
      <c r="AI244" s="2">
        <v>0</v>
      </c>
      <c r="AJ244" s="21">
        <f ca="1">AI244/AI$652</f>
        <v>0</v>
      </c>
      <c r="AK244" s="22">
        <f ca="1">AJ244*AK$682</f>
        <v>0</v>
      </c>
      <c r="AL244" s="2">
        <v>2544001.8631575089</v>
      </c>
    </row>
    <row r="245" spans="1:38" ht="12.75" x14ac:dyDescent="0.2">
      <c r="A245" s="8" t="s">
        <v>16</v>
      </c>
      <c r="B245" s="8" t="s">
        <v>17</v>
      </c>
      <c r="C245" s="8" t="s">
        <v>18</v>
      </c>
      <c r="D245" s="8" t="s">
        <v>96</v>
      </c>
      <c r="E245" s="8" t="s">
        <v>98</v>
      </c>
      <c r="F245" s="8" t="s">
        <v>26</v>
      </c>
      <c r="G245" s="8" t="s">
        <v>603</v>
      </c>
      <c r="H245" s="20">
        <v>0</v>
      </c>
      <c r="I245" s="21">
        <f>H245/H$655</f>
        <v>0</v>
      </c>
      <c r="J245" s="22">
        <f>I245*J$685</f>
        <v>0</v>
      </c>
      <c r="K245" s="2">
        <v>0</v>
      </c>
      <c r="L245" s="21">
        <f ca="1">K245/K$655</f>
        <v>0</v>
      </c>
      <c r="M245" s="22">
        <f ca="1">L245*M$685</f>
        <v>0</v>
      </c>
      <c r="N245" s="2">
        <v>0</v>
      </c>
      <c r="O245" s="21">
        <f ca="1">N245/N$655</f>
        <v>0</v>
      </c>
      <c r="P245" s="22">
        <f ca="1">O245*P$685</f>
        <v>0</v>
      </c>
      <c r="Q245" s="2">
        <v>0</v>
      </c>
      <c r="R245" s="21">
        <f ca="1">Q245/Q$655</f>
        <v>0</v>
      </c>
      <c r="S245" s="22">
        <f ca="1">R245*S$685</f>
        <v>0</v>
      </c>
      <c r="T245" s="2">
        <v>0</v>
      </c>
      <c r="U245" s="21">
        <f ca="1">T245/T$655</f>
        <v>0</v>
      </c>
      <c r="V245" s="22">
        <f ca="1">U245*V$685</f>
        <v>0</v>
      </c>
      <c r="W245" s="2">
        <v>0</v>
      </c>
      <c r="X245" s="21">
        <f ca="1">W245/W$655</f>
        <v>0</v>
      </c>
      <c r="Y245" s="22">
        <f ca="1">X245*Y$685</f>
        <v>0</v>
      </c>
      <c r="Z245" s="2">
        <v>0</v>
      </c>
      <c r="AA245" s="21">
        <f ca="1">Z245/Z$655</f>
        <v>0</v>
      </c>
      <c r="AB245" s="22">
        <f ca="1">AA245*AB$685</f>
        <v>0</v>
      </c>
      <c r="AC245" s="2">
        <v>0</v>
      </c>
      <c r="AD245" s="21">
        <f ca="1">AC245/AC$655</f>
        <v>0</v>
      </c>
      <c r="AE245" s="22">
        <f ca="1">AD245*AE$685</f>
        <v>0</v>
      </c>
      <c r="AF245" s="2">
        <v>0</v>
      </c>
      <c r="AG245" s="21">
        <f ca="1">AF245/AF$655</f>
        <v>0</v>
      </c>
      <c r="AH245" s="22">
        <f ca="1">AG245*AH$685</f>
        <v>0</v>
      </c>
      <c r="AI245" s="2">
        <v>64569.212668537592</v>
      </c>
      <c r="AJ245" s="21">
        <f ca="1">AI245/AI$655</f>
        <v>3.4871702390671484E-4</v>
      </c>
      <c r="AK245" s="22">
        <f ca="1">AJ245*AK$685</f>
        <v>1133.8361626630215</v>
      </c>
      <c r="AL245" s="2">
        <v>64569.212668537592</v>
      </c>
    </row>
    <row r="246" spans="1:38" ht="12.75" x14ac:dyDescent="0.2">
      <c r="A246" s="8" t="s">
        <v>16</v>
      </c>
      <c r="B246" s="8" t="s">
        <v>17</v>
      </c>
      <c r="C246" s="8" t="s">
        <v>18</v>
      </c>
      <c r="D246" s="8" t="s">
        <v>96</v>
      </c>
      <c r="E246" s="8" t="s">
        <v>98</v>
      </c>
      <c r="F246" s="8" t="s">
        <v>27</v>
      </c>
      <c r="G246" s="8" t="s">
        <v>604</v>
      </c>
      <c r="H246" s="20">
        <v>684463.88328811899</v>
      </c>
      <c r="I246" s="21">
        <f>H246/H$657</f>
        <v>1.3420006708737019E-2</v>
      </c>
      <c r="J246" s="22">
        <f>I246*J$687</f>
        <v>139205.47460960163</v>
      </c>
      <c r="K246" s="2">
        <v>174786.63623401264</v>
      </c>
      <c r="L246" s="21">
        <f ca="1">K246/K$657</f>
        <v>4.4750155315807982E-3</v>
      </c>
      <c r="M246" s="22">
        <f ca="1">L246*M$687</f>
        <v>70287.050722534856</v>
      </c>
      <c r="N246" s="2">
        <v>156000</v>
      </c>
      <c r="O246" s="21">
        <f ca="1">N246/N$657</f>
        <v>2.8204995262861333E-3</v>
      </c>
      <c r="P246" s="22">
        <f ca="1">O246*P$687</f>
        <v>45452.122167174282</v>
      </c>
      <c r="Q246" s="2">
        <v>156000</v>
      </c>
      <c r="R246" s="21">
        <f ca="1">Q246/Q$657</f>
        <v>2.8244690061046693E-3</v>
      </c>
      <c r="S246" s="22">
        <f ca="1">R246*S$687</f>
        <v>46562.96010349389</v>
      </c>
      <c r="T246" s="2">
        <v>156000</v>
      </c>
      <c r="U246" s="21">
        <f ca="1">T246/T$657</f>
        <v>4.0325117234316843E-3</v>
      </c>
      <c r="V246" s="22">
        <f ca="1">U246*V$687</f>
        <v>67874.26642095446</v>
      </c>
      <c r="W246" s="2">
        <v>317133.4481984537</v>
      </c>
      <c r="X246" s="21">
        <f ca="1">W246/W$657</f>
        <v>8.0929780497024997E-3</v>
      </c>
      <c r="Y246" s="22">
        <f ca="1">X246*Y$687</f>
        <v>138943.4391087651</v>
      </c>
      <c r="Z246" s="2">
        <v>156000</v>
      </c>
      <c r="AA246" s="21">
        <f ca="1">Z246/Z$657</f>
        <v>3.2161790427619619E-3</v>
      </c>
      <c r="AB246" s="22">
        <f ca="1">AA246*AB$687</f>
        <v>56210.5296466953</v>
      </c>
      <c r="AC246" s="2">
        <v>504532.0544143155</v>
      </c>
      <c r="AD246" s="21">
        <f ca="1">AC246/AC$657</f>
        <v>9.1854789668841374E-3</v>
      </c>
      <c r="AE246" s="22">
        <f ca="1">AD246*AE$687</f>
        <v>163588.75643009457</v>
      </c>
      <c r="AF246" s="2">
        <v>156000</v>
      </c>
      <c r="AG246" s="21">
        <f ca="1">AF246/AF$657</f>
        <v>3.1214050245177254E-3</v>
      </c>
      <c r="AH246" s="22">
        <f ca="1">AG246*AH$687</f>
        <v>56591.283914201711</v>
      </c>
      <c r="AI246" s="2">
        <v>156000</v>
      </c>
      <c r="AJ246" s="21">
        <f ca="1">AI246/AI$657</f>
        <v>2.8111482041604362E-3</v>
      </c>
      <c r="AK246" s="22">
        <f ca="1">AJ246*AK$687</f>
        <v>51883.70031281346</v>
      </c>
      <c r="AL246" s="2">
        <v>2616916.022134901</v>
      </c>
    </row>
    <row r="247" spans="1:38" ht="12.75" x14ac:dyDescent="0.2">
      <c r="A247" s="8" t="s">
        <v>16</v>
      </c>
      <c r="B247" s="8" t="s">
        <v>17</v>
      </c>
      <c r="C247" s="8" t="s">
        <v>18</v>
      </c>
      <c r="D247" s="8" t="s">
        <v>96</v>
      </c>
      <c r="E247" s="8" t="s">
        <v>98</v>
      </c>
      <c r="F247" s="8" t="s">
        <v>28</v>
      </c>
      <c r="G247" s="8" t="s">
        <v>605</v>
      </c>
      <c r="H247" s="20">
        <v>400000</v>
      </c>
      <c r="I247" s="21">
        <f>H247/H$669</f>
        <v>4.7078597364900727E-2</v>
      </c>
      <c r="J247" s="22">
        <f>I247*J$699</f>
        <v>524689.36695950816</v>
      </c>
      <c r="K247" s="2">
        <v>420891.65550241113</v>
      </c>
      <c r="L247" s="21">
        <f ca="1">K247/K$669</f>
        <v>5.8019147614657637E-2</v>
      </c>
      <c r="M247" s="22">
        <f ca="1">L247*M$699</f>
        <v>274994.68838958791</v>
      </c>
      <c r="N247" s="2">
        <v>458117.60657493438</v>
      </c>
      <c r="O247" s="21">
        <f ca="1">N247/N$669</f>
        <v>1.6242750862191537E-2</v>
      </c>
      <c r="P247" s="22">
        <f ca="1">O247*P$699</f>
        <v>78987.779513249334</v>
      </c>
      <c r="Q247" s="2">
        <v>437791.20370828354</v>
      </c>
      <c r="R247" s="21">
        <f ca="1">Q247/Q$669</f>
        <v>1.1581537977121989E-2</v>
      </c>
      <c r="S247" s="22">
        <f ca="1">R247*S$699</f>
        <v>57615.878906800026</v>
      </c>
      <c r="T247" s="2">
        <v>428980.07502315514</v>
      </c>
      <c r="U247" s="21">
        <f ca="1">T247/T$669</f>
        <v>1.5027035621701847E-2</v>
      </c>
      <c r="V247" s="22">
        <f ca="1">U247*V$699</f>
        <v>76326.441248227537</v>
      </c>
      <c r="W247" s="2">
        <v>400000</v>
      </c>
      <c r="X247" s="21">
        <f ca="1">W247/W$669</f>
        <v>1.4340109622759412E-2</v>
      </c>
      <c r="Y247" s="22">
        <f ca="1">X247*Y$699</f>
        <v>74294.102491185782</v>
      </c>
      <c r="Z247" s="2">
        <v>400000</v>
      </c>
      <c r="AA247" s="21">
        <f ca="1">Z247/Z$669</f>
        <v>1.3596536466848927E-2</v>
      </c>
      <c r="AB247" s="22">
        <f ca="1">AA247*AB$699</f>
        <v>71709.705629638265</v>
      </c>
      <c r="AC247" s="2">
        <v>531754.35794884199</v>
      </c>
      <c r="AD247" s="21">
        <f ca="1">AC247/AC$669</f>
        <v>1.6861454924156392E-2</v>
      </c>
      <c r="AE247" s="22">
        <f ca="1">AD247*AE$699</f>
        <v>90618.919007364544</v>
      </c>
      <c r="AF247" s="2">
        <v>400000</v>
      </c>
      <c r="AG247" s="21">
        <f ca="1">AF247/AF$669</f>
        <v>9.9652933972157621E-3</v>
      </c>
      <c r="AH247" s="22">
        <f ca="1">AG247*AH$699</f>
        <v>54520.734636158311</v>
      </c>
      <c r="AI247" s="2">
        <v>818952.70994730678</v>
      </c>
      <c r="AJ247" s="21">
        <f ca="1">AI247/AI$669</f>
        <v>1.8719780393297126E-2</v>
      </c>
      <c r="AK247" s="22">
        <f ca="1">AJ247*AK$699</f>
        <v>104260.58010591497</v>
      </c>
      <c r="AL247" s="2">
        <v>4696487.608704933</v>
      </c>
    </row>
    <row r="248" spans="1:38" ht="12.75" x14ac:dyDescent="0.2">
      <c r="A248" s="8" t="s">
        <v>16</v>
      </c>
      <c r="B248" s="8" t="s">
        <v>17</v>
      </c>
      <c r="C248" s="8" t="s">
        <v>18</v>
      </c>
      <c r="D248" s="8" t="s">
        <v>96</v>
      </c>
      <c r="E248" s="8" t="s">
        <v>98</v>
      </c>
      <c r="F248" s="8" t="s">
        <v>34</v>
      </c>
      <c r="G248" s="8" t="s">
        <v>606</v>
      </c>
      <c r="H248" s="20">
        <v>0</v>
      </c>
      <c r="I248" s="21">
        <f>H248/H$653</f>
        <v>0</v>
      </c>
      <c r="J248" s="22">
        <f>I248*J$683</f>
        <v>0</v>
      </c>
      <c r="K248" s="2">
        <v>0</v>
      </c>
      <c r="L248" s="21">
        <f ca="1">K248/K$653</f>
        <v>0</v>
      </c>
      <c r="M248" s="22">
        <f ca="1">L248*M$683</f>
        <v>0</v>
      </c>
      <c r="N248" s="2">
        <v>0</v>
      </c>
      <c r="O248" s="21">
        <f ca="1">N248/N$653</f>
        <v>0</v>
      </c>
      <c r="P248" s="22">
        <f ca="1">O248*P$683</f>
        <v>0</v>
      </c>
      <c r="Q248" s="2">
        <v>0</v>
      </c>
      <c r="R248" s="21">
        <f ca="1">Q248/Q$653</f>
        <v>0</v>
      </c>
      <c r="S248" s="22">
        <f ca="1">R248*S$683</f>
        <v>0</v>
      </c>
      <c r="T248" s="2">
        <v>0</v>
      </c>
      <c r="U248" s="21">
        <f ca="1">T248/T$653</f>
        <v>0</v>
      </c>
      <c r="V248" s="22">
        <f ca="1">U248*V$683</f>
        <v>0</v>
      </c>
      <c r="W248" s="2">
        <v>0</v>
      </c>
      <c r="X248" s="21">
        <f ca="1">W248/W$653</f>
        <v>0</v>
      </c>
      <c r="Y248" s="22">
        <f ca="1">X248*Y$683</f>
        <v>0</v>
      </c>
      <c r="Z248" s="2">
        <v>0</v>
      </c>
      <c r="AA248" s="21">
        <f ca="1">Z248/Z$653</f>
        <v>0</v>
      </c>
      <c r="AB248" s="22">
        <f ca="1">AA248*AB$683</f>
        <v>0</v>
      </c>
      <c r="AC248" s="2">
        <v>0</v>
      </c>
      <c r="AD248" s="21">
        <f ca="1">AC248/AC$653</f>
        <v>0</v>
      </c>
      <c r="AE248" s="22">
        <f ca="1">AD248*AE$683</f>
        <v>0</v>
      </c>
      <c r="AF248" s="2">
        <v>0</v>
      </c>
      <c r="AG248" s="21">
        <f ca="1">AF248/AF$653</f>
        <v>0</v>
      </c>
      <c r="AH248" s="22">
        <f ca="1">AG248*AH$683</f>
        <v>0</v>
      </c>
      <c r="AI248" s="2">
        <v>0</v>
      </c>
      <c r="AJ248" s="21">
        <f ca="1">AI248/AI$653</f>
        <v>0</v>
      </c>
      <c r="AK248" s="22">
        <f ca="1">AJ248*AK$683</f>
        <v>0</v>
      </c>
      <c r="AL248" s="2">
        <v>0</v>
      </c>
    </row>
    <row r="249" spans="1:38" ht="12.75" x14ac:dyDescent="0.2">
      <c r="A249" s="8" t="s">
        <v>16</v>
      </c>
      <c r="B249" s="8" t="s">
        <v>17</v>
      </c>
      <c r="C249" s="8" t="s">
        <v>18</v>
      </c>
      <c r="D249" s="8" t="s">
        <v>96</v>
      </c>
      <c r="E249" s="8" t="s">
        <v>98</v>
      </c>
      <c r="F249" s="8" t="s">
        <v>55</v>
      </c>
      <c r="G249" s="8" t="s">
        <v>607</v>
      </c>
      <c r="H249" s="20">
        <v>0</v>
      </c>
      <c r="I249" s="21">
        <f>H249/H$654</f>
        <v>0</v>
      </c>
      <c r="J249" s="22">
        <f>I249*J$684</f>
        <v>0</v>
      </c>
      <c r="K249" s="2">
        <v>0</v>
      </c>
      <c r="L249" s="21">
        <f ca="1">K249/K$654</f>
        <v>0</v>
      </c>
      <c r="M249" s="22">
        <f ca="1">L249*M$684</f>
        <v>0</v>
      </c>
      <c r="N249" s="2">
        <v>32007.508279908347</v>
      </c>
      <c r="O249" s="21">
        <f ca="1">N249/N$654</f>
        <v>1.17124277974071E-2</v>
      </c>
      <c r="P249" s="22">
        <f ca="1">O249*P$684</f>
        <v>35808.02625660065</v>
      </c>
      <c r="Q249" s="2">
        <v>55573.368905018127</v>
      </c>
      <c r="R249" s="21">
        <f ca="1">Q249/Q$654</f>
        <v>1.810618780821836E-2</v>
      </c>
      <c r="S249" s="22">
        <f ca="1">R249*S$684</f>
        <v>56628.637231743422</v>
      </c>
      <c r="T249" s="2">
        <v>0</v>
      </c>
      <c r="U249" s="21">
        <f ca="1">T249/T$654</f>
        <v>0</v>
      </c>
      <c r="V249" s="22">
        <f ca="1">U249*V$684</f>
        <v>0</v>
      </c>
      <c r="W249" s="2">
        <v>0</v>
      </c>
      <c r="X249" s="21">
        <f ca="1">W249/W$654</f>
        <v>0</v>
      </c>
      <c r="Y249" s="22">
        <f ca="1">X249*Y$684</f>
        <v>0</v>
      </c>
      <c r="Z249" s="2">
        <v>0</v>
      </c>
      <c r="AA249" s="21">
        <f ca="1">Z249/Z$654</f>
        <v>0</v>
      </c>
      <c r="AB249" s="22">
        <f ca="1">AA249*AB$684</f>
        <v>0</v>
      </c>
      <c r="AC249" s="2">
        <v>0</v>
      </c>
      <c r="AD249" s="21">
        <f ca="1">AC249/AC$654</f>
        <v>0</v>
      </c>
      <c r="AE249" s="22">
        <f ca="1">AD249*AE$684</f>
        <v>0</v>
      </c>
      <c r="AF249" s="2">
        <v>98235.935847429282</v>
      </c>
      <c r="AG249" s="21">
        <f ca="1">AF249/AF$654</f>
        <v>3.5782044285201431E-2</v>
      </c>
      <c r="AH249" s="22">
        <f ca="1">AG249*AH$684</f>
        <v>123075.01387983798</v>
      </c>
      <c r="AI249" s="2">
        <v>0</v>
      </c>
      <c r="AJ249" s="21">
        <f ca="1">AI249/AI$654</f>
        <v>0</v>
      </c>
      <c r="AK249" s="22">
        <f ca="1">AJ249*AK$684</f>
        <v>0</v>
      </c>
      <c r="AL249" s="2">
        <v>185816.81303235574</v>
      </c>
    </row>
    <row r="250" spans="1:38" ht="12.75" x14ac:dyDescent="0.2">
      <c r="A250" s="8" t="s">
        <v>16</v>
      </c>
      <c r="B250" s="8" t="s">
        <v>17</v>
      </c>
      <c r="C250" s="8" t="s">
        <v>18</v>
      </c>
      <c r="D250" s="8" t="s">
        <v>96</v>
      </c>
      <c r="E250" s="8" t="s">
        <v>99</v>
      </c>
      <c r="F250" s="8" t="s">
        <v>21</v>
      </c>
      <c r="G250" s="8" t="s">
        <v>608</v>
      </c>
      <c r="H250" s="20">
        <v>28247</v>
      </c>
      <c r="I250" s="21">
        <f>H250/H$645</f>
        <v>1.8695267476855301E-3</v>
      </c>
      <c r="J250" s="22">
        <f>I250*J$675</f>
        <v>263.97717677319685</v>
      </c>
      <c r="K250" s="2">
        <v>28247</v>
      </c>
      <c r="L250" s="21">
        <f ca="1">K250/K$645</f>
        <v>1.8463376887975713E-3</v>
      </c>
      <c r="M250" s="22">
        <f ca="1">L250*M$675</f>
        <v>796.62085920860011</v>
      </c>
      <c r="N250" s="2">
        <v>28247</v>
      </c>
      <c r="O250" s="21">
        <f ca="1">N250/N$645</f>
        <v>1.3002480030919823E-3</v>
      </c>
      <c r="P250" s="22">
        <f ca="1">O250*P$675</f>
        <v>575.59113350283246</v>
      </c>
      <c r="Q250" s="2">
        <v>28247</v>
      </c>
      <c r="R250" s="21">
        <f ca="1">Q250/Q$645</f>
        <v>1.118816591127109E-3</v>
      </c>
      <c r="S250" s="22">
        <f ca="1">R250*S$675</f>
        <v>506.66677799035654</v>
      </c>
      <c r="T250" s="2">
        <v>28247</v>
      </c>
      <c r="U250" s="21">
        <f ca="1">T250/T$645</f>
        <v>1.3684796437316801E-3</v>
      </c>
      <c r="V250" s="22">
        <f ca="1">U250*V$675</f>
        <v>632.74338548035939</v>
      </c>
      <c r="W250" s="2">
        <v>28247</v>
      </c>
      <c r="X250" s="21">
        <f ca="1">W250/W$645</f>
        <v>1.3665453405609345E-3</v>
      </c>
      <c r="Y250" s="22">
        <f ca="1">X250*Y$675</f>
        <v>644.48601387932626</v>
      </c>
      <c r="Z250" s="2">
        <v>28247</v>
      </c>
      <c r="AA250" s="21">
        <f ca="1">Z250/Z$645</f>
        <v>1.3729989108633848E-3</v>
      </c>
      <c r="AB250" s="22">
        <f ca="1">AA250*AB$675</f>
        <v>659.18515239886722</v>
      </c>
      <c r="AC250" s="2">
        <v>101781.98269271733</v>
      </c>
      <c r="AD250" s="21">
        <f ca="1">AC250/AC$645</f>
        <v>4.2858554591586693E-3</v>
      </c>
      <c r="AE250" s="22">
        <f ca="1">AD250*AE$675</f>
        <v>2096.7610088759325</v>
      </c>
      <c r="AF250" s="2">
        <v>28247</v>
      </c>
      <c r="AG250" s="21">
        <f ca="1">AF250/AF$645</f>
        <v>1.2949871708533456E-3</v>
      </c>
      <c r="AH250" s="22">
        <f ca="1">AG250*AH$675</f>
        <v>644.94792554595267</v>
      </c>
      <c r="AI250" s="2">
        <v>28247</v>
      </c>
      <c r="AJ250" s="21">
        <f ca="1">AI250/AI$645</f>
        <v>1.1078880246768537E-3</v>
      </c>
      <c r="AK250" s="22">
        <f ca="1">AJ250*AK$675</f>
        <v>561.69794336105622</v>
      </c>
      <c r="AL250" s="2">
        <v>356004.98269271734</v>
      </c>
    </row>
    <row r="251" spans="1:38" ht="12.75" x14ac:dyDescent="0.2">
      <c r="A251" s="8" t="s">
        <v>16</v>
      </c>
      <c r="B251" s="8" t="s">
        <v>17</v>
      </c>
      <c r="C251" s="8" t="s">
        <v>18</v>
      </c>
      <c r="D251" s="8" t="s">
        <v>96</v>
      </c>
      <c r="E251" s="8" t="s">
        <v>99</v>
      </c>
      <c r="F251" s="8" t="s">
        <v>24</v>
      </c>
      <c r="G251" s="8" t="s">
        <v>609</v>
      </c>
      <c r="H251" s="20">
        <v>0</v>
      </c>
      <c r="I251" s="21">
        <f>H251/H$646</f>
        <v>0</v>
      </c>
      <c r="J251" s="22">
        <f>I251*J$676</f>
        <v>0</v>
      </c>
      <c r="K251" s="2">
        <v>15957.906139652572</v>
      </c>
      <c r="L251" s="21">
        <f ca="1">K251/K$646</f>
        <v>2.5267331976029168E-4</v>
      </c>
      <c r="M251" s="22">
        <f ca="1">L251*M$676</f>
        <v>982.39722778316684</v>
      </c>
      <c r="N251" s="2">
        <v>0</v>
      </c>
      <c r="O251" s="21">
        <f ca="1">N251/N$646</f>
        <v>0</v>
      </c>
      <c r="P251" s="22">
        <f ca="1">O251*P$676</f>
        <v>0</v>
      </c>
      <c r="Q251" s="2">
        <v>0</v>
      </c>
      <c r="R251" s="21">
        <f ca="1">Q251/Q$646</f>
        <v>0</v>
      </c>
      <c r="S251" s="22">
        <f ca="1">R251*S$676</f>
        <v>0</v>
      </c>
      <c r="T251" s="2">
        <v>0</v>
      </c>
      <c r="U251" s="21">
        <f ca="1">T251/T$646</f>
        <v>0</v>
      </c>
      <c r="V251" s="22">
        <f ca="1">U251*V$676</f>
        <v>0</v>
      </c>
      <c r="W251" s="2">
        <v>0</v>
      </c>
      <c r="X251" s="21">
        <f ca="1">W251/W$646</f>
        <v>0</v>
      </c>
      <c r="Y251" s="22">
        <f ca="1">X251*Y$676</f>
        <v>0</v>
      </c>
      <c r="Z251" s="2">
        <v>28156.223701451963</v>
      </c>
      <c r="AA251" s="21">
        <f ca="1">Z251/Z$646</f>
        <v>2.4258866795893907E-4</v>
      </c>
      <c r="AB251" s="22">
        <f ca="1">AA251*AB$676</f>
        <v>4469.8222198270232</v>
      </c>
      <c r="AC251" s="2">
        <v>103411.54645626521</v>
      </c>
      <c r="AD251" s="21">
        <f ca="1">AC251/AC$646</f>
        <v>9.9390402596169925E-4</v>
      </c>
      <c r="AE251" s="22">
        <f ca="1">AD251*AE$676</f>
        <v>18661.148723511873</v>
      </c>
      <c r="AF251" s="2">
        <v>6016.4336246653138</v>
      </c>
      <c r="AG251" s="21">
        <f ca="1">AF251/AF$646</f>
        <v>6.3913685698197898E-5</v>
      </c>
      <c r="AH251" s="22">
        <f ca="1">AG251*AH$676</f>
        <v>1221.618398764813</v>
      </c>
      <c r="AI251" s="2">
        <v>51704.626899849129</v>
      </c>
      <c r="AJ251" s="21">
        <f ca="1">AI251/AI$646</f>
        <v>4.1849547409918137E-4</v>
      </c>
      <c r="AK251" s="22">
        <f ca="1">AJ251*AK$676</f>
        <v>8142.9214581348242</v>
      </c>
      <c r="AL251" s="2">
        <v>205246.73682188417</v>
      </c>
    </row>
    <row r="252" spans="1:38" ht="12.75" x14ac:dyDescent="0.2">
      <c r="A252" s="8" t="s">
        <v>16</v>
      </c>
      <c r="B252" s="8" t="s">
        <v>17</v>
      </c>
      <c r="C252" s="8" t="s">
        <v>18</v>
      </c>
      <c r="D252" s="8" t="s">
        <v>96</v>
      </c>
      <c r="E252" s="8" t="s">
        <v>99</v>
      </c>
      <c r="F252" s="8" t="s">
        <v>25</v>
      </c>
      <c r="G252" s="8" t="s">
        <v>610</v>
      </c>
      <c r="H252" s="20">
        <v>0</v>
      </c>
      <c r="I252" s="21">
        <f>H252/H$652</f>
        <v>0</v>
      </c>
      <c r="J252" s="22">
        <f>I252*J$682</f>
        <v>0</v>
      </c>
      <c r="K252" s="2">
        <v>0</v>
      </c>
      <c r="L252" s="21">
        <f ca="1">K252/K$652</f>
        <v>0</v>
      </c>
      <c r="M252" s="22">
        <f ca="1">L252*M$682</f>
        <v>0</v>
      </c>
      <c r="N252" s="2">
        <v>0</v>
      </c>
      <c r="O252" s="21">
        <f ca="1">N252/N$652</f>
        <v>0</v>
      </c>
      <c r="P252" s="22">
        <f ca="1">O252*P$682</f>
        <v>0</v>
      </c>
      <c r="Q252" s="2">
        <v>0</v>
      </c>
      <c r="R252" s="21">
        <f ca="1">Q252/Q$652</f>
        <v>0</v>
      </c>
      <c r="S252" s="22">
        <f ca="1">R252*S$682</f>
        <v>0</v>
      </c>
      <c r="T252" s="2">
        <v>0</v>
      </c>
      <c r="U252" s="21">
        <f ca="1">T252/T$652</f>
        <v>0</v>
      </c>
      <c r="V252" s="22">
        <f ca="1">U252*V$682</f>
        <v>0</v>
      </c>
      <c r="W252" s="2">
        <v>0</v>
      </c>
      <c r="X252" s="21">
        <f ca="1">W252/W$652</f>
        <v>0</v>
      </c>
      <c r="Y252" s="22">
        <f ca="1">X252*Y$682</f>
        <v>0</v>
      </c>
      <c r="Z252" s="2">
        <v>0</v>
      </c>
      <c r="AA252" s="21">
        <f ca="1">Z252/Z$652</f>
        <v>0</v>
      </c>
      <c r="AB252" s="22">
        <f ca="1">AA252*AB$682</f>
        <v>0</v>
      </c>
      <c r="AC252" s="2">
        <v>1043915.9747012343</v>
      </c>
      <c r="AD252" s="21">
        <f ca="1">AC252/AC$652</f>
        <v>1.6758056616186588E-2</v>
      </c>
      <c r="AE252" s="22">
        <f ca="1">AD252*AE$682</f>
        <v>685358.53400838515</v>
      </c>
      <c r="AF252" s="2">
        <v>7194.3336155429952</v>
      </c>
      <c r="AG252" s="21">
        <f ca="1">AF252/AF$652</f>
        <v>1.0748794894985822E-4</v>
      </c>
      <c r="AH252" s="22">
        <f ca="1">AG252*AH$682</f>
        <v>4475.0895004275617</v>
      </c>
      <c r="AI252" s="2">
        <v>0</v>
      </c>
      <c r="AJ252" s="21">
        <f ca="1">AI252/AI$652</f>
        <v>0</v>
      </c>
      <c r="AK252" s="22">
        <f ca="1">AJ252*AK$682</f>
        <v>0</v>
      </c>
      <c r="AL252" s="2">
        <v>1051110.3083167772</v>
      </c>
    </row>
    <row r="253" spans="1:38" ht="12.75" x14ac:dyDescent="0.2">
      <c r="A253" s="8" t="s">
        <v>16</v>
      </c>
      <c r="B253" s="8" t="s">
        <v>17</v>
      </c>
      <c r="C253" s="8" t="s">
        <v>18</v>
      </c>
      <c r="D253" s="8" t="s">
        <v>96</v>
      </c>
      <c r="E253" s="8" t="s">
        <v>99</v>
      </c>
      <c r="F253" s="8" t="s">
        <v>26</v>
      </c>
      <c r="G253" s="8" t="s">
        <v>611</v>
      </c>
      <c r="H253" s="20">
        <v>0</v>
      </c>
      <c r="I253" s="21">
        <f>H253/H$655</f>
        <v>0</v>
      </c>
      <c r="J253" s="22">
        <f>I253*J$685</f>
        <v>0</v>
      </c>
      <c r="K253" s="2">
        <v>0</v>
      </c>
      <c r="L253" s="21">
        <f ca="1">K253/K$655</f>
        <v>0</v>
      </c>
      <c r="M253" s="22">
        <f ca="1">L253*M$685</f>
        <v>0</v>
      </c>
      <c r="N253" s="2">
        <v>0</v>
      </c>
      <c r="O253" s="21">
        <f ca="1">N253/N$655</f>
        <v>0</v>
      </c>
      <c r="P253" s="22">
        <f ca="1">O253*P$685</f>
        <v>0</v>
      </c>
      <c r="Q253" s="2">
        <v>0</v>
      </c>
      <c r="R253" s="21">
        <f ca="1">Q253/Q$655</f>
        <v>0</v>
      </c>
      <c r="S253" s="22">
        <f ca="1">R253*S$685</f>
        <v>0</v>
      </c>
      <c r="T253" s="2">
        <v>0</v>
      </c>
      <c r="U253" s="21">
        <f ca="1">T253/T$655</f>
        <v>0</v>
      </c>
      <c r="V253" s="22">
        <f ca="1">U253*V$685</f>
        <v>0</v>
      </c>
      <c r="W253" s="2">
        <v>0</v>
      </c>
      <c r="X253" s="21">
        <f ca="1">W253/W$655</f>
        <v>0</v>
      </c>
      <c r="Y253" s="22">
        <f ca="1">X253*Y$685</f>
        <v>0</v>
      </c>
      <c r="Z253" s="2">
        <v>0</v>
      </c>
      <c r="AA253" s="21">
        <f ca="1">Z253/Z$655</f>
        <v>0</v>
      </c>
      <c r="AB253" s="22">
        <f ca="1">AA253*AB$685</f>
        <v>0</v>
      </c>
      <c r="AC253" s="2">
        <v>0</v>
      </c>
      <c r="AD253" s="21">
        <f ca="1">AC253/AC$655</f>
        <v>0</v>
      </c>
      <c r="AE253" s="22">
        <f ca="1">AD253*AE$685</f>
        <v>0</v>
      </c>
      <c r="AF253" s="2">
        <v>83706.902604039147</v>
      </c>
      <c r="AG253" s="21">
        <f ca="1">AF253/AF$655</f>
        <v>6.9494855484026361E-4</v>
      </c>
      <c r="AH253" s="22">
        <f ca="1">AG253*AH$685</f>
        <v>2219.6373997536198</v>
      </c>
      <c r="AI253" s="2">
        <v>0</v>
      </c>
      <c r="AJ253" s="21">
        <f ca="1">AI253/AI$655</f>
        <v>0</v>
      </c>
      <c r="AK253" s="22">
        <f ca="1">AJ253*AK$685</f>
        <v>0</v>
      </c>
      <c r="AL253" s="2">
        <v>83706.902604039147</v>
      </c>
    </row>
    <row r="254" spans="1:38" ht="12.75" x14ac:dyDescent="0.2">
      <c r="A254" s="8" t="s">
        <v>16</v>
      </c>
      <c r="B254" s="8" t="s">
        <v>17</v>
      </c>
      <c r="C254" s="8" t="s">
        <v>18</v>
      </c>
      <c r="D254" s="8" t="s">
        <v>96</v>
      </c>
      <c r="E254" s="8" t="s">
        <v>99</v>
      </c>
      <c r="F254" s="8" t="s">
        <v>27</v>
      </c>
      <c r="G254" s="8" t="s">
        <v>612</v>
      </c>
      <c r="H254" s="20">
        <v>504500</v>
      </c>
      <c r="I254" s="21">
        <f>H254/H$657</f>
        <v>9.89152758803475E-3</v>
      </c>
      <c r="J254" s="22">
        <f>I254*J$687</f>
        <v>102604.62773166029</v>
      </c>
      <c r="K254" s="2">
        <v>665140.72374713898</v>
      </c>
      <c r="L254" s="21">
        <f ca="1">K254/K$657</f>
        <v>1.7029420175294414E-2</v>
      </c>
      <c r="M254" s="22">
        <f ca="1">L254*M$687</f>
        <v>267473.42242485029</v>
      </c>
      <c r="N254" s="2">
        <v>504500</v>
      </c>
      <c r="O254" s="21">
        <f ca="1">N254/N$657</f>
        <v>9.1214231475086824E-3</v>
      </c>
      <c r="P254" s="22">
        <f ca="1">O254*P$687</f>
        <v>146990.9976496117</v>
      </c>
      <c r="Q254" s="2">
        <v>504500</v>
      </c>
      <c r="R254" s="21">
        <f ca="1">Q254/Q$657</f>
        <v>9.1342603434602931E-3</v>
      </c>
      <c r="S254" s="22">
        <f ca="1">R254*S$687</f>
        <v>150583.4190526453</v>
      </c>
      <c r="T254" s="2">
        <v>504500</v>
      </c>
      <c r="U254" s="21">
        <f ca="1">T254/T$657</f>
        <v>1.304103951584157E-2</v>
      </c>
      <c r="V254" s="22">
        <f ca="1">U254*V$687</f>
        <v>219503.63723956107</v>
      </c>
      <c r="W254" s="2">
        <v>504500</v>
      </c>
      <c r="X254" s="21">
        <f ca="1">W254/W$657</f>
        <v>1.2874414380661406E-2</v>
      </c>
      <c r="Y254" s="22">
        <f ca="1">X254*Y$687</f>
        <v>221033.0238849709</v>
      </c>
      <c r="Z254" s="2">
        <v>2500828.9635175811</v>
      </c>
      <c r="AA254" s="21">
        <f ca="1">Z254/Z$657</f>
        <v>5.155842116664977E-2</v>
      </c>
      <c r="AB254" s="22">
        <f ca="1">AA254*AB$687</f>
        <v>901108.46535332873</v>
      </c>
      <c r="AC254" s="2">
        <v>604014.83927016729</v>
      </c>
      <c r="AD254" s="21">
        <f ca="1">AC254/AC$657</f>
        <v>1.0996656314022695E-2</v>
      </c>
      <c r="AE254" s="22">
        <f ca="1">AD254*AE$687</f>
        <v>195844.91323595576</v>
      </c>
      <c r="AF254" s="2">
        <v>543737.61059564329</v>
      </c>
      <c r="AG254" s="21">
        <f ca="1">AF254/AF$657</f>
        <v>1.0879649421362202E-2</v>
      </c>
      <c r="AH254" s="22">
        <f ca="1">AG254*AH$687</f>
        <v>197248.77882081864</v>
      </c>
      <c r="AI254" s="2">
        <v>504500</v>
      </c>
      <c r="AJ254" s="21">
        <f ca="1">AI254/AI$657</f>
        <v>9.0911812115316674E-3</v>
      </c>
      <c r="AK254" s="22">
        <f ca="1">AJ254*AK$687</f>
        <v>167790.55646034866</v>
      </c>
      <c r="AL254" s="2">
        <v>7340722.1371305306</v>
      </c>
    </row>
    <row r="255" spans="1:38" ht="12.75" x14ac:dyDescent="0.2">
      <c r="A255" s="8" t="s">
        <v>16</v>
      </c>
      <c r="B255" s="8" t="s">
        <v>17</v>
      </c>
      <c r="C255" s="8" t="s">
        <v>18</v>
      </c>
      <c r="D255" s="8" t="s">
        <v>96</v>
      </c>
      <c r="E255" s="8" t="s">
        <v>99</v>
      </c>
      <c r="F255" s="8" t="s">
        <v>28</v>
      </c>
      <c r="G255" s="8" t="s">
        <v>613</v>
      </c>
      <c r="H255" s="20">
        <v>60000</v>
      </c>
      <c r="I255" s="21">
        <f>H255/H$669</f>
        <v>7.061789604735109E-3</v>
      </c>
      <c r="J255" s="22">
        <f>I255*J$699</f>
        <v>78703.405043926236</v>
      </c>
      <c r="K255" s="2">
        <v>60000</v>
      </c>
      <c r="L255" s="21">
        <f ca="1">K255/K$669</f>
        <v>8.2708906469625074E-3</v>
      </c>
      <c r="M255" s="22">
        <f ca="1">L255*M$699</f>
        <v>39201.730629893078</v>
      </c>
      <c r="N255" s="2">
        <v>60000</v>
      </c>
      <c r="O255" s="21">
        <f ca="1">N255/N$669</f>
        <v>2.1273250312681059E-3</v>
      </c>
      <c r="P255" s="22">
        <f ca="1">O255*P$699</f>
        <v>10345.087599290417</v>
      </c>
      <c r="Q255" s="2">
        <v>60000</v>
      </c>
      <c r="R255" s="21">
        <f ca="1">Q255/Q$669</f>
        <v>1.5872687087846373E-3</v>
      </c>
      <c r="S255" s="22">
        <f ca="1">R255*S$699</f>
        <v>7896.3503723375334</v>
      </c>
      <c r="T255" s="2">
        <v>60000</v>
      </c>
      <c r="U255" s="21">
        <f ca="1">T255/T$669</f>
        <v>2.1017809213014003E-3</v>
      </c>
      <c r="V255" s="22">
        <f ca="1">U255*V$699</f>
        <v>10675.522574437657</v>
      </c>
      <c r="W255" s="2">
        <v>60000</v>
      </c>
      <c r="X255" s="21">
        <f ca="1">W255/W$669</f>
        <v>2.1510164434139119E-3</v>
      </c>
      <c r="Y255" s="22">
        <f ca="1">X255*Y$699</f>
        <v>11144.115373677867</v>
      </c>
      <c r="Z255" s="2">
        <v>60000</v>
      </c>
      <c r="AA255" s="21">
        <f ca="1">Z255/Z$669</f>
        <v>2.0394804700273389E-3</v>
      </c>
      <c r="AB255" s="22">
        <f ca="1">AA255*AB$699</f>
        <v>10756.455844445738</v>
      </c>
      <c r="AC255" s="2">
        <v>60000</v>
      </c>
      <c r="AD255" s="21">
        <f ca="1">AC255/AC$669</f>
        <v>1.9025463173481202E-3</v>
      </c>
      <c r="AE255" s="22">
        <f ca="1">AD255*AE$699</f>
        <v>10224.900011002745</v>
      </c>
      <c r="AF255" s="2">
        <v>60000</v>
      </c>
      <c r="AG255" s="21">
        <f ca="1">AF255/AF$669</f>
        <v>1.4947940095823644E-3</v>
      </c>
      <c r="AH255" s="22">
        <f ca="1">AG255*AH$699</f>
        <v>8178.1101954237465</v>
      </c>
      <c r="AI255" s="2">
        <v>60000</v>
      </c>
      <c r="AJ255" s="21">
        <f ca="1">AI255/AI$669</f>
        <v>1.3714916746170799E-3</v>
      </c>
      <c r="AK255" s="22">
        <f ca="1">AJ255*AK$699</f>
        <v>7638.5787974954001</v>
      </c>
      <c r="AL255" s="2">
        <v>600000</v>
      </c>
    </row>
    <row r="256" spans="1:38" ht="12.75" x14ac:dyDescent="0.2">
      <c r="A256" s="8" t="s">
        <v>16</v>
      </c>
      <c r="B256" s="8" t="s">
        <v>17</v>
      </c>
      <c r="C256" s="8" t="s">
        <v>18</v>
      </c>
      <c r="D256" s="8" t="s">
        <v>96</v>
      </c>
      <c r="E256" s="8" t="s">
        <v>99</v>
      </c>
      <c r="F256" s="8" t="s">
        <v>55</v>
      </c>
      <c r="G256" s="8" t="s">
        <v>614</v>
      </c>
      <c r="H256" s="20">
        <v>20200</v>
      </c>
      <c r="I256" s="21">
        <f>H256/H$654</f>
        <v>9.1559727570109037E-3</v>
      </c>
      <c r="J256" s="22">
        <f>I256*J$684</f>
        <v>14091.820330724127</v>
      </c>
      <c r="K256" s="2">
        <v>20200</v>
      </c>
      <c r="L256" s="21">
        <f ca="1">K256/K$654</f>
        <v>5.5812014389538958E-3</v>
      </c>
      <c r="M256" s="22">
        <f ca="1">L256*M$684</f>
        <v>16630.824979384746</v>
      </c>
      <c r="N256" s="2">
        <v>20200</v>
      </c>
      <c r="O256" s="21">
        <f ca="1">N256/N$654</f>
        <v>7.3917356964689311E-3</v>
      </c>
      <c r="P256" s="22">
        <f ca="1">O256*P$684</f>
        <v>22598.514200412614</v>
      </c>
      <c r="Q256" s="2">
        <v>20200</v>
      </c>
      <c r="R256" s="21">
        <f ca="1">Q256/Q$654</f>
        <v>6.5812996572353752E-3</v>
      </c>
      <c r="S256" s="22">
        <f ca="1">R256*S$684</f>
        <v>20583.572574775579</v>
      </c>
      <c r="T256" s="2">
        <v>20200</v>
      </c>
      <c r="U256" s="21">
        <f ca="1">T256/T$654</f>
        <v>3.6141003362129697E-3</v>
      </c>
      <c r="V256" s="22">
        <f ca="1">U256*V$684</f>
        <v>11540.776676721789</v>
      </c>
      <c r="W256" s="2">
        <v>20200</v>
      </c>
      <c r="X256" s="21">
        <f ca="1">W256/W$654</f>
        <v>8.7658985158238258E-3</v>
      </c>
      <c r="Y256" s="22">
        <f ca="1">X256*Y$684</f>
        <v>28551.665159693253</v>
      </c>
      <c r="Z256" s="2">
        <v>20200</v>
      </c>
      <c r="AA256" s="21">
        <f ca="1">Z256/Z$654</f>
        <v>1.0268854107807491E-2</v>
      </c>
      <c r="AB256" s="22">
        <f ca="1">AA256*AB$684</f>
        <v>34049.031667385156</v>
      </c>
      <c r="AC256" s="2">
        <v>20200</v>
      </c>
      <c r="AD256" s="21">
        <f ca="1">AC256/AC$654</f>
        <v>7.8741969712692438E-3</v>
      </c>
      <c r="AE256" s="22">
        <f ca="1">AD256*AE$684</f>
        <v>26604.998608506576</v>
      </c>
      <c r="AF256" s="2">
        <v>20200</v>
      </c>
      <c r="AG256" s="21">
        <f ca="1">AF256/AF$654</f>
        <v>7.3577687057783912E-3</v>
      </c>
      <c r="AH256" s="22">
        <f ca="1">AG256*AH$684</f>
        <v>25307.595015269409</v>
      </c>
      <c r="AI256" s="2">
        <v>20200</v>
      </c>
      <c r="AJ256" s="21">
        <f ca="1">AI256/AI$654</f>
        <v>9.661175826780841E-3</v>
      </c>
      <c r="AK256" s="22">
        <f ca="1">AJ256*AK$684</f>
        <v>33828.48185202264</v>
      </c>
      <c r="AL256" s="2">
        <v>202000</v>
      </c>
    </row>
    <row r="257" spans="1:38" ht="12.75" x14ac:dyDescent="0.2">
      <c r="A257" s="8" t="s">
        <v>16</v>
      </c>
      <c r="B257" s="8" t="s">
        <v>17</v>
      </c>
      <c r="C257" s="8" t="s">
        <v>18</v>
      </c>
      <c r="D257" s="8" t="s">
        <v>96</v>
      </c>
      <c r="E257" s="8" t="s">
        <v>199</v>
      </c>
      <c r="F257" s="8" t="s">
        <v>28</v>
      </c>
      <c r="G257" s="8" t="s">
        <v>615</v>
      </c>
      <c r="H257" s="20">
        <v>0</v>
      </c>
      <c r="I257" s="21">
        <f>H257/H$669</f>
        <v>0</v>
      </c>
      <c r="J257" s="22">
        <f>I257*J$699</f>
        <v>0</v>
      </c>
      <c r="K257" s="2">
        <v>0</v>
      </c>
      <c r="L257" s="21">
        <f ca="1">K257/K$669</f>
        <v>0</v>
      </c>
      <c r="M257" s="22">
        <f ca="1">L257*M$699</f>
        <v>0</v>
      </c>
      <c r="N257" s="2">
        <v>0</v>
      </c>
      <c r="O257" s="21">
        <f ca="1">N257/N$669</f>
        <v>0</v>
      </c>
      <c r="P257" s="22">
        <f ca="1">O257*P$699</f>
        <v>0</v>
      </c>
      <c r="Q257" s="2">
        <v>0</v>
      </c>
      <c r="R257" s="21">
        <f ca="1">Q257/Q$669</f>
        <v>0</v>
      </c>
      <c r="S257" s="22">
        <f ca="1">R257*S$699</f>
        <v>0</v>
      </c>
      <c r="T257" s="2">
        <v>0</v>
      </c>
      <c r="U257" s="21">
        <f ca="1">T257/T$669</f>
        <v>0</v>
      </c>
      <c r="V257" s="22">
        <f ca="1">U257*V$699</f>
        <v>0</v>
      </c>
      <c r="W257" s="2">
        <v>0</v>
      </c>
      <c r="X257" s="21">
        <f ca="1">W257/W$669</f>
        <v>0</v>
      </c>
      <c r="Y257" s="22">
        <f ca="1">X257*Y$699</f>
        <v>0</v>
      </c>
      <c r="Z257" s="2">
        <v>0</v>
      </c>
      <c r="AA257" s="21">
        <f ca="1">Z257/Z$669</f>
        <v>0</v>
      </c>
      <c r="AB257" s="22">
        <f ca="1">AA257*AB$699</f>
        <v>0</v>
      </c>
      <c r="AC257" s="2">
        <v>0</v>
      </c>
      <c r="AD257" s="21">
        <f ca="1">AC257/AC$669</f>
        <v>0</v>
      </c>
      <c r="AE257" s="22">
        <f ca="1">AD257*AE$699</f>
        <v>0</v>
      </c>
      <c r="AF257" s="2">
        <v>0</v>
      </c>
      <c r="AG257" s="21">
        <f ca="1">AF257/AF$669</f>
        <v>0</v>
      </c>
      <c r="AH257" s="22">
        <f ca="1">AG257*AH$699</f>
        <v>0</v>
      </c>
      <c r="AI257" s="2">
        <v>0</v>
      </c>
      <c r="AJ257" s="21">
        <f ca="1">AI257/AI$669</f>
        <v>0</v>
      </c>
      <c r="AK257" s="22">
        <f ca="1">AJ257*AK$699</f>
        <v>0</v>
      </c>
      <c r="AL257" s="2">
        <v>0</v>
      </c>
    </row>
    <row r="258" spans="1:38" ht="12.75" x14ac:dyDescent="0.2">
      <c r="A258" s="8" t="s">
        <v>16</v>
      </c>
      <c r="B258" s="8" t="s">
        <v>17</v>
      </c>
      <c r="C258" s="8" t="s">
        <v>18</v>
      </c>
      <c r="D258" s="8" t="s">
        <v>96</v>
      </c>
      <c r="E258" s="8" t="s">
        <v>100</v>
      </c>
      <c r="F258" s="8" t="s">
        <v>27</v>
      </c>
      <c r="G258" s="8" t="s">
        <v>616</v>
      </c>
      <c r="H258" s="20">
        <v>273000</v>
      </c>
      <c r="I258" s="21">
        <f>H258/H$657</f>
        <v>5.3526006571526005E-3</v>
      </c>
      <c r="J258" s="22">
        <f>I258*J$687</f>
        <v>55522.424917231438</v>
      </c>
      <c r="K258" s="2">
        <v>273000</v>
      </c>
      <c r="L258" s="21">
        <f ca="1">K258/K$657</f>
        <v>6.9895460342054754E-3</v>
      </c>
      <c r="M258" s="22">
        <f ca="1">L258*M$687</f>
        <v>109781.64727400398</v>
      </c>
      <c r="N258" s="2">
        <v>273000</v>
      </c>
      <c r="O258" s="21">
        <f ca="1">N258/N$657</f>
        <v>4.9358741710007334E-3</v>
      </c>
      <c r="P258" s="22">
        <f ca="1">O258*P$687</f>
        <v>79541.213792554991</v>
      </c>
      <c r="Q258" s="2">
        <v>273000</v>
      </c>
      <c r="R258" s="21">
        <f ca="1">Q258/Q$657</f>
        <v>4.9428207606831715E-3</v>
      </c>
      <c r="S258" s="22">
        <f ca="1">R258*S$687</f>
        <v>81485.180181114309</v>
      </c>
      <c r="T258" s="2">
        <v>273000</v>
      </c>
      <c r="U258" s="21">
        <f ca="1">T258/T$657</f>
        <v>7.0568955160054481E-3</v>
      </c>
      <c r="V258" s="22">
        <f ca="1">U258*V$687</f>
        <v>118779.96623667031</v>
      </c>
      <c r="W258" s="2">
        <v>273000</v>
      </c>
      <c r="X258" s="21">
        <f ca="1">W258/W$657</f>
        <v>6.9667296846790171E-3</v>
      </c>
      <c r="Y258" s="22">
        <f ca="1">X258*Y$687</f>
        <v>119607.56297442431</v>
      </c>
      <c r="Z258" s="2">
        <v>273000</v>
      </c>
      <c r="AA258" s="21">
        <f ca="1">Z258/Z$657</f>
        <v>5.6283133248334338E-3</v>
      </c>
      <c r="AB258" s="22">
        <f ca="1">AA258*AB$687</f>
        <v>98368.426881716776</v>
      </c>
      <c r="AC258" s="2">
        <v>273000</v>
      </c>
      <c r="AD258" s="21">
        <f ca="1">AC258/AC$657</f>
        <v>4.9702208928436688E-3</v>
      </c>
      <c r="AE258" s="22">
        <f ca="1">AD258*AE$687</f>
        <v>88517.132092348285</v>
      </c>
      <c r="AF258" s="2">
        <v>273000</v>
      </c>
      <c r="AG258" s="21">
        <f ca="1">AF258/AF$657</f>
        <v>5.4624587929060194E-3</v>
      </c>
      <c r="AH258" s="22">
        <f ca="1">AG258*AH$687</f>
        <v>99034.746849852992</v>
      </c>
      <c r="AI258" s="2">
        <v>273000</v>
      </c>
      <c r="AJ258" s="21">
        <f ca="1">AI258/AI$657</f>
        <v>4.919509357280763E-3</v>
      </c>
      <c r="AK258" s="22">
        <f ca="1">AJ258*AK$687</f>
        <v>90796.475547423557</v>
      </c>
      <c r="AL258" s="2">
        <v>2730000</v>
      </c>
    </row>
    <row r="259" spans="1:38" ht="12.75" x14ac:dyDescent="0.2">
      <c r="A259" s="8" t="s">
        <v>16</v>
      </c>
      <c r="B259" s="8" t="s">
        <v>17</v>
      </c>
      <c r="C259" s="8" t="s">
        <v>18</v>
      </c>
      <c r="D259" s="8" t="s">
        <v>96</v>
      </c>
      <c r="E259" s="8" t="s">
        <v>100</v>
      </c>
      <c r="F259" s="8" t="s">
        <v>28</v>
      </c>
      <c r="G259" s="8" t="s">
        <v>617</v>
      </c>
      <c r="H259" s="20">
        <v>0</v>
      </c>
      <c r="I259" s="21">
        <f>H259/H$669</f>
        <v>0</v>
      </c>
      <c r="J259" s="22">
        <f>I259*J$699</f>
        <v>0</v>
      </c>
      <c r="K259" s="2">
        <v>0</v>
      </c>
      <c r="L259" s="21">
        <f ca="1">K259/K$669</f>
        <v>0</v>
      </c>
      <c r="M259" s="22">
        <f ca="1">L259*M$699</f>
        <v>0</v>
      </c>
      <c r="N259" s="2">
        <v>0</v>
      </c>
      <c r="O259" s="21">
        <f ca="1">N259/N$669</f>
        <v>0</v>
      </c>
      <c r="P259" s="22">
        <f ca="1">O259*P$699</f>
        <v>0</v>
      </c>
      <c r="Q259" s="2">
        <v>0</v>
      </c>
      <c r="R259" s="21">
        <f ca="1">Q259/Q$669</f>
        <v>0</v>
      </c>
      <c r="S259" s="22">
        <f ca="1">R259*S$699</f>
        <v>0</v>
      </c>
      <c r="T259" s="2">
        <v>0</v>
      </c>
      <c r="U259" s="21">
        <f ca="1">T259/T$669</f>
        <v>0</v>
      </c>
      <c r="V259" s="22">
        <f ca="1">U259*V$699</f>
        <v>0</v>
      </c>
      <c r="W259" s="2">
        <v>0</v>
      </c>
      <c r="X259" s="21">
        <f ca="1">W259/W$669</f>
        <v>0</v>
      </c>
      <c r="Y259" s="22">
        <f ca="1">X259*Y$699</f>
        <v>0</v>
      </c>
      <c r="Z259" s="2">
        <v>0</v>
      </c>
      <c r="AA259" s="21">
        <f ca="1">Z259/Z$669</f>
        <v>0</v>
      </c>
      <c r="AB259" s="22">
        <f ca="1">AA259*AB$699</f>
        <v>0</v>
      </c>
      <c r="AC259" s="2">
        <v>0</v>
      </c>
      <c r="AD259" s="21">
        <f ca="1">AC259/AC$669</f>
        <v>0</v>
      </c>
      <c r="AE259" s="22">
        <f ca="1">AD259*AE$699</f>
        <v>0</v>
      </c>
      <c r="AF259" s="2">
        <v>0</v>
      </c>
      <c r="AG259" s="21">
        <f ca="1">AF259/AF$669</f>
        <v>0</v>
      </c>
      <c r="AH259" s="22">
        <f ca="1">AG259*AH$699</f>
        <v>0</v>
      </c>
      <c r="AI259" s="2">
        <v>117476.7132159177</v>
      </c>
      <c r="AJ259" s="21">
        <f ca="1">AI259/AI$669</f>
        <v>2.6853055689501568E-3</v>
      </c>
      <c r="AK259" s="22">
        <f ca="1">AJ259*AK$699</f>
        <v>14955.918846175942</v>
      </c>
      <c r="AL259" s="2">
        <v>117476.7132159177</v>
      </c>
    </row>
    <row r="260" spans="1:38" ht="12.75" x14ac:dyDescent="0.2">
      <c r="A260" s="8" t="s">
        <v>16</v>
      </c>
      <c r="B260" s="8" t="s">
        <v>17</v>
      </c>
      <c r="C260" s="8" t="s">
        <v>18</v>
      </c>
      <c r="D260" s="8" t="s">
        <v>96</v>
      </c>
      <c r="E260" s="8" t="s">
        <v>101</v>
      </c>
      <c r="F260" s="23" t="s">
        <v>37</v>
      </c>
      <c r="G260" s="8" t="s">
        <v>618</v>
      </c>
      <c r="H260" s="20">
        <v>686322.16147905716</v>
      </c>
      <c r="I260" s="21">
        <f>H260/H$649</f>
        <v>9.6867865780376622E-3</v>
      </c>
      <c r="J260" s="22">
        <f>I260*J$679</f>
        <v>466452.74529304262</v>
      </c>
      <c r="K260" s="2">
        <v>700114.48295028822</v>
      </c>
      <c r="L260" s="21">
        <f ca="1">K260/K$649</f>
        <v>8.3468760632774541E-3</v>
      </c>
      <c r="M260" s="22">
        <f ca="1">L260*M$679</f>
        <v>762339.86444601102</v>
      </c>
      <c r="N260" s="2">
        <v>726877.17591341736</v>
      </c>
      <c r="O260" s="21">
        <f ca="1">N260/N$649</f>
        <v>8.1434660367778675E-3</v>
      </c>
      <c r="P260" s="22">
        <f ca="1">O260*P$679</f>
        <v>2017193.5275653736</v>
      </c>
      <c r="Q260" s="2">
        <v>749954.3816127826</v>
      </c>
      <c r="R260" s="21">
        <f ca="1">Q260/Q$649</f>
        <v>9.5204393936754936E-3</v>
      </c>
      <c r="S260" s="22">
        <f ca="1">R260*S$679</f>
        <v>2412519.8921936532</v>
      </c>
      <c r="T260" s="2">
        <v>760899.47637215408</v>
      </c>
      <c r="U260" s="21">
        <f ca="1">T260/T$649</f>
        <v>9.7910317608886077E-3</v>
      </c>
      <c r="V260" s="22">
        <f ca="1">U260*V$679</f>
        <v>2533192.0227834741</v>
      </c>
      <c r="W260" s="2">
        <v>65000</v>
      </c>
      <c r="X260" s="21">
        <f ca="1">W260/W$649</f>
        <v>7.3087714762443254E-4</v>
      </c>
      <c r="Y260" s="22">
        <f ca="1">X260*Y$679</f>
        <v>192878.67196115648</v>
      </c>
      <c r="Z260" s="2">
        <v>65000</v>
      </c>
      <c r="AA260" s="21">
        <f ca="1">Z260/Z$649</f>
        <v>6.7298565390836785E-4</v>
      </c>
      <c r="AB260" s="22">
        <f ca="1">AA260*AB$679</f>
        <v>180797.91115569317</v>
      </c>
      <c r="AC260" s="2">
        <v>65000</v>
      </c>
      <c r="AD260" s="21">
        <f ca="1">AC260/AC$649</f>
        <v>6.6448664038087121E-4</v>
      </c>
      <c r="AE260" s="22">
        <f ca="1">AD260*AE$679</f>
        <v>181906.42548726746</v>
      </c>
      <c r="AF260" s="2">
        <v>65000</v>
      </c>
      <c r="AG260" s="21">
        <f ca="1">AF260/AF$649</f>
        <v>6.4125172102438377E-4</v>
      </c>
      <c r="AH260" s="22">
        <f ca="1">AG260*AH$679</f>
        <v>178705.57772498016</v>
      </c>
      <c r="AI260" s="2">
        <v>65000</v>
      </c>
      <c r="AJ260" s="21">
        <f ca="1">AI260/AI$649</f>
        <v>3.3932914849496424E-4</v>
      </c>
      <c r="AK260" s="22">
        <f ca="1">AJ260*AK$679</f>
        <v>96267.237502704811</v>
      </c>
      <c r="AL260" s="2">
        <v>3949167.6783276997</v>
      </c>
    </row>
    <row r="261" spans="1:38" ht="12.75" x14ac:dyDescent="0.2">
      <c r="A261" s="8" t="s">
        <v>16</v>
      </c>
      <c r="B261" s="8" t="s">
        <v>17</v>
      </c>
      <c r="C261" s="8" t="s">
        <v>18</v>
      </c>
      <c r="D261" s="8" t="s">
        <v>96</v>
      </c>
      <c r="E261" s="8" t="s">
        <v>101</v>
      </c>
      <c r="F261" s="8" t="s">
        <v>27</v>
      </c>
      <c r="G261" s="8" t="s">
        <v>619</v>
      </c>
      <c r="H261" s="20">
        <v>350000</v>
      </c>
      <c r="I261" s="21">
        <f>H261/H$657</f>
        <v>6.8623085348110254E-3</v>
      </c>
      <c r="J261" s="22">
        <f>I261*J$687</f>
        <v>71182.596047732601</v>
      </c>
      <c r="K261" s="2">
        <v>350000</v>
      </c>
      <c r="L261" s="21">
        <f ca="1">K261/K$657</f>
        <v>8.9609564541095841E-3</v>
      </c>
      <c r="M261" s="22">
        <f ca="1">L261*M$687</f>
        <v>140745.70163333844</v>
      </c>
      <c r="N261" s="2">
        <v>350000</v>
      </c>
      <c r="O261" s="21">
        <f ca="1">N261/N$657</f>
        <v>6.3280438089752993E-3</v>
      </c>
      <c r="P261" s="22">
        <f ca="1">O261*P$687</f>
        <v>101975.91511866024</v>
      </c>
      <c r="Q261" s="2">
        <v>350000</v>
      </c>
      <c r="R261" s="21">
        <f ca="1">Q261/Q$657</f>
        <v>6.3369496931835528E-3</v>
      </c>
      <c r="S261" s="22">
        <f ca="1">R261*S$687</f>
        <v>104468.17971937731</v>
      </c>
      <c r="T261" s="2">
        <v>350000</v>
      </c>
      <c r="U261" s="21">
        <f ca="1">T261/T$657</f>
        <v>9.0473019435967274E-3</v>
      </c>
      <c r="V261" s="22">
        <f ca="1">U261*V$687</f>
        <v>152282.00799573117</v>
      </c>
      <c r="W261" s="2">
        <v>350000</v>
      </c>
      <c r="X261" s="21">
        <f ca="1">W261/W$657</f>
        <v>8.9317047239474579E-3</v>
      </c>
      <c r="Y261" s="22">
        <f ca="1">X261*Y$687</f>
        <v>153343.02945439014</v>
      </c>
      <c r="Z261" s="2">
        <v>350000</v>
      </c>
      <c r="AA261" s="21">
        <f ca="1">Z261/Z$657</f>
        <v>7.2157863138890173E-3</v>
      </c>
      <c r="AB261" s="22">
        <f ca="1">AA261*AB$687</f>
        <v>126113.36779707279</v>
      </c>
      <c r="AC261" s="2">
        <v>350000</v>
      </c>
      <c r="AD261" s="21">
        <f ca="1">AC261/AC$657</f>
        <v>6.3720780677482937E-3</v>
      </c>
      <c r="AE261" s="22">
        <f ca="1">AD261*AE$687</f>
        <v>113483.50268249781</v>
      </c>
      <c r="AF261" s="2">
        <v>350000</v>
      </c>
      <c r="AG261" s="21">
        <f ca="1">AF261/AF$657</f>
        <v>7.0031522985974613E-3</v>
      </c>
      <c r="AH261" s="22">
        <f ca="1">AG261*AH$687</f>
        <v>126967.62416647821</v>
      </c>
      <c r="AI261" s="2">
        <v>350000</v>
      </c>
      <c r="AJ261" s="21">
        <f ca="1">AI261/AI$657</f>
        <v>6.3070632785650815E-3</v>
      </c>
      <c r="AK261" s="22">
        <f ca="1">AJ261*AK$687</f>
        <v>116405.73788131226</v>
      </c>
      <c r="AL261" s="2">
        <v>3500000</v>
      </c>
    </row>
    <row r="262" spans="1:38" ht="12.75" x14ac:dyDescent="0.2">
      <c r="A262" s="8" t="s">
        <v>16</v>
      </c>
      <c r="B262" s="8" t="s">
        <v>17</v>
      </c>
      <c r="C262" s="8" t="s">
        <v>18</v>
      </c>
      <c r="D262" s="8" t="s">
        <v>96</v>
      </c>
      <c r="E262" s="8" t="s">
        <v>101</v>
      </c>
      <c r="F262" s="8" t="s">
        <v>28</v>
      </c>
      <c r="G262" s="8" t="s">
        <v>620</v>
      </c>
      <c r="H262" s="20">
        <v>20000</v>
      </c>
      <c r="I262" s="21">
        <f>H262/H$669</f>
        <v>2.3539298682450365E-3</v>
      </c>
      <c r="J262" s="22">
        <f>I262*J$699</f>
        <v>26234.468347975409</v>
      </c>
      <c r="K262" s="2">
        <v>20000</v>
      </c>
      <c r="L262" s="21">
        <f ca="1">K262/K$669</f>
        <v>2.7569635489875029E-3</v>
      </c>
      <c r="M262" s="22">
        <f ca="1">L262*M$699</f>
        <v>13067.243543297694</v>
      </c>
      <c r="N262" s="2">
        <v>20000</v>
      </c>
      <c r="O262" s="21">
        <f ca="1">N262/N$669</f>
        <v>7.0910834375603542E-4</v>
      </c>
      <c r="P262" s="22">
        <f ca="1">O262*P$699</f>
        <v>3448.3625330968061</v>
      </c>
      <c r="Q262" s="2">
        <v>20000</v>
      </c>
      <c r="R262" s="21">
        <f ca="1">Q262/Q$669</f>
        <v>5.2908956959487913E-4</v>
      </c>
      <c r="S262" s="22">
        <f ca="1">R262*S$699</f>
        <v>2632.1167907791778</v>
      </c>
      <c r="T262" s="2">
        <v>20000</v>
      </c>
      <c r="U262" s="21">
        <f ca="1">T262/T$669</f>
        <v>7.0059364043380007E-4</v>
      </c>
      <c r="V262" s="22">
        <f ca="1">U262*V$699</f>
        <v>3558.5075248125522</v>
      </c>
      <c r="W262" s="2">
        <v>20000</v>
      </c>
      <c r="X262" s="21">
        <f ca="1">W262/W$669</f>
        <v>7.1700548113797055E-4</v>
      </c>
      <c r="Y262" s="22">
        <f ca="1">X262*Y$699</f>
        <v>3714.7051245592884</v>
      </c>
      <c r="Z262" s="2">
        <v>20000</v>
      </c>
      <c r="AA262" s="21">
        <f ca="1">Z262/Z$669</f>
        <v>6.7982682334244632E-4</v>
      </c>
      <c r="AB262" s="22">
        <f ca="1">AA262*AB$699</f>
        <v>3585.4852814819128</v>
      </c>
      <c r="AC262" s="2">
        <v>20000</v>
      </c>
      <c r="AD262" s="21">
        <f ca="1">AC262/AC$669</f>
        <v>6.3418210578270677E-4</v>
      </c>
      <c r="AE262" s="22">
        <f ca="1">AD262*AE$699</f>
        <v>3408.3000036675817</v>
      </c>
      <c r="AF262" s="2">
        <v>20000</v>
      </c>
      <c r="AG262" s="21">
        <f ca="1">AF262/AF$669</f>
        <v>4.9826466986078815E-4</v>
      </c>
      <c r="AH262" s="22">
        <f ca="1">AG262*AH$699</f>
        <v>2726.0367318079157</v>
      </c>
      <c r="AI262" s="2">
        <v>20000</v>
      </c>
      <c r="AJ262" s="21">
        <f ca="1">AI262/AI$669</f>
        <v>4.5716389153902665E-4</v>
      </c>
      <c r="AK262" s="22">
        <f ca="1">AJ262*AK$699</f>
        <v>2546.1929324984667</v>
      </c>
      <c r="AL262" s="2">
        <v>200000</v>
      </c>
    </row>
    <row r="263" spans="1:38" ht="12.75" x14ac:dyDescent="0.2">
      <c r="A263" s="8" t="s">
        <v>16</v>
      </c>
      <c r="B263" s="8" t="s">
        <v>17</v>
      </c>
      <c r="C263" s="8" t="s">
        <v>18</v>
      </c>
      <c r="D263" s="8" t="s">
        <v>96</v>
      </c>
      <c r="E263" s="8" t="s">
        <v>102</v>
      </c>
      <c r="F263" s="23" t="s">
        <v>37</v>
      </c>
      <c r="G263" s="8" t="s">
        <v>621</v>
      </c>
      <c r="H263" s="20">
        <v>860685</v>
      </c>
      <c r="I263" s="21">
        <f>H263/H$649</f>
        <v>1.2147752722935719E-2</v>
      </c>
      <c r="J263" s="22">
        <f>I263*J$679</f>
        <v>584956.89577815426</v>
      </c>
      <c r="K263" s="2">
        <v>860685</v>
      </c>
      <c r="L263" s="21">
        <f ca="1">K263/K$649</f>
        <v>1.0261223270583391E-2</v>
      </c>
      <c r="M263" s="22">
        <f ca="1">L263*M$679</f>
        <v>937181.70700562978</v>
      </c>
      <c r="N263" s="2">
        <v>860685</v>
      </c>
      <c r="O263" s="21">
        <f ca="1">N263/N$649</f>
        <v>9.6425631428810159E-3</v>
      </c>
      <c r="P263" s="22">
        <f ca="1">O263*P$679</f>
        <v>2388530.3718484193</v>
      </c>
      <c r="Q263" s="2">
        <v>860685</v>
      </c>
      <c r="R263" s="21">
        <f ca="1">Q263/Q$649</f>
        <v>1.0926130415991596E-2</v>
      </c>
      <c r="S263" s="22">
        <f ca="1">R263*S$679</f>
        <v>2768727.9844239834</v>
      </c>
      <c r="T263" s="2">
        <v>860685</v>
      </c>
      <c r="U263" s="21">
        <f ca="1">T263/T$649</f>
        <v>1.1075042673572283E-2</v>
      </c>
      <c r="V263" s="22">
        <f ca="1">U263*V$679</f>
        <v>2865398.7074936884</v>
      </c>
      <c r="W263" s="2">
        <v>860685</v>
      </c>
      <c r="X263" s="21">
        <f ca="1">W263/W$649</f>
        <v>9.6777691969713048E-3</v>
      </c>
      <c r="Y263" s="22">
        <f ca="1">X263*Y$679</f>
        <v>2553965.8427213538</v>
      </c>
      <c r="Z263" s="2">
        <v>860685</v>
      </c>
      <c r="AA263" s="21">
        <f ca="1">Z263/Z$649</f>
        <v>8.9112101159095937E-3</v>
      </c>
      <c r="AB263" s="22">
        <f ca="1">AA263*AB$679</f>
        <v>2394000.7717390428</v>
      </c>
      <c r="AC263" s="2">
        <v>860685</v>
      </c>
      <c r="AD263" s="21">
        <f ca="1">AC263/AC$649</f>
        <v>8.7986720627109254E-3</v>
      </c>
      <c r="AE263" s="22">
        <f ca="1">AD263*AE$679</f>
        <v>2408678.9510847507</v>
      </c>
      <c r="AF263" s="2">
        <v>860685</v>
      </c>
      <c r="AG263" s="21">
        <f ca="1">AF263/AF$649</f>
        <v>8.4910113463057199E-3</v>
      </c>
      <c r="AH263" s="22">
        <f ca="1">AG263*AH$679</f>
        <v>2366295.54098807</v>
      </c>
      <c r="AI263" s="2">
        <v>860685</v>
      </c>
      <c r="AJ263" s="21">
        <f ca="1">AI263/AI$649</f>
        <v>4.4931616641905895E-3</v>
      </c>
      <c r="AK263" s="22">
        <f ca="1">AJ263*AK$679</f>
        <v>1274704.1124617767</v>
      </c>
      <c r="AL263" s="2">
        <v>8606850</v>
      </c>
    </row>
    <row r="264" spans="1:38" ht="12.75" x14ac:dyDescent="0.2">
      <c r="A264" s="8" t="s">
        <v>16</v>
      </c>
      <c r="B264" s="8" t="s">
        <v>17</v>
      </c>
      <c r="C264" s="8" t="s">
        <v>18</v>
      </c>
      <c r="D264" s="8" t="s">
        <v>96</v>
      </c>
      <c r="E264" s="8" t="s">
        <v>102</v>
      </c>
      <c r="F264" s="8" t="s">
        <v>27</v>
      </c>
      <c r="G264" s="8" t="s">
        <v>622</v>
      </c>
      <c r="H264" s="20">
        <v>104000</v>
      </c>
      <c r="I264" s="21">
        <f>H264/H$657</f>
        <v>2.0390859646295619E-3</v>
      </c>
      <c r="J264" s="22">
        <f>I264*J$687</f>
        <v>21151.399968469119</v>
      </c>
      <c r="K264" s="2">
        <v>104000</v>
      </c>
      <c r="L264" s="21">
        <f ca="1">K264/K$657</f>
        <v>2.6626842035068475E-3</v>
      </c>
      <c r="M264" s="22">
        <f ca="1">L264*M$687</f>
        <v>41821.579913906273</v>
      </c>
      <c r="N264" s="2">
        <v>104000</v>
      </c>
      <c r="O264" s="21">
        <f ca="1">N264/N$657</f>
        <v>1.880333017524089E-3</v>
      </c>
      <c r="P264" s="22">
        <f ca="1">O264*P$687</f>
        <v>30301.414778116188</v>
      </c>
      <c r="Q264" s="2">
        <v>104000</v>
      </c>
      <c r="R264" s="21">
        <f ca="1">Q264/Q$657</f>
        <v>1.8829793374031129E-3</v>
      </c>
      <c r="S264" s="22">
        <f ca="1">R264*S$687</f>
        <v>31041.973402329259</v>
      </c>
      <c r="T264" s="2">
        <v>104000</v>
      </c>
      <c r="U264" s="21">
        <f ca="1">T264/T$657</f>
        <v>2.6883411489544563E-3</v>
      </c>
      <c r="V264" s="22">
        <f ca="1">U264*V$687</f>
        <v>45249.510947302973</v>
      </c>
      <c r="W264" s="2">
        <v>104000</v>
      </c>
      <c r="X264" s="21">
        <f ca="1">W264/W$657</f>
        <v>2.6539922608301019E-3</v>
      </c>
      <c r="Y264" s="22">
        <f ca="1">X264*Y$687</f>
        <v>45564.78589501878</v>
      </c>
      <c r="Z264" s="2">
        <v>104000</v>
      </c>
      <c r="AA264" s="21">
        <f ca="1">Z264/Z$657</f>
        <v>2.1441193618413081E-3</v>
      </c>
      <c r="AB264" s="22">
        <f ca="1">AA264*AB$687</f>
        <v>37473.686431130205</v>
      </c>
      <c r="AC264" s="2">
        <v>104000</v>
      </c>
      <c r="AD264" s="21">
        <f ca="1">AC264/AC$657</f>
        <v>1.8934174829880644E-3</v>
      </c>
      <c r="AE264" s="22">
        <f ca="1">AD264*AE$687</f>
        <v>33720.812225656489</v>
      </c>
      <c r="AF264" s="2">
        <v>104000</v>
      </c>
      <c r="AG264" s="21">
        <f ca="1">AF264/AF$657</f>
        <v>2.0809366830118171E-3</v>
      </c>
      <c r="AH264" s="22">
        <f ca="1">AG264*AH$687</f>
        <v>37727.522609467815</v>
      </c>
      <c r="AI264" s="2">
        <v>104000</v>
      </c>
      <c r="AJ264" s="21">
        <f ca="1">AI264/AI$657</f>
        <v>1.8740988027736241E-3</v>
      </c>
      <c r="AK264" s="22">
        <f ca="1">AJ264*AK$687</f>
        <v>34589.133541875643</v>
      </c>
      <c r="AL264" s="2">
        <v>1040000</v>
      </c>
    </row>
    <row r="265" spans="1:38" ht="12.75" x14ac:dyDescent="0.2">
      <c r="A265" s="8" t="s">
        <v>16</v>
      </c>
      <c r="B265" s="8" t="s">
        <v>17</v>
      </c>
      <c r="C265" s="8" t="s">
        <v>18</v>
      </c>
      <c r="D265" s="8" t="s">
        <v>96</v>
      </c>
      <c r="E265" s="8" t="s">
        <v>623</v>
      </c>
      <c r="F265" s="23" t="s">
        <v>37</v>
      </c>
      <c r="G265" s="8" t="s">
        <v>624</v>
      </c>
      <c r="H265" s="20">
        <v>0</v>
      </c>
      <c r="I265" s="21">
        <f>H265/H$649</f>
        <v>0</v>
      </c>
      <c r="J265" s="22">
        <f>I265*J$679</f>
        <v>0</v>
      </c>
      <c r="K265" s="2">
        <v>0</v>
      </c>
      <c r="L265" s="21">
        <f ca="1">K265/K$649</f>
        <v>0</v>
      </c>
      <c r="M265" s="22">
        <f ca="1">L265*M$679</f>
        <v>0</v>
      </c>
      <c r="N265" s="2">
        <v>0</v>
      </c>
      <c r="O265" s="21">
        <f ca="1">N265/N$649</f>
        <v>0</v>
      </c>
      <c r="P265" s="22">
        <f ca="1">O265*P$679</f>
        <v>0</v>
      </c>
      <c r="Q265" s="2">
        <v>0</v>
      </c>
      <c r="R265" s="21">
        <f ca="1">Q265/Q$649</f>
        <v>0</v>
      </c>
      <c r="S265" s="22">
        <f ca="1">R265*S$679</f>
        <v>0</v>
      </c>
      <c r="T265" s="2">
        <v>0</v>
      </c>
      <c r="U265" s="21">
        <f ca="1">T265/T$649</f>
        <v>0</v>
      </c>
      <c r="V265" s="22">
        <f ca="1">U265*V$679</f>
        <v>0</v>
      </c>
      <c r="W265" s="2">
        <v>0</v>
      </c>
      <c r="X265" s="21">
        <f ca="1">W265/W$649</f>
        <v>0</v>
      </c>
      <c r="Y265" s="22">
        <f ca="1">X265*Y$679</f>
        <v>0</v>
      </c>
      <c r="Z265" s="2">
        <v>0</v>
      </c>
      <c r="AA265" s="21">
        <f ca="1">Z265/Z$649</f>
        <v>0</v>
      </c>
      <c r="AB265" s="22">
        <f ca="1">AA265*AB$679</f>
        <v>0</v>
      </c>
      <c r="AC265" s="2">
        <v>0</v>
      </c>
      <c r="AD265" s="21">
        <f ca="1">AC265/AC$649</f>
        <v>0</v>
      </c>
      <c r="AE265" s="22">
        <f ca="1">AD265*AE$679</f>
        <v>0</v>
      </c>
      <c r="AF265" s="2">
        <v>0</v>
      </c>
      <c r="AG265" s="21">
        <f ca="1">AF265/AF$649</f>
        <v>0</v>
      </c>
      <c r="AH265" s="22">
        <f ca="1">AG265*AH$679</f>
        <v>0</v>
      </c>
      <c r="AI265" s="2">
        <v>0</v>
      </c>
      <c r="AJ265" s="21">
        <f ca="1">AI265/AI$649</f>
        <v>0</v>
      </c>
      <c r="AK265" s="22">
        <f ca="1">AJ265*AK$679</f>
        <v>0</v>
      </c>
      <c r="AL265" s="2">
        <v>0</v>
      </c>
    </row>
    <row r="266" spans="1:38" ht="12.75" x14ac:dyDescent="0.2">
      <c r="A266" s="8" t="s">
        <v>16</v>
      </c>
      <c r="B266" s="8" t="s">
        <v>17</v>
      </c>
      <c r="C266" s="8" t="s">
        <v>18</v>
      </c>
      <c r="D266" s="8" t="s">
        <v>96</v>
      </c>
      <c r="E266" s="8" t="s">
        <v>623</v>
      </c>
      <c r="F266" s="8" t="s">
        <v>28</v>
      </c>
      <c r="G266" s="8" t="s">
        <v>625</v>
      </c>
      <c r="H266" s="20">
        <v>0</v>
      </c>
      <c r="I266" s="21">
        <f>H266/H$669</f>
        <v>0</v>
      </c>
      <c r="J266" s="22">
        <f>I266*J$699</f>
        <v>0</v>
      </c>
      <c r="K266" s="2">
        <v>0</v>
      </c>
      <c r="L266" s="21">
        <f ca="1">K266/K$669</f>
        <v>0</v>
      </c>
      <c r="M266" s="22">
        <f ca="1">L266*M$699</f>
        <v>0</v>
      </c>
      <c r="N266" s="2">
        <v>0</v>
      </c>
      <c r="O266" s="21">
        <f ca="1">N266/N$669</f>
        <v>0</v>
      </c>
      <c r="P266" s="22">
        <f ca="1">O266*P$699</f>
        <v>0</v>
      </c>
      <c r="Q266" s="2">
        <v>0</v>
      </c>
      <c r="R266" s="21">
        <f ca="1">Q266/Q$669</f>
        <v>0</v>
      </c>
      <c r="S266" s="22">
        <f ca="1">R266*S$699</f>
        <v>0</v>
      </c>
      <c r="T266" s="2">
        <v>0</v>
      </c>
      <c r="U266" s="21">
        <f ca="1">T266/T$669</f>
        <v>0</v>
      </c>
      <c r="V266" s="22">
        <f ca="1">U266*V$699</f>
        <v>0</v>
      </c>
      <c r="W266" s="2">
        <v>0</v>
      </c>
      <c r="X266" s="21">
        <f ca="1">W266/W$669</f>
        <v>0</v>
      </c>
      <c r="Y266" s="22">
        <f ca="1">X266*Y$699</f>
        <v>0</v>
      </c>
      <c r="Z266" s="2">
        <v>0</v>
      </c>
      <c r="AA266" s="21">
        <f ca="1">Z266/Z$669</f>
        <v>0</v>
      </c>
      <c r="AB266" s="22">
        <f ca="1">AA266*AB$699</f>
        <v>0</v>
      </c>
      <c r="AC266" s="2">
        <v>0</v>
      </c>
      <c r="AD266" s="21">
        <f ca="1">AC266/AC$669</f>
        <v>0</v>
      </c>
      <c r="AE266" s="22">
        <f ca="1">AD266*AE$699</f>
        <v>0</v>
      </c>
      <c r="AF266" s="2">
        <v>0</v>
      </c>
      <c r="AG266" s="21">
        <f ca="1">AF266/AF$669</f>
        <v>0</v>
      </c>
      <c r="AH266" s="22">
        <f ca="1">AG266*AH$699</f>
        <v>0</v>
      </c>
      <c r="AI266" s="2">
        <v>0</v>
      </c>
      <c r="AJ266" s="21">
        <f ca="1">AI266/AI$669</f>
        <v>0</v>
      </c>
      <c r="AK266" s="22">
        <f ca="1">AJ266*AK$699</f>
        <v>0</v>
      </c>
      <c r="AL266" s="2">
        <v>0</v>
      </c>
    </row>
    <row r="267" spans="1:38" ht="12.75" x14ac:dyDescent="0.2">
      <c r="A267" s="8" t="s">
        <v>16</v>
      </c>
      <c r="B267" s="8" t="s">
        <v>17</v>
      </c>
      <c r="C267" s="8" t="s">
        <v>18</v>
      </c>
      <c r="D267" s="8" t="s">
        <v>96</v>
      </c>
      <c r="E267" s="8" t="s">
        <v>103</v>
      </c>
      <c r="F267" s="23" t="s">
        <v>37</v>
      </c>
      <c r="G267" s="8" t="s">
        <v>626</v>
      </c>
      <c r="H267" s="20">
        <v>3567896.6392833577</v>
      </c>
      <c r="I267" s="21">
        <f t="shared" ref="I267:I269" si="540">H267/H$649</f>
        <v>5.0357478188893273E-2</v>
      </c>
      <c r="J267" s="22">
        <f t="shared" ref="J267:J269" si="541">I267*J$679</f>
        <v>2424889.1784712197</v>
      </c>
      <c r="K267" s="2">
        <v>3342594.4545851354</v>
      </c>
      <c r="L267" s="21">
        <f t="shared" ref="L267:L269" ca="1" si="542">K267/K$649</f>
        <v>3.9850941984015044E-2</v>
      </c>
      <c r="M267" s="22">
        <f t="shared" ref="M267:M269" ca="1" si="543">L267*M$679</f>
        <v>3639680.4600703502</v>
      </c>
      <c r="N267" s="2">
        <v>3107425.2813197118</v>
      </c>
      <c r="O267" s="21">
        <f t="shared" ref="O267:O269" ca="1" si="544">N267/N$649</f>
        <v>3.4813601360439796E-2</v>
      </c>
      <c r="P267" s="22">
        <f t="shared" ref="P267:P269" ca="1" si="545">O267*P$679</f>
        <v>8623572.6923110653</v>
      </c>
      <c r="Q267" s="2">
        <v>3946448.3257543873</v>
      </c>
      <c r="R267" s="21">
        <f t="shared" ref="R267:R269" ca="1" si="546">Q267/Q$649</f>
        <v>5.009894338482037E-2</v>
      </c>
      <c r="S267" s="22">
        <f t="shared" ref="S267:S269" ca="1" si="547">R267*S$679</f>
        <v>12695285.637137104</v>
      </c>
      <c r="T267" s="2">
        <v>3855288.4116703253</v>
      </c>
      <c r="U267" s="21">
        <f t="shared" ref="U267:U269" ca="1" si="548">T267/T$649</f>
        <v>4.96087229104464E-2</v>
      </c>
      <c r="V267" s="22">
        <f t="shared" ref="V267:V269" ca="1" si="549">U267*V$679</f>
        <v>12835053.97656</v>
      </c>
      <c r="W267" s="2">
        <v>3588176.1269486663</v>
      </c>
      <c r="X267" s="21">
        <f t="shared" ref="X267:X269" ca="1" si="550">W267/W$649</f>
        <v>4.0346398966743462E-2</v>
      </c>
      <c r="Y267" s="22">
        <f t="shared" ref="Y267:Y269" ca="1" si="551">X267*Y$679</f>
        <v>10647425.32505515</v>
      </c>
      <c r="Z267" s="2">
        <v>3838280.4774003718</v>
      </c>
      <c r="AA267" s="21">
        <f t="shared" ref="AA267:AA269" ca="1" si="552">Z267/Z$649</f>
        <v>3.9740118414877103E-2</v>
      </c>
      <c r="AB267" s="22">
        <f t="shared" ref="AB267:AB269" ca="1" si="553">AA267*AB$679</f>
        <v>10676201.426825602</v>
      </c>
      <c r="AC267" s="2">
        <v>3077835.0848429636</v>
      </c>
      <c r="AD267" s="21">
        <f t="shared" ref="AD267:AD269" ca="1" si="554">AC267/AC$649</f>
        <v>3.146431223344115E-2</v>
      </c>
      <c r="AE267" s="22">
        <f t="shared" ref="AE267:AE269" ca="1" si="555">AD267*AE$679</f>
        <v>8613507.3618936017</v>
      </c>
      <c r="AF267" s="2">
        <v>3119444.9750084803</v>
      </c>
      <c r="AG267" s="21">
        <f t="shared" ref="AG267:AG269" ca="1" si="556">AF267/AF$649</f>
        <v>3.0774607059462368E-2</v>
      </c>
      <c r="AH267" s="22">
        <f t="shared" ref="AH267:AH269" ca="1" si="557">AG267*AH$679</f>
        <v>8576341.7913873345</v>
      </c>
      <c r="AI267" s="2">
        <v>8072724.4252002584</v>
      </c>
      <c r="AJ267" s="21">
        <f t="shared" ref="AJ267:AJ269" ca="1" si="558">AI267/AI$649</f>
        <v>4.2143241619041594E-2</v>
      </c>
      <c r="AK267" s="22">
        <f t="shared" ref="AK267:AK269" ca="1" si="559">AJ267*AK$679</f>
        <v>11955982.762071377</v>
      </c>
      <c r="AL267" s="2">
        <v>39516114.202013664</v>
      </c>
    </row>
    <row r="268" spans="1:38" ht="12.75" x14ac:dyDescent="0.2">
      <c r="A268" s="8" t="s">
        <v>16</v>
      </c>
      <c r="B268" s="8" t="s">
        <v>17</v>
      </c>
      <c r="C268" s="8" t="s">
        <v>18</v>
      </c>
      <c r="D268" s="8" t="s">
        <v>96</v>
      </c>
      <c r="E268" s="8" t="s">
        <v>104</v>
      </c>
      <c r="F268" s="23" t="s">
        <v>37</v>
      </c>
      <c r="G268" s="8" t="s">
        <v>627</v>
      </c>
      <c r="H268" s="20">
        <v>1673832.1549533657</v>
      </c>
      <c r="I268" s="21">
        <f t="shared" si="540"/>
        <v>2.3624553835691467E-2</v>
      </c>
      <c r="J268" s="22">
        <f t="shared" si="541"/>
        <v>1137605.118498846</v>
      </c>
      <c r="K268" s="2">
        <v>1800090.4939897587</v>
      </c>
      <c r="L268" s="21">
        <f t="shared" ca="1" si="542"/>
        <v>2.1460964773504433E-2</v>
      </c>
      <c r="M268" s="22">
        <f t="shared" ca="1" si="543"/>
        <v>1960080.496258131</v>
      </c>
      <c r="N268" s="2">
        <v>4227248.1007992011</v>
      </c>
      <c r="O268" s="21">
        <f t="shared" ca="1" si="544"/>
        <v>4.7359378556126978E-2</v>
      </c>
      <c r="P268" s="22">
        <f t="shared" ca="1" si="545"/>
        <v>11731249.502544414</v>
      </c>
      <c r="Q268" s="2">
        <v>2715054.6530296714</v>
      </c>
      <c r="R268" s="21">
        <f t="shared" ca="1" si="546"/>
        <v>3.4466780791517222E-2</v>
      </c>
      <c r="S268" s="22">
        <f t="shared" ca="1" si="547"/>
        <v>8734029.0548618827</v>
      </c>
      <c r="T268" s="2">
        <v>3449452.61627491</v>
      </c>
      <c r="U268" s="21">
        <f t="shared" ca="1" si="548"/>
        <v>4.4386546675857237E-2</v>
      </c>
      <c r="V268" s="22">
        <f t="shared" ca="1" si="549"/>
        <v>11483942.520474795</v>
      </c>
      <c r="W268" s="2">
        <v>2909078.665710079</v>
      </c>
      <c r="X268" s="21">
        <f t="shared" ca="1" si="550"/>
        <v>3.2710447960142656E-2</v>
      </c>
      <c r="Y268" s="22">
        <f t="shared" ca="1" si="551"/>
        <v>8632295.8411183562</v>
      </c>
      <c r="Z268" s="2">
        <v>2956537.548796786</v>
      </c>
      <c r="AA268" s="21">
        <f t="shared" ca="1" si="552"/>
        <v>3.0610882393563816E-2</v>
      </c>
      <c r="AB268" s="22">
        <f t="shared" ca="1" si="553"/>
        <v>8223627.8934743423</v>
      </c>
      <c r="AC268" s="2">
        <v>3801618.0966280638</v>
      </c>
      <c r="AD268" s="21">
        <f t="shared" ca="1" si="554"/>
        <v>3.8863452877530832E-2</v>
      </c>
      <c r="AE268" s="22">
        <f t="shared" ca="1" si="555"/>
        <v>10639057.831158776</v>
      </c>
      <c r="AF268" s="2">
        <v>4048004.5731003969</v>
      </c>
      <c r="AG268" s="21">
        <f t="shared" ca="1" si="556"/>
        <v>3.9935229218695474E-2</v>
      </c>
      <c r="AH268" s="22">
        <f t="shared" ca="1" si="557"/>
        <v>11129246.090296434</v>
      </c>
      <c r="AI268" s="2">
        <v>11664119.469374882</v>
      </c>
      <c r="AJ268" s="21">
        <f t="shared" ca="1" si="558"/>
        <v>6.0891934269023278E-2</v>
      </c>
      <c r="AK268" s="22">
        <f t="shared" ca="1" si="559"/>
        <v>17274962.449511308</v>
      </c>
      <c r="AL268" s="2">
        <v>39245036.372657113</v>
      </c>
    </row>
    <row r="269" spans="1:38" ht="12.75" x14ac:dyDescent="0.2">
      <c r="A269" s="8" t="s">
        <v>16</v>
      </c>
      <c r="B269" s="8" t="s">
        <v>17</v>
      </c>
      <c r="C269" s="8" t="s">
        <v>18</v>
      </c>
      <c r="D269" s="8" t="s">
        <v>96</v>
      </c>
      <c r="E269" s="8" t="s">
        <v>105</v>
      </c>
      <c r="F269" s="23" t="s">
        <v>37</v>
      </c>
      <c r="G269" s="8" t="s">
        <v>628</v>
      </c>
      <c r="H269" s="20">
        <v>2112153.3113496136</v>
      </c>
      <c r="I269" s="21">
        <f t="shared" si="540"/>
        <v>2.9811041367288803E-2</v>
      </c>
      <c r="J269" s="22">
        <f t="shared" si="541"/>
        <v>1435506.189157031</v>
      </c>
      <c r="K269" s="2">
        <v>3315265.5511945672</v>
      </c>
      <c r="L269" s="21">
        <f t="shared" ca="1" si="542"/>
        <v>3.9525122457206949E-2</v>
      </c>
      <c r="M269" s="22">
        <f t="shared" ca="1" si="543"/>
        <v>3609922.5947303423</v>
      </c>
      <c r="N269" s="2">
        <v>2638597.6963775824</v>
      </c>
      <c r="O269" s="21">
        <f t="shared" ca="1" si="544"/>
        <v>2.9561157561687756E-2</v>
      </c>
      <c r="P269" s="22">
        <f t="shared" ca="1" si="545"/>
        <v>7322505.6052877977</v>
      </c>
      <c r="Q269" s="2">
        <v>3255660.3144291132</v>
      </c>
      <c r="R269" s="21">
        <f t="shared" ca="1" si="546"/>
        <v>4.1329602799654572E-2</v>
      </c>
      <c r="S269" s="22">
        <f t="shared" ca="1" si="547"/>
        <v>10473097.382129896</v>
      </c>
      <c r="T269" s="2">
        <v>3350106.0210880316</v>
      </c>
      <c r="U269" s="21">
        <f t="shared" ca="1" si="548"/>
        <v>4.3108183765885773E-2</v>
      </c>
      <c r="V269" s="22">
        <f t="shared" ca="1" si="549"/>
        <v>11153197.1194949</v>
      </c>
      <c r="W269" s="2">
        <v>2604319.2731016483</v>
      </c>
      <c r="X269" s="21">
        <f t="shared" ca="1" si="550"/>
        <v>2.9283652951197975E-2</v>
      </c>
      <c r="Y269" s="22">
        <f t="shared" ca="1" si="551"/>
        <v>7727963.7347490825</v>
      </c>
      <c r="Z269" s="2">
        <v>3046935.6762620024</v>
      </c>
      <c r="AA269" s="21">
        <f t="shared" ca="1" si="552"/>
        <v>3.1546830746244904E-2</v>
      </c>
      <c r="AB269" s="22">
        <f t="shared" ca="1" si="553"/>
        <v>8475070.8568296842</v>
      </c>
      <c r="AC269" s="2">
        <v>3474964.9174960875</v>
      </c>
      <c r="AD269" s="21">
        <f t="shared" ca="1" si="554"/>
        <v>3.5524119437974871E-2</v>
      </c>
      <c r="AE269" s="22">
        <f t="shared" ca="1" si="555"/>
        <v>9724899.1820826251</v>
      </c>
      <c r="AF269" s="2">
        <v>2903730.979077518</v>
      </c>
      <c r="AG269" s="21">
        <f t="shared" ca="1" si="556"/>
        <v>2.8646499811158115E-2</v>
      </c>
      <c r="AH269" s="22">
        <f t="shared" ca="1" si="557"/>
        <v>7983275.7257533874</v>
      </c>
      <c r="AI269" s="2">
        <v>5970030.4355924781</v>
      </c>
      <c r="AJ269" s="21">
        <f t="shared" ca="1" si="558"/>
        <v>3.1166236064594094E-2</v>
      </c>
      <c r="AK269" s="22">
        <f t="shared" ca="1" si="559"/>
        <v>8841820.5821778048</v>
      </c>
      <c r="AL269" s="2">
        <v>32671764.175968647</v>
      </c>
    </row>
    <row r="270" spans="1:38" ht="12.75" x14ac:dyDescent="0.2">
      <c r="A270" s="8" t="s">
        <v>16</v>
      </c>
      <c r="B270" s="8" t="s">
        <v>17</v>
      </c>
      <c r="C270" s="8" t="s">
        <v>18</v>
      </c>
      <c r="D270" s="8" t="s">
        <v>96</v>
      </c>
      <c r="E270" s="8" t="s">
        <v>105</v>
      </c>
      <c r="F270" s="8" t="s">
        <v>28</v>
      </c>
      <c r="G270" s="8" t="s">
        <v>629</v>
      </c>
      <c r="H270" s="20">
        <v>0</v>
      </c>
      <c r="I270" s="21">
        <f t="shared" ref="I270:I271" si="560">H270/H$669</f>
        <v>0</v>
      </c>
      <c r="J270" s="22">
        <f t="shared" ref="J270:J271" si="561">I270*J$699</f>
        <v>0</v>
      </c>
      <c r="K270" s="2">
        <v>0</v>
      </c>
      <c r="L270" s="21">
        <f t="shared" ref="L270:L271" ca="1" si="562">K270/K$669</f>
        <v>0</v>
      </c>
      <c r="M270" s="22">
        <f t="shared" ref="M270:M271" ca="1" si="563">L270*M$699</f>
        <v>0</v>
      </c>
      <c r="N270" s="2">
        <v>0</v>
      </c>
      <c r="O270" s="21">
        <f t="shared" ref="O270:O271" ca="1" si="564">N270/N$669</f>
        <v>0</v>
      </c>
      <c r="P270" s="22">
        <f t="shared" ref="P270:P271" ca="1" si="565">O270*P$699</f>
        <v>0</v>
      </c>
      <c r="Q270" s="2">
        <v>0</v>
      </c>
      <c r="R270" s="21">
        <f t="shared" ref="R270:R271" ca="1" si="566">Q270/Q$669</f>
        <v>0</v>
      </c>
      <c r="S270" s="22">
        <f t="shared" ref="S270:S271" ca="1" si="567">R270*S$699</f>
        <v>0</v>
      </c>
      <c r="T270" s="2">
        <v>0</v>
      </c>
      <c r="U270" s="21">
        <f t="shared" ref="U270:U271" ca="1" si="568">T270/T$669</f>
        <v>0</v>
      </c>
      <c r="V270" s="22">
        <f t="shared" ref="V270:V271" ca="1" si="569">U270*V$699</f>
        <v>0</v>
      </c>
      <c r="W270" s="2">
        <v>96417.173649743505</v>
      </c>
      <c r="X270" s="21">
        <f t="shared" ref="X270:X271" ca="1" si="570">W270/W$669</f>
        <v>3.4565820991348801E-3</v>
      </c>
      <c r="Y270" s="22">
        <f t="shared" ref="Y270:Y271" ca="1" si="571">X270*Y$699</f>
        <v>17908.068452611253</v>
      </c>
      <c r="Z270" s="2">
        <v>0</v>
      </c>
      <c r="AA270" s="21">
        <f t="shared" ref="AA270:AA271" ca="1" si="572">Z270/Z$669</f>
        <v>0</v>
      </c>
      <c r="AB270" s="22">
        <f t="shared" ref="AB270:AB271" ca="1" si="573">AA270*AB$699</f>
        <v>0</v>
      </c>
      <c r="AC270" s="2">
        <v>0</v>
      </c>
      <c r="AD270" s="21">
        <f t="shared" ref="AD270:AD271" ca="1" si="574">AC270/AC$669</f>
        <v>0</v>
      </c>
      <c r="AE270" s="22">
        <f t="shared" ref="AE270:AE271" ca="1" si="575">AD270*AE$699</f>
        <v>0</v>
      </c>
      <c r="AF270" s="2">
        <v>0</v>
      </c>
      <c r="AG270" s="21">
        <f t="shared" ref="AG270:AG271" ca="1" si="576">AF270/AF$669</f>
        <v>0</v>
      </c>
      <c r="AH270" s="22">
        <f t="shared" ref="AH270:AH271" ca="1" si="577">AG270*AH$699</f>
        <v>0</v>
      </c>
      <c r="AI270" s="2">
        <v>0</v>
      </c>
      <c r="AJ270" s="21">
        <f t="shared" ref="AJ270:AJ271" ca="1" si="578">AI270/AI$669</f>
        <v>0</v>
      </c>
      <c r="AK270" s="22">
        <f t="shared" ref="AK270:AK271" ca="1" si="579">AJ270*AK$699</f>
        <v>0</v>
      </c>
      <c r="AL270" s="2">
        <v>96417.173649743505</v>
      </c>
    </row>
    <row r="271" spans="1:38" ht="12.75" x14ac:dyDescent="0.2">
      <c r="A271" s="8" t="s">
        <v>16</v>
      </c>
      <c r="B271" s="8" t="s">
        <v>17</v>
      </c>
      <c r="C271" s="8" t="s">
        <v>18</v>
      </c>
      <c r="D271" s="8" t="s">
        <v>96</v>
      </c>
      <c r="E271" s="8" t="s">
        <v>202</v>
      </c>
      <c r="F271" s="8" t="s">
        <v>28</v>
      </c>
      <c r="G271" s="8" t="s">
        <v>630</v>
      </c>
      <c r="H271" s="20">
        <v>0</v>
      </c>
      <c r="I271" s="21">
        <f t="shared" si="560"/>
        <v>0</v>
      </c>
      <c r="J271" s="22">
        <f t="shared" si="561"/>
        <v>0</v>
      </c>
      <c r="K271" s="2">
        <v>0</v>
      </c>
      <c r="L271" s="21">
        <f t="shared" ca="1" si="562"/>
        <v>0</v>
      </c>
      <c r="M271" s="22">
        <f t="shared" ca="1" si="563"/>
        <v>0</v>
      </c>
      <c r="N271" s="2">
        <v>0</v>
      </c>
      <c r="O271" s="21">
        <f t="shared" ca="1" si="564"/>
        <v>0</v>
      </c>
      <c r="P271" s="22">
        <f t="shared" ca="1" si="565"/>
        <v>0</v>
      </c>
      <c r="Q271" s="2">
        <v>0</v>
      </c>
      <c r="R271" s="21">
        <f t="shared" ca="1" si="566"/>
        <v>0</v>
      </c>
      <c r="S271" s="22">
        <f t="shared" ca="1" si="567"/>
        <v>0</v>
      </c>
      <c r="T271" s="2">
        <v>0</v>
      </c>
      <c r="U271" s="21">
        <f t="shared" ca="1" si="568"/>
        <v>0</v>
      </c>
      <c r="V271" s="22">
        <f t="shared" ca="1" si="569"/>
        <v>0</v>
      </c>
      <c r="W271" s="2">
        <v>0</v>
      </c>
      <c r="X271" s="21">
        <f t="shared" ca="1" si="570"/>
        <v>0</v>
      </c>
      <c r="Y271" s="22">
        <f t="shared" ca="1" si="571"/>
        <v>0</v>
      </c>
      <c r="Z271" s="2">
        <v>0</v>
      </c>
      <c r="AA271" s="21">
        <f t="shared" ca="1" si="572"/>
        <v>0</v>
      </c>
      <c r="AB271" s="22">
        <f t="shared" ca="1" si="573"/>
        <v>0</v>
      </c>
      <c r="AC271" s="2">
        <v>0</v>
      </c>
      <c r="AD271" s="21">
        <f t="shared" ca="1" si="574"/>
        <v>0</v>
      </c>
      <c r="AE271" s="22">
        <f t="shared" ca="1" si="575"/>
        <v>0</v>
      </c>
      <c r="AF271" s="2">
        <v>0</v>
      </c>
      <c r="AG271" s="21">
        <f t="shared" ca="1" si="576"/>
        <v>0</v>
      </c>
      <c r="AH271" s="22">
        <f t="shared" ca="1" si="577"/>
        <v>0</v>
      </c>
      <c r="AI271" s="2">
        <v>117476.7132159177</v>
      </c>
      <c r="AJ271" s="21">
        <f t="shared" ca="1" si="578"/>
        <v>2.6853055689501568E-3</v>
      </c>
      <c r="AK271" s="22">
        <f t="shared" ca="1" si="579"/>
        <v>14955.918846175942</v>
      </c>
      <c r="AL271" s="2">
        <v>117476.7132159177</v>
      </c>
    </row>
    <row r="272" spans="1:38" ht="12.75" x14ac:dyDescent="0.2">
      <c r="A272" s="8" t="s">
        <v>16</v>
      </c>
      <c r="B272" s="8" t="s">
        <v>17</v>
      </c>
      <c r="C272" s="8" t="s">
        <v>18</v>
      </c>
      <c r="D272" s="8" t="s">
        <v>96</v>
      </c>
      <c r="E272" s="8" t="s">
        <v>106</v>
      </c>
      <c r="F272" s="8" t="s">
        <v>24</v>
      </c>
      <c r="G272" s="8" t="s">
        <v>631</v>
      </c>
      <c r="H272" s="20">
        <v>207000</v>
      </c>
      <c r="I272" s="21">
        <f>H272/H$646</f>
        <v>2.5210360597801534E-3</v>
      </c>
      <c r="J272" s="22">
        <f>I272*J$676</f>
        <v>5424.3620276653692</v>
      </c>
      <c r="K272" s="2">
        <v>207000</v>
      </c>
      <c r="L272" s="21">
        <f ca="1">K272/K$646</f>
        <v>3.2775839594905089E-3</v>
      </c>
      <c r="M272" s="22">
        <f ca="1">L272*M$676</f>
        <v>12743.290026365759</v>
      </c>
      <c r="N272" s="2">
        <v>207000</v>
      </c>
      <c r="O272" s="21">
        <f ca="1">N272/N$646</f>
        <v>2.2082400363956818E-3</v>
      </c>
      <c r="P272" s="22">
        <f ca="1">O272*P$676</f>
        <v>37516.014445925932</v>
      </c>
      <c r="Q272" s="2">
        <v>207000</v>
      </c>
      <c r="R272" s="21">
        <f ca="1">Q272/Q$646</f>
        <v>1.8611333656641943E-3</v>
      </c>
      <c r="S272" s="22">
        <f ca="1">R272*S$676</f>
        <v>32346.220549149548</v>
      </c>
      <c r="T272" s="2">
        <v>207000</v>
      </c>
      <c r="U272" s="21">
        <f ca="1">T272/T$646</f>
        <v>2.4673082869273912E-3</v>
      </c>
      <c r="V272" s="22">
        <f ca="1">U272*V$676</f>
        <v>43781.960804404967</v>
      </c>
      <c r="W272" s="2">
        <v>207000</v>
      </c>
      <c r="X272" s="21">
        <f ca="1">W272/W$646</f>
        <v>2.3682353744260069E-3</v>
      </c>
      <c r="Y272" s="22">
        <f ca="1">X272*Y$676</f>
        <v>42864.407615123884</v>
      </c>
      <c r="Z272" s="2">
        <v>207000</v>
      </c>
      <c r="AA272" s="21">
        <f ca="1">Z272/Z$646</f>
        <v>1.7834726275779251E-3</v>
      </c>
      <c r="AB272" s="22">
        <f ca="1">AA272*AB$676</f>
        <v>32861.409587979666</v>
      </c>
      <c r="AC272" s="2">
        <v>207000</v>
      </c>
      <c r="AD272" s="21">
        <f ca="1">AC272/AC$646</f>
        <v>1.9895083327187498E-3</v>
      </c>
      <c r="AE272" s="22">
        <f ca="1">AD272*AE$676</f>
        <v>37354.221246470159</v>
      </c>
      <c r="AF272" s="2">
        <v>207000</v>
      </c>
      <c r="AG272" s="21">
        <f ca="1">AF272/AF$646</f>
        <v>2.1989992352426124E-3</v>
      </c>
      <c r="AH272" s="22">
        <f ca="1">AG272*AH$676</f>
        <v>42030.715257559808</v>
      </c>
      <c r="AI272" s="2">
        <v>207000</v>
      </c>
      <c r="AJ272" s="21">
        <f ca="1">AI272/AI$646</f>
        <v>1.6754508896530366E-3</v>
      </c>
      <c r="AK272" s="22">
        <f ca="1">AJ272*AK$676</f>
        <v>32600.268929487764</v>
      </c>
      <c r="AL272" s="2">
        <v>2070000</v>
      </c>
    </row>
    <row r="273" spans="1:38" ht="12.75" x14ac:dyDescent="0.2">
      <c r="A273" s="8" t="s">
        <v>16</v>
      </c>
      <c r="B273" s="8" t="s">
        <v>17</v>
      </c>
      <c r="C273" s="8" t="s">
        <v>18</v>
      </c>
      <c r="D273" s="8" t="s">
        <v>96</v>
      </c>
      <c r="E273" s="8" t="s">
        <v>106</v>
      </c>
      <c r="F273" s="23" t="s">
        <v>37</v>
      </c>
      <c r="G273" s="8" t="s">
        <v>632</v>
      </c>
      <c r="H273" s="20">
        <v>2317589.2259093518</v>
      </c>
      <c r="I273" s="21">
        <f>H273/H$649</f>
        <v>3.2710574518769138E-2</v>
      </c>
      <c r="J273" s="22">
        <f>I273*J$679</f>
        <v>1575128.8790635713</v>
      </c>
      <c r="K273" s="2">
        <v>1828069.3107240382</v>
      </c>
      <c r="L273" s="21">
        <f ca="1">K273/K$649</f>
        <v>2.1794532670420464E-2</v>
      </c>
      <c r="M273" s="22">
        <f ca="1">L273*M$679</f>
        <v>1990546.0385030052</v>
      </c>
      <c r="N273" s="2">
        <v>2448869.7998580211</v>
      </c>
      <c r="O273" s="21">
        <f ca="1">N273/N$649</f>
        <v>2.743556780218705E-2</v>
      </c>
      <c r="P273" s="22">
        <f ca="1">O273*P$679</f>
        <v>6795982.146387171</v>
      </c>
      <c r="Q273" s="2">
        <v>1580370.7070882926</v>
      </c>
      <c r="R273" s="21">
        <f ca="1">Q273/Q$649</f>
        <v>2.0062318329306935E-2</v>
      </c>
      <c r="S273" s="22">
        <f ca="1">R273*S$679</f>
        <v>5083876.9148750985</v>
      </c>
      <c r="T273" s="2">
        <v>1995807.2232805006</v>
      </c>
      <c r="U273" s="21">
        <f ca="1">T273/T$649</f>
        <v>2.5681463213667429E-2</v>
      </c>
      <c r="V273" s="22">
        <f ca="1">U273*V$679</f>
        <v>6644455.7974107992</v>
      </c>
      <c r="W273" s="2">
        <v>2028793.980134859</v>
      </c>
      <c r="X273" s="21">
        <f ca="1">W273/W$649</f>
        <v>2.2812294727978237E-2</v>
      </c>
      <c r="Y273" s="22">
        <f ca="1">X273*Y$679</f>
        <v>6020170.5934030842</v>
      </c>
      <c r="Z273" s="2">
        <v>3283245.8987007579</v>
      </c>
      <c r="AA273" s="21">
        <f ca="1">Z273/Z$649</f>
        <v>3.3993498278139946E-2</v>
      </c>
      <c r="AB273" s="22">
        <f ca="1">AA273*AB$679</f>
        <v>9132369.235316826</v>
      </c>
      <c r="AC273" s="2">
        <v>4522642.3274708278</v>
      </c>
      <c r="AD273" s="21">
        <f ca="1">AC273/AC$649</f>
        <v>4.6234390858852524E-2</v>
      </c>
      <c r="AE273" s="22">
        <f ca="1">AD273*AE$679</f>
        <v>12656887.685348215</v>
      </c>
      <c r="AF273" s="2">
        <v>4410144.3202450993</v>
      </c>
      <c r="AG273" s="21">
        <f ca="1">AF273/AF$649</f>
        <v>4.3507886697278175E-2</v>
      </c>
      <c r="AH273" s="22">
        <f ca="1">AG273*AH$679</f>
        <v>12124882.901537545</v>
      </c>
      <c r="AI273" s="2">
        <v>10815818.69839919</v>
      </c>
      <c r="AJ273" s="21">
        <f ca="1">AI273/AI$649</f>
        <v>5.646342383390323E-2</v>
      </c>
      <c r="AK273" s="22">
        <f ca="1">AJ273*AK$679</f>
        <v>16018599.806538315</v>
      </c>
      <c r="AL273" s="2">
        <v>35231351.49181094</v>
      </c>
    </row>
    <row r="274" spans="1:38" ht="12.75" x14ac:dyDescent="0.2">
      <c r="A274" s="8" t="s">
        <v>16</v>
      </c>
      <c r="B274" s="8" t="s">
        <v>17</v>
      </c>
      <c r="C274" s="8" t="s">
        <v>18</v>
      </c>
      <c r="D274" s="8" t="s">
        <v>96</v>
      </c>
      <c r="E274" s="8" t="s">
        <v>106</v>
      </c>
      <c r="F274" s="8" t="s">
        <v>28</v>
      </c>
      <c r="G274" s="8" t="s">
        <v>633</v>
      </c>
      <c r="H274" s="20">
        <v>0</v>
      </c>
      <c r="I274" s="21">
        <f>H274/H$669</f>
        <v>0</v>
      </c>
      <c r="J274" s="22">
        <f>I274*J$699</f>
        <v>0</v>
      </c>
      <c r="K274" s="2">
        <v>0</v>
      </c>
      <c r="L274" s="21">
        <f ca="1">K274/K$669</f>
        <v>0</v>
      </c>
      <c r="M274" s="22">
        <f ca="1">L274*M$699</f>
        <v>0</v>
      </c>
      <c r="N274" s="2">
        <v>0</v>
      </c>
      <c r="O274" s="21">
        <f ca="1">N274/N$669</f>
        <v>0</v>
      </c>
      <c r="P274" s="22">
        <f ca="1">O274*P$699</f>
        <v>0</v>
      </c>
      <c r="Q274" s="2">
        <v>0</v>
      </c>
      <c r="R274" s="21">
        <f ca="1">Q274/Q$669</f>
        <v>0</v>
      </c>
      <c r="S274" s="22">
        <f ca="1">R274*S$699</f>
        <v>0</v>
      </c>
      <c r="T274" s="2">
        <v>0</v>
      </c>
      <c r="U274" s="21">
        <f ca="1">T274/T$669</f>
        <v>0</v>
      </c>
      <c r="V274" s="22">
        <f ca="1">U274*V$699</f>
        <v>0</v>
      </c>
      <c r="W274" s="2">
        <v>0</v>
      </c>
      <c r="X274" s="21">
        <f ca="1">W274/W$669</f>
        <v>0</v>
      </c>
      <c r="Y274" s="22">
        <f ca="1">X274*Y$699</f>
        <v>0</v>
      </c>
      <c r="Z274" s="2">
        <v>0</v>
      </c>
      <c r="AA274" s="21">
        <f ca="1">Z274/Z$669</f>
        <v>0</v>
      </c>
      <c r="AB274" s="22">
        <f ca="1">AA274*AB$699</f>
        <v>0</v>
      </c>
      <c r="AC274" s="2">
        <v>0</v>
      </c>
      <c r="AD274" s="21">
        <f ca="1">AC274/AC$669</f>
        <v>0</v>
      </c>
      <c r="AE274" s="22">
        <f ca="1">AD274*AE$699</f>
        <v>0</v>
      </c>
      <c r="AF274" s="2">
        <v>0</v>
      </c>
      <c r="AG274" s="21">
        <f ca="1">AF274/AF$669</f>
        <v>0</v>
      </c>
      <c r="AH274" s="22">
        <f ca="1">AG274*AH$699</f>
        <v>0</v>
      </c>
      <c r="AI274" s="2">
        <v>117476.7132159177</v>
      </c>
      <c r="AJ274" s="21">
        <f ca="1">AI274/AI$669</f>
        <v>2.6853055689501568E-3</v>
      </c>
      <c r="AK274" s="22">
        <f ca="1">AJ274*AK$699</f>
        <v>14955.918846175942</v>
      </c>
      <c r="AL274" s="2">
        <v>117476.7132159177</v>
      </c>
    </row>
    <row r="275" spans="1:38" ht="12.75" x14ac:dyDescent="0.2">
      <c r="A275" s="8" t="s">
        <v>16</v>
      </c>
      <c r="B275" s="8" t="s">
        <v>17</v>
      </c>
      <c r="C275" s="8" t="s">
        <v>18</v>
      </c>
      <c r="D275" s="8" t="s">
        <v>96</v>
      </c>
      <c r="E275" s="8" t="s">
        <v>107</v>
      </c>
      <c r="F275" s="23" t="s">
        <v>37</v>
      </c>
      <c r="G275" s="8" t="s">
        <v>634</v>
      </c>
      <c r="H275" s="20">
        <v>175665.35828409542</v>
      </c>
      <c r="I275" s="21">
        <f t="shared" ref="I275:I276" si="580">H275/H$649</f>
        <v>2.4793499763805559E-3</v>
      </c>
      <c r="J275" s="22">
        <f t="shared" ref="J275:J276" si="581">I275*J$679</f>
        <v>119389.39644309093</v>
      </c>
      <c r="K275" s="2">
        <v>0</v>
      </c>
      <c r="L275" s="21">
        <f t="shared" ref="L275:L276" ca="1" si="582">K275/K$649</f>
        <v>0</v>
      </c>
      <c r="M275" s="22">
        <f t="shared" ref="M275:M276" ca="1" si="583">L275*M$679</f>
        <v>0</v>
      </c>
      <c r="N275" s="2">
        <v>0</v>
      </c>
      <c r="O275" s="21">
        <f t="shared" ref="O275:O276" ca="1" si="584">N275/N$649</f>
        <v>0</v>
      </c>
      <c r="P275" s="22">
        <f t="shared" ref="P275:P276" ca="1" si="585">O275*P$679</f>
        <v>0</v>
      </c>
      <c r="Q275" s="2">
        <v>0</v>
      </c>
      <c r="R275" s="21">
        <f t="shared" ref="R275:R276" ca="1" si="586">Q275/Q$649</f>
        <v>0</v>
      </c>
      <c r="S275" s="22">
        <f t="shared" ref="S275:S276" ca="1" si="587">R275*S$679</f>
        <v>0</v>
      </c>
      <c r="T275" s="2">
        <v>0</v>
      </c>
      <c r="U275" s="21">
        <f t="shared" ref="U275:U276" ca="1" si="588">T275/T$649</f>
        <v>0</v>
      </c>
      <c r="V275" s="22">
        <f t="shared" ref="V275:V276" ca="1" si="589">U275*V$679</f>
        <v>0</v>
      </c>
      <c r="W275" s="2">
        <v>0</v>
      </c>
      <c r="X275" s="21">
        <f t="shared" ref="X275:X276" ca="1" si="590">W275/W$649</f>
        <v>0</v>
      </c>
      <c r="Y275" s="22">
        <f t="shared" ref="Y275:Y276" ca="1" si="591">X275*Y$679</f>
        <v>0</v>
      </c>
      <c r="Z275" s="2">
        <v>0</v>
      </c>
      <c r="AA275" s="21">
        <f t="shared" ref="AA275:AA276" ca="1" si="592">Z275/Z$649</f>
        <v>0</v>
      </c>
      <c r="AB275" s="22">
        <f t="shared" ref="AB275:AB276" ca="1" si="593">AA275*AB$679</f>
        <v>0</v>
      </c>
      <c r="AC275" s="2">
        <v>0</v>
      </c>
      <c r="AD275" s="21">
        <f t="shared" ref="AD275:AD276" ca="1" si="594">AC275/AC$649</f>
        <v>0</v>
      </c>
      <c r="AE275" s="22">
        <f t="shared" ref="AE275:AE276" ca="1" si="595">AD275*AE$679</f>
        <v>0</v>
      </c>
      <c r="AF275" s="2">
        <v>0</v>
      </c>
      <c r="AG275" s="21">
        <f t="shared" ref="AG275:AG276" ca="1" si="596">AF275/AF$649</f>
        <v>0</v>
      </c>
      <c r="AH275" s="22">
        <f t="shared" ref="AH275:AH276" ca="1" si="597">AG275*AH$679</f>
        <v>0</v>
      </c>
      <c r="AI275" s="2">
        <v>0</v>
      </c>
      <c r="AJ275" s="21">
        <f t="shared" ref="AJ275:AJ276" ca="1" si="598">AI275/AI$649</f>
        <v>0</v>
      </c>
      <c r="AK275" s="22">
        <f t="shared" ref="AK275:AK276" ca="1" si="599">AJ275*AK$679</f>
        <v>0</v>
      </c>
      <c r="AL275" s="2">
        <v>175665.35828409542</v>
      </c>
    </row>
    <row r="276" spans="1:38" ht="12.75" x14ac:dyDescent="0.2">
      <c r="A276" s="8" t="s">
        <v>16</v>
      </c>
      <c r="B276" s="8" t="s">
        <v>17</v>
      </c>
      <c r="C276" s="8" t="s">
        <v>18</v>
      </c>
      <c r="D276" s="8" t="s">
        <v>96</v>
      </c>
      <c r="E276" s="8" t="s">
        <v>108</v>
      </c>
      <c r="F276" s="23" t="s">
        <v>37</v>
      </c>
      <c r="G276" s="8" t="s">
        <v>635</v>
      </c>
      <c r="H276" s="20">
        <v>526996.07485228626</v>
      </c>
      <c r="I276" s="21">
        <f t="shared" si="580"/>
        <v>7.4380499291416676E-3</v>
      </c>
      <c r="J276" s="22">
        <f t="shared" si="581"/>
        <v>358168.18932927278</v>
      </c>
      <c r="K276" s="2">
        <v>1948442.6145062472</v>
      </c>
      <c r="L276" s="21">
        <f t="shared" ca="1" si="582"/>
        <v>2.3229642316721966E-2</v>
      </c>
      <c r="M276" s="22">
        <f t="shared" ca="1" si="583"/>
        <v>2121617.9850531579</v>
      </c>
      <c r="N276" s="2">
        <v>1480500.1177236759</v>
      </c>
      <c r="O276" s="21">
        <f t="shared" ca="1" si="584"/>
        <v>1.6586574493796594E-2</v>
      </c>
      <c r="P276" s="22">
        <f t="shared" ca="1" si="585"/>
        <v>4108610.5796059649</v>
      </c>
      <c r="Q276" s="2">
        <v>1349763.5162286265</v>
      </c>
      <c r="R276" s="21">
        <f t="shared" ca="1" si="586"/>
        <v>1.7134831220552656E-2</v>
      </c>
      <c r="S276" s="22">
        <f t="shared" ca="1" si="587"/>
        <v>4342039.212646571</v>
      </c>
      <c r="T276" s="2">
        <v>1573758.2999267909</v>
      </c>
      <c r="U276" s="21">
        <f t="shared" ca="1" si="588"/>
        <v>2.0250661193790733E-2</v>
      </c>
      <c r="V276" s="22">
        <f t="shared" ca="1" si="589"/>
        <v>5239367.4788310369</v>
      </c>
      <c r="W276" s="2">
        <v>998741.7971672843</v>
      </c>
      <c r="X276" s="21">
        <f t="shared" ca="1" si="590"/>
        <v>1.1230116245029606E-2</v>
      </c>
      <c r="Y276" s="22">
        <f t="shared" ca="1" si="591"/>
        <v>2963630.6379957623</v>
      </c>
      <c r="Z276" s="2">
        <v>1214175.2609272469</v>
      </c>
      <c r="AA276" s="21">
        <f t="shared" ca="1" si="592"/>
        <v>1.2571115875915176E-2</v>
      </c>
      <c r="AB276" s="22">
        <f t="shared" ca="1" si="593"/>
        <v>3377236.1685009999</v>
      </c>
      <c r="AC276" s="2">
        <v>1025945.0282809879</v>
      </c>
      <c r="AD276" s="21">
        <f t="shared" ca="1" si="594"/>
        <v>1.0488104077813715E-2</v>
      </c>
      <c r="AE276" s="22">
        <f t="shared" ca="1" si="595"/>
        <v>2871169.1206312003</v>
      </c>
      <c r="AF276" s="2">
        <v>834139.28444925009</v>
      </c>
      <c r="AG276" s="21">
        <f t="shared" ca="1" si="596"/>
        <v>8.2291269496481481E-3</v>
      </c>
      <c r="AH276" s="22">
        <f t="shared" ca="1" si="597"/>
        <v>2293312.9650862277</v>
      </c>
      <c r="AI276" s="2">
        <v>1705725.9326067488</v>
      </c>
      <c r="AJ276" s="21">
        <f t="shared" ca="1" si="598"/>
        <v>8.9046542811881055E-3</v>
      </c>
      <c r="AK276" s="22">
        <f t="shared" ca="1" si="599"/>
        <v>2526238.8225965621</v>
      </c>
      <c r="AL276" s="2">
        <v>12658187.926669145</v>
      </c>
    </row>
    <row r="277" spans="1:38" ht="12.75" x14ac:dyDescent="0.2">
      <c r="A277" s="8" t="s">
        <v>16</v>
      </c>
      <c r="B277" s="8" t="s">
        <v>17</v>
      </c>
      <c r="C277" s="8" t="s">
        <v>18</v>
      </c>
      <c r="D277" s="8" t="s">
        <v>96</v>
      </c>
      <c r="E277" s="8" t="s">
        <v>108</v>
      </c>
      <c r="F277" s="8" t="s">
        <v>27</v>
      </c>
      <c r="G277" s="8" t="s">
        <v>636</v>
      </c>
      <c r="H277" s="20">
        <v>0</v>
      </c>
      <c r="I277" s="21">
        <f>H277/H$657</f>
        <v>0</v>
      </c>
      <c r="J277" s="22">
        <f>I277*J$687</f>
        <v>0</v>
      </c>
      <c r="K277" s="2">
        <v>0</v>
      </c>
      <c r="L277" s="21">
        <f ca="1">K277/K$657</f>
        <v>0</v>
      </c>
      <c r="M277" s="22">
        <f ca="1">L277*M$687</f>
        <v>0</v>
      </c>
      <c r="N277" s="2">
        <v>0</v>
      </c>
      <c r="O277" s="21">
        <f ca="1">N277/N$657</f>
        <v>0</v>
      </c>
      <c r="P277" s="22">
        <f ca="1">O277*P$687</f>
        <v>0</v>
      </c>
      <c r="Q277" s="2">
        <v>0</v>
      </c>
      <c r="R277" s="21">
        <f ca="1">Q277/Q$657</f>
        <v>0</v>
      </c>
      <c r="S277" s="22">
        <f ca="1">R277*S$687</f>
        <v>0</v>
      </c>
      <c r="T277" s="2">
        <v>0</v>
      </c>
      <c r="U277" s="21">
        <f ca="1">T277/T$657</f>
        <v>0</v>
      </c>
      <c r="V277" s="22">
        <f ca="1">U277*V$687</f>
        <v>0</v>
      </c>
      <c r="W277" s="2">
        <v>0</v>
      </c>
      <c r="X277" s="21">
        <f ca="1">W277/W$657</f>
        <v>0</v>
      </c>
      <c r="Y277" s="22">
        <f ca="1">X277*Y$687</f>
        <v>0</v>
      </c>
      <c r="Z277" s="2">
        <v>0</v>
      </c>
      <c r="AA277" s="21">
        <f ca="1">Z277/Z$657</f>
        <v>0</v>
      </c>
      <c r="AB277" s="22">
        <f ca="1">AA277*AB$687</f>
        <v>0</v>
      </c>
      <c r="AC277" s="2">
        <v>0</v>
      </c>
      <c r="AD277" s="21">
        <f ca="1">AC277/AC$657</f>
        <v>0</v>
      </c>
      <c r="AE277" s="22">
        <f ca="1">AD277*AE$687</f>
        <v>0</v>
      </c>
      <c r="AF277" s="2">
        <v>0</v>
      </c>
      <c r="AG277" s="21">
        <f ca="1">AF277/AF$657</f>
        <v>0</v>
      </c>
      <c r="AH277" s="22">
        <f ca="1">AG277*AH$687</f>
        <v>0</v>
      </c>
      <c r="AI277" s="2">
        <v>0</v>
      </c>
      <c r="AJ277" s="21">
        <f ca="1">AI277/AI$657</f>
        <v>0</v>
      </c>
      <c r="AK277" s="22">
        <f ca="1">AJ277*AK$687</f>
        <v>0</v>
      </c>
      <c r="AL277" s="2">
        <v>0</v>
      </c>
    </row>
    <row r="278" spans="1:38" ht="12.75" x14ac:dyDescent="0.2">
      <c r="A278" s="8" t="s">
        <v>16</v>
      </c>
      <c r="B278" s="8" t="s">
        <v>17</v>
      </c>
      <c r="C278" s="8" t="s">
        <v>18</v>
      </c>
      <c r="D278" s="8" t="s">
        <v>96</v>
      </c>
      <c r="E278" s="8" t="s">
        <v>109</v>
      </c>
      <c r="F278" s="23" t="s">
        <v>37</v>
      </c>
      <c r="G278" s="8" t="s">
        <v>637</v>
      </c>
      <c r="H278" s="20">
        <v>757001.93419081706</v>
      </c>
      <c r="I278" s="21">
        <f t="shared" ref="I278:I280" si="600">H278/H$649</f>
        <v>1.0684364555364742E-2</v>
      </c>
      <c r="J278" s="22">
        <f t="shared" ref="J278:J280" si="601">I278*J$679</f>
        <v>514489.62340730801</v>
      </c>
      <c r="K278" s="2">
        <v>773804.73752847395</v>
      </c>
      <c r="L278" s="21">
        <f t="shared" ref="L278:L280" ca="1" si="602">K278/K$649</f>
        <v>9.225422982409184E-3</v>
      </c>
      <c r="M278" s="22">
        <f t="shared" ref="M278:M280" ca="1" si="603">L278*M$679</f>
        <v>842579.62530540035</v>
      </c>
      <c r="N278" s="2">
        <v>1351256.7102712637</v>
      </c>
      <c r="O278" s="21">
        <f t="shared" ref="O278:O280" ca="1" si="604">N278/N$649</f>
        <v>1.5138614186412378E-2</v>
      </c>
      <c r="P278" s="22">
        <f t="shared" ref="P278:P280" ca="1" si="605">O278*P$679</f>
        <v>3749940.6782352347</v>
      </c>
      <c r="Q278" s="2">
        <v>580966.25426512188</v>
      </c>
      <c r="R278" s="21">
        <f t="shared" ref="R278:R280" ca="1" si="606">Q278/Q$649</f>
        <v>7.3751872768676755E-3</v>
      </c>
      <c r="S278" s="22">
        <f t="shared" ref="S278:S280" ca="1" si="607">R278*S$679</f>
        <v>1868903.8686509263</v>
      </c>
      <c r="T278" s="2">
        <v>590248.00544395961</v>
      </c>
      <c r="U278" s="21">
        <f t="shared" ref="U278:U280" ca="1" si="608">T278/T$649</f>
        <v>7.5951385794835249E-3</v>
      </c>
      <c r="V278" s="22">
        <f t="shared" ref="V278:V280" ca="1" si="609">U278*V$679</f>
        <v>1965057.915381178</v>
      </c>
      <c r="W278" s="2">
        <v>599048.72088956332</v>
      </c>
      <c r="X278" s="21">
        <f t="shared" ref="X278:X280" ca="1" si="610">W278/W$649</f>
        <v>6.7358618524896753E-3</v>
      </c>
      <c r="Y278" s="22">
        <f t="shared" ref="Y278:Y280" ca="1" si="611">X278*Y$679</f>
        <v>1777595.7188493614</v>
      </c>
      <c r="Z278" s="2">
        <v>608980.15032103809</v>
      </c>
      <c r="AA278" s="21">
        <f t="shared" ref="AA278:AA280" ca="1" si="612">Z278/Z$649</f>
        <v>6.3051523797079999E-3</v>
      </c>
      <c r="AB278" s="22">
        <f t="shared" ref="AB278:AB280" ca="1" si="613">AA278*AB$679</f>
        <v>1693882.1402049805</v>
      </c>
      <c r="AC278" s="2">
        <v>410378.01131239516</v>
      </c>
      <c r="AD278" s="21">
        <f t="shared" ref="AD278:AD280" ca="1" si="614">AC278/AC$649</f>
        <v>4.1952416311254867E-3</v>
      </c>
      <c r="AE278" s="22">
        <f t="shared" ref="AE278:AE280" ca="1" si="615">AD278*AE$679</f>
        <v>1148467.6482524804</v>
      </c>
      <c r="AF278" s="2">
        <v>417069.64222462504</v>
      </c>
      <c r="AG278" s="21">
        <f t="shared" ref="AG278:AG280" ca="1" si="616">AF278/AF$649</f>
        <v>4.1145634748240741E-3</v>
      </c>
      <c r="AH278" s="22">
        <f t="shared" ref="AH278:AH280" ca="1" si="617">AG278*AH$679</f>
        <v>1146656.4825431139</v>
      </c>
      <c r="AI278" s="2">
        <v>852862.96630337439</v>
      </c>
      <c r="AJ278" s="21">
        <f t="shared" ref="AJ278:AJ280" ca="1" si="618">AI278/AI$649</f>
        <v>4.4523271405940527E-3</v>
      </c>
      <c r="AK278" s="22">
        <f t="shared" ref="AK278:AK280" ca="1" si="619">AJ278*AK$679</f>
        <v>1263119.411298281</v>
      </c>
      <c r="AL278" s="2">
        <v>6941617.1327506332</v>
      </c>
    </row>
    <row r="279" spans="1:38" ht="12.75" x14ac:dyDescent="0.2">
      <c r="A279" s="8" t="s">
        <v>16</v>
      </c>
      <c r="B279" s="8" t="s">
        <v>17</v>
      </c>
      <c r="C279" s="8" t="s">
        <v>18</v>
      </c>
      <c r="D279" s="8" t="s">
        <v>96</v>
      </c>
      <c r="E279" s="8" t="s">
        <v>110</v>
      </c>
      <c r="F279" s="23" t="s">
        <v>37</v>
      </c>
      <c r="G279" s="8" t="s">
        <v>638</v>
      </c>
      <c r="H279" s="20">
        <v>351330.71656819084</v>
      </c>
      <c r="I279" s="21">
        <f t="shared" si="600"/>
        <v>4.9586999527611118E-3</v>
      </c>
      <c r="J279" s="22">
        <f t="shared" si="601"/>
        <v>238778.79288618185</v>
      </c>
      <c r="K279" s="2">
        <v>359129.38058483577</v>
      </c>
      <c r="L279" s="21">
        <f t="shared" ca="1" si="602"/>
        <v>4.2815975150110848E-3</v>
      </c>
      <c r="M279" s="22">
        <f t="shared" ca="1" si="603"/>
        <v>391048.39277130528</v>
      </c>
      <c r="N279" s="2">
        <v>374261.88024670572</v>
      </c>
      <c r="O279" s="21">
        <f t="shared" ca="1" si="604"/>
        <v>4.1929902487579463E-3</v>
      </c>
      <c r="P279" s="22">
        <f t="shared" ca="1" si="605"/>
        <v>1038633.0283371414</v>
      </c>
      <c r="Q279" s="2">
        <v>387310.2758127175</v>
      </c>
      <c r="R279" s="21">
        <f t="shared" ca="1" si="606"/>
        <v>4.9167844042633801E-3</v>
      </c>
      <c r="S279" s="22">
        <f t="shared" ca="1" si="607"/>
        <v>1245934.1098051467</v>
      </c>
      <c r="T279" s="2">
        <v>393498.67029597302</v>
      </c>
      <c r="U279" s="21">
        <f t="shared" ca="1" si="608"/>
        <v>5.063425719655683E-3</v>
      </c>
      <c r="V279" s="22">
        <f t="shared" ca="1" si="609"/>
        <v>1310038.6102541187</v>
      </c>
      <c r="W279" s="2">
        <v>399496.7188669137</v>
      </c>
      <c r="X279" s="21">
        <f t="shared" ca="1" si="610"/>
        <v>4.4920464980118422E-3</v>
      </c>
      <c r="Y279" s="22">
        <f t="shared" ca="1" si="611"/>
        <v>1185452.2551983048</v>
      </c>
      <c r="Z279" s="2">
        <v>1742964.2076697594</v>
      </c>
      <c r="AA279" s="21">
        <f t="shared" ca="1" si="612"/>
        <v>1.8045998569807896E-2</v>
      </c>
      <c r="AB279" s="22">
        <f t="shared" ca="1" si="613"/>
        <v>4848065.9687050814</v>
      </c>
      <c r="AC279" s="2">
        <v>1022119.0968654853</v>
      </c>
      <c r="AD279" s="21">
        <f t="shared" ca="1" si="614"/>
        <v>1.0448992073004254E-2</v>
      </c>
      <c r="AE279" s="22">
        <f t="shared" ca="1" si="615"/>
        <v>2860462.0205088388</v>
      </c>
      <c r="AF279" s="2">
        <v>625604.4633369376</v>
      </c>
      <c r="AG279" s="21">
        <f t="shared" ca="1" si="616"/>
        <v>6.171845212236112E-3</v>
      </c>
      <c r="AH279" s="22">
        <f t="shared" ca="1" si="617"/>
        <v>1719984.7238146709</v>
      </c>
      <c r="AI279" s="2">
        <v>2309154.8718163646</v>
      </c>
      <c r="AJ279" s="21">
        <f t="shared" ca="1" si="618"/>
        <v>1.2054823944560698E-2</v>
      </c>
      <c r="AK279" s="22">
        <f t="shared" ca="1" si="619"/>
        <v>3419937.8534719055</v>
      </c>
      <c r="AL279" s="2">
        <v>7964870.2820638847</v>
      </c>
    </row>
    <row r="280" spans="1:38" ht="12.75" x14ac:dyDescent="0.2">
      <c r="A280" s="8" t="s">
        <v>16</v>
      </c>
      <c r="B280" s="8" t="s">
        <v>17</v>
      </c>
      <c r="C280" s="8" t="s">
        <v>18</v>
      </c>
      <c r="D280" s="8" t="s">
        <v>96</v>
      </c>
      <c r="E280" s="8" t="s">
        <v>111</v>
      </c>
      <c r="F280" s="23" t="s">
        <v>37</v>
      </c>
      <c r="G280" s="8" t="s">
        <v>639</v>
      </c>
      <c r="H280" s="20">
        <v>0</v>
      </c>
      <c r="I280" s="21">
        <f t="shared" si="600"/>
        <v>0</v>
      </c>
      <c r="J280" s="22">
        <f t="shared" si="601"/>
        <v>0</v>
      </c>
      <c r="K280" s="2">
        <v>0</v>
      </c>
      <c r="L280" s="21">
        <f t="shared" ca="1" si="602"/>
        <v>0</v>
      </c>
      <c r="M280" s="22">
        <f t="shared" ca="1" si="603"/>
        <v>0</v>
      </c>
      <c r="N280" s="2">
        <v>561392.82037005853</v>
      </c>
      <c r="O280" s="21">
        <f t="shared" ca="1" si="604"/>
        <v>6.289485373136919E-3</v>
      </c>
      <c r="P280" s="22">
        <f t="shared" ca="1" si="605"/>
        <v>1557949.542505712</v>
      </c>
      <c r="Q280" s="2">
        <v>580966.25426512188</v>
      </c>
      <c r="R280" s="21">
        <f t="shared" ca="1" si="606"/>
        <v>7.3751872768676755E-3</v>
      </c>
      <c r="S280" s="22">
        <f t="shared" ca="1" si="607"/>
        <v>1868903.8686509263</v>
      </c>
      <c r="T280" s="2">
        <v>590248.00544395961</v>
      </c>
      <c r="U280" s="21">
        <f t="shared" ca="1" si="608"/>
        <v>7.5951385794835249E-3</v>
      </c>
      <c r="V280" s="22">
        <f t="shared" ca="1" si="609"/>
        <v>1965057.915381178</v>
      </c>
      <c r="W280" s="2">
        <v>599048.72088956332</v>
      </c>
      <c r="X280" s="21">
        <f t="shared" ca="1" si="610"/>
        <v>6.7358618524896753E-3</v>
      </c>
      <c r="Y280" s="22">
        <f t="shared" ca="1" si="611"/>
        <v>1777595.7188493614</v>
      </c>
      <c r="Z280" s="2">
        <v>1014966.9172017301</v>
      </c>
      <c r="AA280" s="21">
        <f t="shared" ca="1" si="612"/>
        <v>1.0508587299513332E-2</v>
      </c>
      <c r="AB280" s="22">
        <f t="shared" ca="1" si="613"/>
        <v>2823136.9003416342</v>
      </c>
      <c r="AC280" s="2">
        <v>1025945.0282809879</v>
      </c>
      <c r="AD280" s="21">
        <f t="shared" ca="1" si="614"/>
        <v>1.0488104077813715E-2</v>
      </c>
      <c r="AE280" s="22">
        <f t="shared" ca="1" si="615"/>
        <v>2871169.1206312003</v>
      </c>
      <c r="AF280" s="2">
        <v>1038734.3355568752</v>
      </c>
      <c r="AG280" s="21">
        <f t="shared" ca="1" si="616"/>
        <v>1.0247541236353323E-2</v>
      </c>
      <c r="AH280" s="22">
        <f t="shared" ca="1" si="617"/>
        <v>2855809.5313609969</v>
      </c>
      <c r="AI280" s="2">
        <v>2126126.173283027</v>
      </c>
      <c r="AJ280" s="21">
        <f t="shared" ca="1" si="618"/>
        <v>1.1099332061122867E-2</v>
      </c>
      <c r="AK280" s="22">
        <f t="shared" ca="1" si="619"/>
        <v>3148866.0505254474</v>
      </c>
      <c r="AL280" s="2">
        <v>7537428.2552913222</v>
      </c>
    </row>
    <row r="281" spans="1:38" ht="12.75" x14ac:dyDescent="0.2">
      <c r="A281" s="8" t="s">
        <v>16</v>
      </c>
      <c r="B281" s="8" t="s">
        <v>17</v>
      </c>
      <c r="C281" s="8" t="s">
        <v>18</v>
      </c>
      <c r="D281" s="8" t="s">
        <v>112</v>
      </c>
      <c r="E281" s="8" t="s">
        <v>113</v>
      </c>
      <c r="F281" s="8" t="s">
        <v>21</v>
      </c>
      <c r="G281" s="8" t="s">
        <v>640</v>
      </c>
      <c r="H281" s="20">
        <v>800000</v>
      </c>
      <c r="I281" s="21">
        <f>H281/H$645</f>
        <v>5.2947973170546392E-2</v>
      </c>
      <c r="J281" s="22">
        <f>I281*J$675</f>
        <v>7476.2538116811502</v>
      </c>
      <c r="K281" s="2">
        <v>1063087.8434932721</v>
      </c>
      <c r="L281" s="21">
        <f ca="1">K281/K$645</f>
        <v>6.9487703187742486E-2</v>
      </c>
      <c r="M281" s="22">
        <f ca="1">L281*M$675</f>
        <v>29981.164417383374</v>
      </c>
      <c r="N281" s="2">
        <v>1317286.0486113976</v>
      </c>
      <c r="O281" s="21">
        <f ca="1">N281/N$645</f>
        <v>6.0636476588943874E-2</v>
      </c>
      <c r="P281" s="22">
        <f ca="1">O281*P$675</f>
        <v>26842.431757981434</v>
      </c>
      <c r="Q281" s="2">
        <v>800000</v>
      </c>
      <c r="R281" s="21">
        <f ca="1">Q281/Q$645</f>
        <v>3.1686666651385531E-2</v>
      </c>
      <c r="S281" s="22">
        <f ca="1">R281*S$675</f>
        <v>14349.609600746458</v>
      </c>
      <c r="T281" s="2">
        <v>800000</v>
      </c>
      <c r="U281" s="21">
        <f ca="1">T281/T$645</f>
        <v>3.8757521683199778E-2</v>
      </c>
      <c r="V281" s="22">
        <f ca="1">U281*V$675</f>
        <v>17920.299797652406</v>
      </c>
      <c r="W281" s="2">
        <v>800000</v>
      </c>
      <c r="X281" s="21">
        <f ca="1">W281/W$645</f>
        <v>3.8702739138625257E-2</v>
      </c>
      <c r="Y281" s="22">
        <f ca="1">X281*Y$675</f>
        <v>18252.869724341028</v>
      </c>
      <c r="Z281" s="2">
        <v>800000</v>
      </c>
      <c r="AA281" s="21">
        <f ca="1">Z281/Z$645</f>
        <v>3.8885514521567167E-2</v>
      </c>
      <c r="AB281" s="22">
        <f ca="1">AA281*AB$675</f>
        <v>18669.172723442978</v>
      </c>
      <c r="AC281" s="2">
        <v>800000</v>
      </c>
      <c r="AD281" s="21">
        <f ca="1">AC281/AC$645</f>
        <v>3.368655509176148E-2</v>
      </c>
      <c r="AE281" s="22">
        <f ca="1">AD281*AE$675</f>
        <v>16480.410016818896</v>
      </c>
      <c r="AF281" s="2">
        <v>800000</v>
      </c>
      <c r="AG281" s="21">
        <f ca="1">AF281/AF$645</f>
        <v>3.6676097875267336E-2</v>
      </c>
      <c r="AH281" s="22">
        <f ca="1">AG281*AH$675</f>
        <v>18265.951797952424</v>
      </c>
      <c r="AI281" s="2">
        <v>800000</v>
      </c>
      <c r="AJ281" s="21">
        <f ca="1">AI281/AI$645</f>
        <v>3.1377152254805217E-2</v>
      </c>
      <c r="AK281" s="22">
        <f ca="1">AJ281*AK$675</f>
        <v>15908.17979568963</v>
      </c>
      <c r="AL281" s="2">
        <v>8780373.8921046704</v>
      </c>
    </row>
    <row r="282" spans="1:38" ht="12.75" x14ac:dyDescent="0.2">
      <c r="A282" s="8" t="s">
        <v>16</v>
      </c>
      <c r="B282" s="8" t="s">
        <v>17</v>
      </c>
      <c r="C282" s="8" t="s">
        <v>18</v>
      </c>
      <c r="D282" s="8" t="s">
        <v>112</v>
      </c>
      <c r="E282" s="8" t="s">
        <v>113</v>
      </c>
      <c r="F282" s="8" t="s">
        <v>24</v>
      </c>
      <c r="G282" s="8" t="s">
        <v>641</v>
      </c>
      <c r="H282" s="20">
        <v>1327554.221326099</v>
      </c>
      <c r="I282" s="21">
        <f t="shared" ref="I282:I283" si="620">H282/H$646</f>
        <v>1.6168174218726853E-2</v>
      </c>
      <c r="J282" s="22">
        <f t="shared" ref="J282:J283" si="621">I282*J$676</f>
        <v>34788.090375981446</v>
      </c>
      <c r="K282" s="2">
        <v>1318701.1415219882</v>
      </c>
      <c r="L282" s="21">
        <f t="shared" ref="L282:L283" ca="1" si="622">K282/K$646</f>
        <v>2.0879969607798511E-2</v>
      </c>
      <c r="M282" s="22">
        <f t="shared" ref="M282:M283" ca="1" si="623">L282*M$676</f>
        <v>81181.599538716386</v>
      </c>
      <c r="N282" s="2">
        <v>1321023.618294117</v>
      </c>
      <c r="O282" s="21">
        <f t="shared" ref="O282:O283" ca="1" si="624">N282/N$646</f>
        <v>1.409245044899206E-2</v>
      </c>
      <c r="P282" s="22">
        <f t="shared" ref="P282:P283" ca="1" si="625">O282*P$676</f>
        <v>239418.07317551423</v>
      </c>
      <c r="Q282" s="2">
        <v>1431389.0502206581</v>
      </c>
      <c r="R282" s="21">
        <f t="shared" ref="R282:R283" ca="1" si="626">Q282/Q$646</f>
        <v>1.2869593819381873E-2</v>
      </c>
      <c r="S282" s="22">
        <f t="shared" ref="S282:S283" ca="1" si="627">R282*S$676</f>
        <v>223671.62275398601</v>
      </c>
      <c r="T282" s="2">
        <v>1264367.797252096</v>
      </c>
      <c r="U282" s="21">
        <f t="shared" ref="U282:U283" ca="1" si="628">T282/T$646</f>
        <v>1.5070459632290957E-2</v>
      </c>
      <c r="V282" s="22">
        <f t="shared" ref="V282:V283" ca="1" si="629">U282*V$676</f>
        <v>267422.71179537737</v>
      </c>
      <c r="W282" s="2">
        <v>1321468.2326727323</v>
      </c>
      <c r="X282" s="21">
        <f t="shared" ref="X282:X283" ca="1" si="630">W282/W$646</f>
        <v>1.5118588477274309E-2</v>
      </c>
      <c r="Y282" s="22">
        <f t="shared" ref="Y282:Y283" ca="1" si="631">X282*Y$676</f>
        <v>273642.28490686655</v>
      </c>
      <c r="Z282" s="2">
        <v>1606598.0485553355</v>
      </c>
      <c r="AA282" s="21">
        <f t="shared" ref="AA282:AA283" ca="1" si="632">Z282/Z$646</f>
        <v>1.3842143203471262E-2</v>
      </c>
      <c r="AB282" s="22">
        <f t="shared" ref="AB282:AB283" ca="1" si="633">AA282*AB$676</f>
        <v>255048.67882524504</v>
      </c>
      <c r="AC282" s="2">
        <v>1243000</v>
      </c>
      <c r="AD282" s="21">
        <f t="shared" ref="AD282:AD283" ca="1" si="634">AC282/AC$646</f>
        <v>1.1946661147678291E-2</v>
      </c>
      <c r="AE282" s="22">
        <f t="shared" ref="AE282:AE283" ca="1" si="635">AD282*AE$676</f>
        <v>224305.78265392466</v>
      </c>
      <c r="AF282" s="2">
        <v>1782124.7695841396</v>
      </c>
      <c r="AG282" s="21">
        <f t="shared" ref="AG282:AG283" ca="1" si="636">AF282/AF$646</f>
        <v>1.8931840605905508E-2</v>
      </c>
      <c r="AH282" s="22">
        <f t="shared" ref="AH282:AH283" ca="1" si="637">AG282*AH$676</f>
        <v>361854.96977698244</v>
      </c>
      <c r="AI282" s="2">
        <v>1243000</v>
      </c>
      <c r="AJ282" s="21">
        <f t="shared" ref="AJ282:AJ283" ca="1" si="638">AI282/AI$646</f>
        <v>1.0060799303568718E-2</v>
      </c>
      <c r="AK282" s="22">
        <f t="shared" ref="AK282:AK283" ca="1" si="639">AJ282*AK$676</f>
        <v>195759.10279880816</v>
      </c>
      <c r="AL282" s="2">
        <v>13859226.879427165</v>
      </c>
    </row>
    <row r="283" spans="1:38" ht="12.75" x14ac:dyDescent="0.2">
      <c r="A283" s="8" t="s">
        <v>16</v>
      </c>
      <c r="B283" s="8" t="s">
        <v>17</v>
      </c>
      <c r="C283" s="8" t="s">
        <v>18</v>
      </c>
      <c r="D283" s="8" t="s">
        <v>112</v>
      </c>
      <c r="E283" s="8" t="s">
        <v>113</v>
      </c>
      <c r="F283" s="8" t="s">
        <v>24</v>
      </c>
      <c r="G283" s="8" t="s">
        <v>642</v>
      </c>
      <c r="H283" s="20">
        <v>0</v>
      </c>
      <c r="I283" s="21">
        <f t="shared" si="620"/>
        <v>0</v>
      </c>
      <c r="J283" s="22">
        <f t="shared" si="621"/>
        <v>0</v>
      </c>
      <c r="K283" s="2">
        <v>0</v>
      </c>
      <c r="L283" s="21">
        <f t="shared" ca="1" si="622"/>
        <v>0</v>
      </c>
      <c r="M283" s="22">
        <f t="shared" ca="1" si="623"/>
        <v>0</v>
      </c>
      <c r="N283" s="2">
        <v>0</v>
      </c>
      <c r="O283" s="21">
        <f t="shared" ca="1" si="624"/>
        <v>0</v>
      </c>
      <c r="P283" s="22">
        <f t="shared" ca="1" si="625"/>
        <v>0</v>
      </c>
      <c r="Q283" s="2">
        <v>0</v>
      </c>
      <c r="R283" s="21">
        <f t="shared" ca="1" si="626"/>
        <v>0</v>
      </c>
      <c r="S283" s="22">
        <f t="shared" ca="1" si="627"/>
        <v>0</v>
      </c>
      <c r="T283" s="2">
        <v>0</v>
      </c>
      <c r="U283" s="21">
        <f t="shared" ca="1" si="628"/>
        <v>0</v>
      </c>
      <c r="V283" s="22">
        <f t="shared" ca="1" si="629"/>
        <v>0</v>
      </c>
      <c r="W283" s="2">
        <v>0</v>
      </c>
      <c r="X283" s="21">
        <f t="shared" ca="1" si="630"/>
        <v>0</v>
      </c>
      <c r="Y283" s="22">
        <f t="shared" ca="1" si="631"/>
        <v>0</v>
      </c>
      <c r="Z283" s="2">
        <v>0</v>
      </c>
      <c r="AA283" s="21">
        <f t="shared" ca="1" si="632"/>
        <v>0</v>
      </c>
      <c r="AB283" s="22">
        <f t="shared" ca="1" si="633"/>
        <v>0</v>
      </c>
      <c r="AC283" s="2">
        <v>0</v>
      </c>
      <c r="AD283" s="21">
        <f t="shared" ca="1" si="634"/>
        <v>0</v>
      </c>
      <c r="AE283" s="22">
        <f t="shared" ca="1" si="635"/>
        <v>0</v>
      </c>
      <c r="AF283" s="2">
        <v>0</v>
      </c>
      <c r="AG283" s="21">
        <f t="shared" ca="1" si="636"/>
        <v>0</v>
      </c>
      <c r="AH283" s="22">
        <f t="shared" ca="1" si="637"/>
        <v>0</v>
      </c>
      <c r="AI283" s="2">
        <v>0</v>
      </c>
      <c r="AJ283" s="21">
        <f t="shared" ca="1" si="638"/>
        <v>0</v>
      </c>
      <c r="AK283" s="22">
        <f t="shared" ca="1" si="639"/>
        <v>0</v>
      </c>
      <c r="AL283" s="2">
        <v>0</v>
      </c>
    </row>
    <row r="284" spans="1:38" ht="12.75" x14ac:dyDescent="0.2">
      <c r="A284" s="8" t="s">
        <v>16</v>
      </c>
      <c r="B284" s="8" t="s">
        <v>17</v>
      </c>
      <c r="C284" s="8" t="s">
        <v>18</v>
      </c>
      <c r="D284" s="8" t="s">
        <v>112</v>
      </c>
      <c r="E284" s="8" t="s">
        <v>113</v>
      </c>
      <c r="F284" s="23" t="s">
        <v>37</v>
      </c>
      <c r="G284" s="8" t="s">
        <v>643</v>
      </c>
      <c r="H284" s="20">
        <v>695821.78932692518</v>
      </c>
      <c r="I284" s="21">
        <f t="shared" ref="I284:I285" si="640">H284/H$649</f>
        <v>9.8208648181090166E-3</v>
      </c>
      <c r="J284" s="22">
        <f t="shared" ref="J284:J285" si="641">I284*J$679</f>
        <v>472909.08276486624</v>
      </c>
      <c r="K284" s="2">
        <v>1429468.9151974584</v>
      </c>
      <c r="L284" s="21">
        <f t="shared" ref="L284:L285" ca="1" si="642">K284/K$649</f>
        <v>1.7042355446185022E-2</v>
      </c>
      <c r="M284" s="22">
        <f t="shared" ref="M284:M285" ca="1" si="643">L284*M$679</f>
        <v>1556518.4917318646</v>
      </c>
      <c r="N284" s="2">
        <v>741238.33055644389</v>
      </c>
      <c r="O284" s="21">
        <f t="shared" ref="O284:O285" ca="1" si="644">N284/N$649</f>
        <v>8.3043592095995867E-3</v>
      </c>
      <c r="P284" s="22">
        <f t="shared" ref="P284:P285" ca="1" si="645">O284*P$679</f>
        <v>2057047.8924487869</v>
      </c>
      <c r="Q284" s="2">
        <v>767082.32121646393</v>
      </c>
      <c r="R284" s="21">
        <f t="shared" ref="R284:R285" ca="1" si="646">Q284/Q$649</f>
        <v>9.7378733002348623E-3</v>
      </c>
      <c r="S284" s="22">
        <f t="shared" ref="S284:S285" ca="1" si="647">R284*S$679</f>
        <v>2467618.5702189896</v>
      </c>
      <c r="T284" s="2">
        <v>779339.65625172621</v>
      </c>
      <c r="U284" s="21">
        <f t="shared" ref="U284:U285" ca="1" si="648">T284/T$649</f>
        <v>1.002831459848263E-2</v>
      </c>
      <c r="V284" s="22">
        <f t="shared" ref="V284:V285" ca="1" si="649">U284*V$679</f>
        <v>2594583.2025912749</v>
      </c>
      <c r="W284" s="2">
        <v>791220.0116229658</v>
      </c>
      <c r="X284" s="21">
        <f t="shared" ref="X284:X285" ca="1" si="650">W284/W$649</f>
        <v>8.896686542128671E-3</v>
      </c>
      <c r="Y284" s="22">
        <f t="shared" ref="Y284:Y285" ca="1" si="651">X284*Y$679</f>
        <v>2347837.9241681299</v>
      </c>
      <c r="Z284" s="2">
        <v>804073.39460975723</v>
      </c>
      <c r="AA284" s="21">
        <f t="shared" ref="AA284:AA285" ca="1" si="652">Z284/Z$649</f>
        <v>8.325074757873363E-3</v>
      </c>
      <c r="AB284" s="22">
        <f t="shared" ref="AB284:AB285" ca="1" si="653">AA284*AB$679</f>
        <v>2236535.2332509467</v>
      </c>
      <c r="AC284" s="2">
        <v>812770.14990830468</v>
      </c>
      <c r="AD284" s="21">
        <f t="shared" ref="AD284:AD285" ca="1" si="654">AC284/AC$649</f>
        <v>8.308844712529637E-3</v>
      </c>
      <c r="AE284" s="22">
        <f t="shared" ref="AE284:AE285" ca="1" si="655">AD284*AE$679</f>
        <v>2274586.3494241573</v>
      </c>
      <c r="AF284" s="2">
        <v>0</v>
      </c>
      <c r="AG284" s="21">
        <f t="shared" ref="AG284:AG285" ca="1" si="656">AF284/AF$649</f>
        <v>0</v>
      </c>
      <c r="AH284" s="22">
        <f t="shared" ref="AH284:AH285" ca="1" si="657">AG284*AH$679</f>
        <v>0</v>
      </c>
      <c r="AI284" s="2">
        <v>0</v>
      </c>
      <c r="AJ284" s="21">
        <f t="shared" ref="AJ284:AJ285" ca="1" si="658">AI284/AI$649</f>
        <v>0</v>
      </c>
      <c r="AK284" s="22">
        <f t="shared" ref="AK284:AK285" ca="1" si="659">AJ284*AK$679</f>
        <v>0</v>
      </c>
      <c r="AL284" s="2">
        <v>6821014.5686900448</v>
      </c>
    </row>
    <row r="285" spans="1:38" ht="12.75" x14ac:dyDescent="0.2">
      <c r="A285" s="8" t="s">
        <v>16</v>
      </c>
      <c r="B285" s="8" t="s">
        <v>17</v>
      </c>
      <c r="C285" s="8" t="s">
        <v>18</v>
      </c>
      <c r="D285" s="8" t="s">
        <v>112</v>
      </c>
      <c r="E285" s="8" t="s">
        <v>113</v>
      </c>
      <c r="F285" s="23" t="s">
        <v>37</v>
      </c>
      <c r="G285" s="8" t="s">
        <v>644</v>
      </c>
      <c r="H285" s="20">
        <v>0</v>
      </c>
      <c r="I285" s="21">
        <f t="shared" si="640"/>
        <v>0</v>
      </c>
      <c r="J285" s="22">
        <f t="shared" si="641"/>
        <v>0</v>
      </c>
      <c r="K285" s="2">
        <v>0</v>
      </c>
      <c r="L285" s="21">
        <f t="shared" ca="1" si="642"/>
        <v>0</v>
      </c>
      <c r="M285" s="22">
        <f t="shared" ca="1" si="643"/>
        <v>0</v>
      </c>
      <c r="N285" s="2">
        <v>0</v>
      </c>
      <c r="O285" s="21">
        <f t="shared" ca="1" si="644"/>
        <v>0</v>
      </c>
      <c r="P285" s="22">
        <f t="shared" ca="1" si="645"/>
        <v>0</v>
      </c>
      <c r="Q285" s="2">
        <v>0</v>
      </c>
      <c r="R285" s="21">
        <f t="shared" ca="1" si="646"/>
        <v>0</v>
      </c>
      <c r="S285" s="22">
        <f t="shared" ca="1" si="647"/>
        <v>0</v>
      </c>
      <c r="T285" s="2">
        <v>200323.09923839956</v>
      </c>
      <c r="U285" s="21">
        <f t="shared" ca="1" si="648"/>
        <v>2.577699010169261E-3</v>
      </c>
      <c r="V285" s="22">
        <f t="shared" ca="1" si="649"/>
        <v>666917.10630351398</v>
      </c>
      <c r="W285" s="2">
        <v>0</v>
      </c>
      <c r="X285" s="21">
        <f t="shared" ca="1" si="650"/>
        <v>0</v>
      </c>
      <c r="Y285" s="22">
        <f t="shared" ca="1" si="651"/>
        <v>0</v>
      </c>
      <c r="Z285" s="2">
        <v>0</v>
      </c>
      <c r="AA285" s="21">
        <f t="shared" ca="1" si="652"/>
        <v>0</v>
      </c>
      <c r="AB285" s="22">
        <f t="shared" ca="1" si="653"/>
        <v>0</v>
      </c>
      <c r="AC285" s="2">
        <v>0</v>
      </c>
      <c r="AD285" s="21">
        <f t="shared" ca="1" si="654"/>
        <v>0</v>
      </c>
      <c r="AE285" s="22">
        <f t="shared" ca="1" si="655"/>
        <v>0</v>
      </c>
      <c r="AF285" s="2">
        <v>0</v>
      </c>
      <c r="AG285" s="21">
        <f t="shared" ca="1" si="656"/>
        <v>0</v>
      </c>
      <c r="AH285" s="22">
        <f t="shared" ca="1" si="657"/>
        <v>0</v>
      </c>
      <c r="AI285" s="2">
        <v>0</v>
      </c>
      <c r="AJ285" s="21">
        <f t="shared" ca="1" si="658"/>
        <v>0</v>
      </c>
      <c r="AK285" s="22">
        <f t="shared" ca="1" si="659"/>
        <v>0</v>
      </c>
      <c r="AL285" s="2">
        <v>200323.09923839956</v>
      </c>
    </row>
    <row r="286" spans="1:38" ht="12.75" x14ac:dyDescent="0.2">
      <c r="A286" s="8" t="s">
        <v>16</v>
      </c>
      <c r="B286" s="8" t="s">
        <v>17</v>
      </c>
      <c r="C286" s="8" t="s">
        <v>18</v>
      </c>
      <c r="D286" s="8" t="s">
        <v>112</v>
      </c>
      <c r="E286" s="8" t="s">
        <v>113</v>
      </c>
      <c r="F286" s="8" t="s">
        <v>25</v>
      </c>
      <c r="G286" s="8" t="s">
        <v>645</v>
      </c>
      <c r="H286" s="20">
        <v>0</v>
      </c>
      <c r="I286" s="21">
        <f>H286/H$652</f>
        <v>0</v>
      </c>
      <c r="J286" s="22">
        <f>I286*J$682</f>
        <v>0</v>
      </c>
      <c r="K286" s="2">
        <v>55391.079162430418</v>
      </c>
      <c r="L286" s="21">
        <f ca="1">K286/K$652</f>
        <v>2.46564542401963E-3</v>
      </c>
      <c r="M286" s="22">
        <f ca="1">L286*M$682</f>
        <v>88931.153115018693</v>
      </c>
      <c r="N286" s="2">
        <v>170273.28467965717</v>
      </c>
      <c r="O286" s="21">
        <f ca="1">N286/N$652</f>
        <v>3.4119762622979995E-3</v>
      </c>
      <c r="P286" s="22">
        <f ca="1">O286*P$682</f>
        <v>126263.16256175832</v>
      </c>
      <c r="Q286" s="2">
        <v>133420.00723842639</v>
      </c>
      <c r="R286" s="21">
        <f ca="1">Q286/Q$652</f>
        <v>2.6880480466686413E-3</v>
      </c>
      <c r="S286" s="22">
        <f ca="1">R286*S$682</f>
        <v>101761.45847691613</v>
      </c>
      <c r="T286" s="2">
        <v>0</v>
      </c>
      <c r="U286" s="21">
        <f ca="1">T286/T$652</f>
        <v>0</v>
      </c>
      <c r="V286" s="22">
        <f ca="1">U286*V$682</f>
        <v>0</v>
      </c>
      <c r="W286" s="2">
        <v>0</v>
      </c>
      <c r="X286" s="21">
        <f ca="1">W286/W$652</f>
        <v>0</v>
      </c>
      <c r="Y286" s="22">
        <f ca="1">X286*Y$682</f>
        <v>0</v>
      </c>
      <c r="Z286" s="2">
        <v>0</v>
      </c>
      <c r="AA286" s="21">
        <f ca="1">Z286/Z$652</f>
        <v>0</v>
      </c>
      <c r="AB286" s="22">
        <f ca="1">AA286*AB$682</f>
        <v>0</v>
      </c>
      <c r="AC286" s="2">
        <v>748551.79868529132</v>
      </c>
      <c r="AD286" s="21">
        <f ca="1">AC286/AC$652</f>
        <v>1.2016554709881274E-2</v>
      </c>
      <c r="AE286" s="22">
        <f ca="1">AD286*AE$682</f>
        <v>491444.11601050338</v>
      </c>
      <c r="AF286" s="2">
        <v>0</v>
      </c>
      <c r="AG286" s="21">
        <f ca="1">AF286/AF$652</f>
        <v>0</v>
      </c>
      <c r="AH286" s="22">
        <f ca="1">AG286*AH$682</f>
        <v>0</v>
      </c>
      <c r="AI286" s="2">
        <v>0</v>
      </c>
      <c r="AJ286" s="21">
        <f ca="1">AI286/AI$652</f>
        <v>0</v>
      </c>
      <c r="AK286" s="22">
        <f ca="1">AJ286*AK$682</f>
        <v>0</v>
      </c>
      <c r="AL286" s="2">
        <v>1107636.1697658054</v>
      </c>
    </row>
    <row r="287" spans="1:38" ht="12.75" x14ac:dyDescent="0.2">
      <c r="A287" s="8" t="s">
        <v>16</v>
      </c>
      <c r="B287" s="8" t="s">
        <v>17</v>
      </c>
      <c r="C287" s="8" t="s">
        <v>18</v>
      </c>
      <c r="D287" s="8" t="s">
        <v>112</v>
      </c>
      <c r="E287" s="8" t="s">
        <v>113</v>
      </c>
      <c r="F287" s="8" t="s">
        <v>26</v>
      </c>
      <c r="G287" s="8" t="s">
        <v>646</v>
      </c>
      <c r="H287" s="20">
        <v>0</v>
      </c>
      <c r="I287" s="21">
        <f t="shared" ref="I287:I288" si="660">H287/H$655</f>
        <v>0</v>
      </c>
      <c r="J287" s="22">
        <f t="shared" ref="J287:J288" si="661">I287*J$685</f>
        <v>0</v>
      </c>
      <c r="K287" s="2">
        <v>0</v>
      </c>
      <c r="L287" s="21">
        <f t="shared" ref="L287:L288" ca="1" si="662">K287/K$655</f>
        <v>0</v>
      </c>
      <c r="M287" s="22">
        <f t="shared" ref="M287:M288" ca="1" si="663">L287*M$685</f>
        <v>0</v>
      </c>
      <c r="N287" s="2">
        <v>21267.447362065348</v>
      </c>
      <c r="O287" s="21">
        <f t="shared" ref="O287:O288" ca="1" si="664">N287/N$655</f>
        <v>1.8386088766652572E-4</v>
      </c>
      <c r="P287" s="22">
        <f t="shared" ref="P287:P288" ca="1" si="665">O287*P$685</f>
        <v>521.9722825664893</v>
      </c>
      <c r="Q287" s="2">
        <v>0</v>
      </c>
      <c r="R287" s="21">
        <f t="shared" ref="R287:R288" ca="1" si="666">Q287/Q$655</f>
        <v>0</v>
      </c>
      <c r="S287" s="22">
        <f t="shared" ref="S287:S288" ca="1" si="667">R287*S$685</f>
        <v>0</v>
      </c>
      <c r="T287" s="2">
        <v>21367.797252095956</v>
      </c>
      <c r="U287" s="21">
        <f t="shared" ref="U287:U288" ca="1" si="668">T287/T$655</f>
        <v>2.1509761670023992E-4</v>
      </c>
      <c r="V287" s="22">
        <f t="shared" ref="V287:V288" ca="1" si="669">U287*V$685</f>
        <v>637.81549123748755</v>
      </c>
      <c r="W287" s="2">
        <v>0</v>
      </c>
      <c r="X287" s="21">
        <f t="shared" ref="X287:X288" ca="1" si="670">W287/W$655</f>
        <v>0</v>
      </c>
      <c r="Y287" s="22">
        <f t="shared" ref="Y287:Y288" ca="1" si="671">X287*Y$685</f>
        <v>0</v>
      </c>
      <c r="Z287" s="2">
        <v>39394.224880080263</v>
      </c>
      <c r="AA287" s="21">
        <f t="shared" ref="AA287:AA288" ca="1" si="672">Z287/Z$655</f>
        <v>3.4151733111906847E-4</v>
      </c>
      <c r="AB287" s="22">
        <f t="shared" ref="AB287:AB288" ca="1" si="673">AA287*AB$685</f>
        <v>1051.5263572562342</v>
      </c>
      <c r="AC287" s="2">
        <v>3259.5668270793371</v>
      </c>
      <c r="AD287" s="21">
        <f t="shared" ref="AD287:AD288" ca="1" si="674">AC287/AC$655</f>
        <v>2.8932756400613148E-5</v>
      </c>
      <c r="AE287" s="22">
        <f t="shared" ref="AE287:AE288" ca="1" si="675">AD287*AE$685</f>
        <v>90.776076774492481</v>
      </c>
      <c r="AF287" s="2">
        <v>0</v>
      </c>
      <c r="AG287" s="21">
        <f t="shared" ref="AG287:AG288" ca="1" si="676">AF287/AF$655</f>
        <v>0</v>
      </c>
      <c r="AH287" s="22">
        <f t="shared" ref="AH287:AH288" ca="1" si="677">AG287*AH$685</f>
        <v>0</v>
      </c>
      <c r="AI287" s="2">
        <v>0</v>
      </c>
      <c r="AJ287" s="21">
        <f t="shared" ref="AJ287:AJ288" ca="1" si="678">AI287/AI$655</f>
        <v>0</v>
      </c>
      <c r="AK287" s="22">
        <f t="shared" ref="AK287:AK288" ca="1" si="679">AJ287*AK$685</f>
        <v>0</v>
      </c>
      <c r="AL287" s="2">
        <v>85289.036321320906</v>
      </c>
    </row>
    <row r="288" spans="1:38" ht="12.75" x14ac:dyDescent="0.2">
      <c r="A288" s="8" t="s">
        <v>16</v>
      </c>
      <c r="B288" s="8" t="s">
        <v>17</v>
      </c>
      <c r="C288" s="8" t="s">
        <v>18</v>
      </c>
      <c r="D288" s="8" t="s">
        <v>112</v>
      </c>
      <c r="E288" s="8" t="s">
        <v>113</v>
      </c>
      <c r="F288" s="8" t="s">
        <v>26</v>
      </c>
      <c r="G288" s="8" t="s">
        <v>647</v>
      </c>
      <c r="H288" s="20">
        <v>0</v>
      </c>
      <c r="I288" s="21">
        <f t="shared" si="660"/>
        <v>0</v>
      </c>
      <c r="J288" s="22">
        <f t="shared" si="661"/>
        <v>0</v>
      </c>
      <c r="K288" s="2">
        <v>0</v>
      </c>
      <c r="L288" s="21">
        <f t="shared" ca="1" si="662"/>
        <v>0</v>
      </c>
      <c r="M288" s="22">
        <f t="shared" ca="1" si="663"/>
        <v>0</v>
      </c>
      <c r="N288" s="2">
        <v>0</v>
      </c>
      <c r="O288" s="21">
        <f t="shared" ca="1" si="664"/>
        <v>0</v>
      </c>
      <c r="P288" s="22">
        <f t="shared" ca="1" si="665"/>
        <v>0</v>
      </c>
      <c r="Q288" s="2">
        <v>0</v>
      </c>
      <c r="R288" s="21">
        <f t="shared" ca="1" si="666"/>
        <v>0</v>
      </c>
      <c r="S288" s="22">
        <f t="shared" ca="1" si="667"/>
        <v>0</v>
      </c>
      <c r="T288" s="2">
        <v>0</v>
      </c>
      <c r="U288" s="21">
        <f t="shared" ca="1" si="668"/>
        <v>0</v>
      </c>
      <c r="V288" s="22">
        <f t="shared" ca="1" si="669"/>
        <v>0</v>
      </c>
      <c r="W288" s="2">
        <v>0</v>
      </c>
      <c r="X288" s="21">
        <f t="shared" ca="1" si="670"/>
        <v>0</v>
      </c>
      <c r="Y288" s="22">
        <f t="shared" ca="1" si="671"/>
        <v>0</v>
      </c>
      <c r="Z288" s="2">
        <v>0</v>
      </c>
      <c r="AA288" s="21">
        <f t="shared" ca="1" si="672"/>
        <v>0</v>
      </c>
      <c r="AB288" s="22">
        <f t="shared" ca="1" si="673"/>
        <v>0</v>
      </c>
      <c r="AC288" s="2">
        <v>0</v>
      </c>
      <c r="AD288" s="21">
        <f t="shared" ca="1" si="674"/>
        <v>0</v>
      </c>
      <c r="AE288" s="22">
        <f t="shared" ca="1" si="675"/>
        <v>0</v>
      </c>
      <c r="AF288" s="2">
        <v>0</v>
      </c>
      <c r="AG288" s="21">
        <f t="shared" ca="1" si="676"/>
        <v>0</v>
      </c>
      <c r="AH288" s="22">
        <f t="shared" ca="1" si="677"/>
        <v>0</v>
      </c>
      <c r="AI288" s="2">
        <v>0</v>
      </c>
      <c r="AJ288" s="21">
        <f t="shared" ca="1" si="678"/>
        <v>0</v>
      </c>
      <c r="AK288" s="22">
        <f t="shared" ca="1" si="679"/>
        <v>0</v>
      </c>
      <c r="AL288" s="2">
        <v>0</v>
      </c>
    </row>
    <row r="289" spans="1:38" ht="12.75" x14ac:dyDescent="0.2">
      <c r="A289" s="8" t="s">
        <v>16</v>
      </c>
      <c r="B289" s="8" t="s">
        <v>17</v>
      </c>
      <c r="C289" s="8" t="s">
        <v>18</v>
      </c>
      <c r="D289" s="8" t="s">
        <v>112</v>
      </c>
      <c r="E289" s="8" t="s">
        <v>113</v>
      </c>
      <c r="F289" s="8" t="s">
        <v>38</v>
      </c>
      <c r="G289" s="8" t="s">
        <v>648</v>
      </c>
      <c r="H289" s="20">
        <v>0</v>
      </c>
      <c r="I289" s="21">
        <f>H289/H$656</f>
        <v>0</v>
      </c>
      <c r="J289" s="22">
        <f>I289*J$686</f>
        <v>0</v>
      </c>
      <c r="K289" s="2">
        <v>0</v>
      </c>
      <c r="L289" s="21">
        <f ca="1">K289/K$656</f>
        <v>0</v>
      </c>
      <c r="M289" s="22">
        <f ca="1">L289*M$686</f>
        <v>0</v>
      </c>
      <c r="N289" s="2">
        <v>0</v>
      </c>
      <c r="O289" s="21">
        <f ca="1">N289/N$656</f>
        <v>0</v>
      </c>
      <c r="P289" s="22">
        <f ca="1">O289*P$686</f>
        <v>0</v>
      </c>
      <c r="Q289" s="2">
        <v>0</v>
      </c>
      <c r="R289" s="21">
        <f ca="1">Q289/Q$656</f>
        <v>0</v>
      </c>
      <c r="S289" s="22">
        <f ca="1">R289*S$686</f>
        <v>0</v>
      </c>
      <c r="T289" s="2">
        <v>0</v>
      </c>
      <c r="U289" s="21">
        <f ca="1">T289/T$656</f>
        <v>0</v>
      </c>
      <c r="V289" s="22">
        <f ca="1">U289*V$686</f>
        <v>0</v>
      </c>
      <c r="W289" s="2">
        <v>0</v>
      </c>
      <c r="X289" s="21">
        <f ca="1">W289/W$656</f>
        <v>0</v>
      </c>
      <c r="Y289" s="22">
        <f ca="1">X289*Y$686</f>
        <v>0</v>
      </c>
      <c r="Z289" s="2">
        <v>0</v>
      </c>
      <c r="AA289" s="21">
        <f ca="1">Z289/Z$656</f>
        <v>0</v>
      </c>
      <c r="AB289" s="22">
        <f ca="1">AA289*AB$686</f>
        <v>0</v>
      </c>
      <c r="AC289" s="2">
        <v>0</v>
      </c>
      <c r="AD289" s="21">
        <f ca="1">AC289/AC$656</f>
        <v>0</v>
      </c>
      <c r="AE289" s="22">
        <f ca="1">AD289*AE$686</f>
        <v>0</v>
      </c>
      <c r="AF289" s="2">
        <v>0</v>
      </c>
      <c r="AG289" s="21">
        <f ca="1">AF289/AF$656</f>
        <v>0</v>
      </c>
      <c r="AH289" s="22">
        <f ca="1">AG289*AH$686</f>
        <v>0</v>
      </c>
      <c r="AI289" s="2">
        <v>0</v>
      </c>
      <c r="AJ289" s="21">
        <f ca="1">AI289/AI$656</f>
        <v>0</v>
      </c>
      <c r="AK289" s="22">
        <f ca="1">AJ289*AK$686</f>
        <v>0</v>
      </c>
      <c r="AL289" s="2">
        <v>0</v>
      </c>
    </row>
    <row r="290" spans="1:38" ht="12.75" x14ac:dyDescent="0.2">
      <c r="A290" s="8" t="s">
        <v>16</v>
      </c>
      <c r="B290" s="8" t="s">
        <v>17</v>
      </c>
      <c r="C290" s="8" t="s">
        <v>18</v>
      </c>
      <c r="D290" s="8" t="s">
        <v>112</v>
      </c>
      <c r="E290" s="8" t="s">
        <v>113</v>
      </c>
      <c r="F290" s="8" t="s">
        <v>27</v>
      </c>
      <c r="G290" s="8" t="s">
        <v>649</v>
      </c>
      <c r="H290" s="20">
        <v>0</v>
      </c>
      <c r="I290" s="21">
        <f t="shared" ref="I290:I291" si="680">H290/H$657</f>
        <v>0</v>
      </c>
      <c r="J290" s="22">
        <f t="shared" ref="J290:J291" si="681">I290*J$687</f>
        <v>0</v>
      </c>
      <c r="K290" s="2">
        <v>0</v>
      </c>
      <c r="L290" s="21">
        <f t="shared" ref="L290:L291" ca="1" si="682">K290/K$657</f>
        <v>0</v>
      </c>
      <c r="M290" s="22">
        <f t="shared" ref="M290:M291" ca="1" si="683">L290*M$687</f>
        <v>0</v>
      </c>
      <c r="N290" s="2">
        <v>0</v>
      </c>
      <c r="O290" s="21">
        <f t="shared" ref="O290:O291" ca="1" si="684">N290/N$657</f>
        <v>0</v>
      </c>
      <c r="P290" s="22">
        <f t="shared" ref="P290:P291" ca="1" si="685">O290*P$687</f>
        <v>0</v>
      </c>
      <c r="Q290" s="2">
        <v>0</v>
      </c>
      <c r="R290" s="21">
        <f t="shared" ref="R290:R291" ca="1" si="686">Q290/Q$657</f>
        <v>0</v>
      </c>
      <c r="S290" s="22">
        <f t="shared" ref="S290:S291" ca="1" si="687">R290*S$687</f>
        <v>0</v>
      </c>
      <c r="T290" s="2">
        <v>0</v>
      </c>
      <c r="U290" s="21">
        <f t="shared" ref="U290:U291" ca="1" si="688">T290/T$657</f>
        <v>0</v>
      </c>
      <c r="V290" s="22">
        <f t="shared" ref="V290:V291" ca="1" si="689">U290*V$687</f>
        <v>0</v>
      </c>
      <c r="W290" s="2">
        <v>0</v>
      </c>
      <c r="X290" s="21">
        <f t="shared" ref="X290:X291" ca="1" si="690">W290/W$657</f>
        <v>0</v>
      </c>
      <c r="Y290" s="22">
        <f t="shared" ref="Y290:Y291" ca="1" si="691">X290*Y$687</f>
        <v>0</v>
      </c>
      <c r="Z290" s="2">
        <v>0</v>
      </c>
      <c r="AA290" s="21">
        <f t="shared" ref="AA290:AA291" ca="1" si="692">Z290/Z$657</f>
        <v>0</v>
      </c>
      <c r="AB290" s="22">
        <f t="shared" ref="AB290:AB291" ca="1" si="693">AA290*AB$687</f>
        <v>0</v>
      </c>
      <c r="AC290" s="2">
        <v>0</v>
      </c>
      <c r="AD290" s="21">
        <f t="shared" ref="AD290:AD291" ca="1" si="694">AC290/AC$657</f>
        <v>0</v>
      </c>
      <c r="AE290" s="22">
        <f t="shared" ref="AE290:AE291" ca="1" si="695">AD290*AE$687</f>
        <v>0</v>
      </c>
      <c r="AF290" s="2">
        <v>0</v>
      </c>
      <c r="AG290" s="21">
        <f t="shared" ref="AG290:AG291" ca="1" si="696">AF290/AF$657</f>
        <v>0</v>
      </c>
      <c r="AH290" s="22">
        <f t="shared" ref="AH290:AH291" ca="1" si="697">AG290*AH$687</f>
        <v>0</v>
      </c>
      <c r="AI290" s="2">
        <v>0</v>
      </c>
      <c r="AJ290" s="21">
        <f t="shared" ref="AJ290:AJ291" ca="1" si="698">AI290/AI$657</f>
        <v>0</v>
      </c>
      <c r="AK290" s="22">
        <f t="shared" ref="AK290:AK291" ca="1" si="699">AJ290*AK$687</f>
        <v>0</v>
      </c>
      <c r="AL290" s="2">
        <v>0</v>
      </c>
    </row>
    <row r="291" spans="1:38" ht="12.75" x14ac:dyDescent="0.2">
      <c r="A291" s="8" t="s">
        <v>16</v>
      </c>
      <c r="B291" s="8" t="s">
        <v>17</v>
      </c>
      <c r="C291" s="8" t="s">
        <v>18</v>
      </c>
      <c r="D291" s="8" t="s">
        <v>112</v>
      </c>
      <c r="E291" s="8" t="s">
        <v>113</v>
      </c>
      <c r="F291" s="8" t="s">
        <v>27</v>
      </c>
      <c r="G291" s="8" t="s">
        <v>650</v>
      </c>
      <c r="H291" s="20">
        <v>1994540.1466274217</v>
      </c>
      <c r="I291" s="21">
        <f t="shared" si="680"/>
        <v>3.9106142489213118E-2</v>
      </c>
      <c r="J291" s="22">
        <f t="shared" si="681"/>
        <v>405647.2730239004</v>
      </c>
      <c r="K291" s="2">
        <v>0</v>
      </c>
      <c r="L291" s="21">
        <f t="shared" ca="1" si="682"/>
        <v>0</v>
      </c>
      <c r="M291" s="22">
        <f t="shared" ca="1" si="683"/>
        <v>0</v>
      </c>
      <c r="N291" s="2">
        <v>4976.5826827232913</v>
      </c>
      <c r="O291" s="21">
        <f t="shared" ca="1" si="684"/>
        <v>8.9977237815030888E-5</v>
      </c>
      <c r="P291" s="22">
        <f t="shared" ca="1" si="685"/>
        <v>1449.9759235268139</v>
      </c>
      <c r="Q291" s="2">
        <v>2348192.1273963046</v>
      </c>
      <c r="R291" s="21">
        <f t="shared" ca="1" si="686"/>
        <v>4.2515358232114421E-2</v>
      </c>
      <c r="S291" s="22">
        <f t="shared" ca="1" si="687"/>
        <v>700889.59194418311</v>
      </c>
      <c r="T291" s="2">
        <v>0</v>
      </c>
      <c r="U291" s="21">
        <f t="shared" ca="1" si="688"/>
        <v>0</v>
      </c>
      <c r="V291" s="22">
        <f t="shared" ca="1" si="689"/>
        <v>0</v>
      </c>
      <c r="W291" s="2">
        <v>0</v>
      </c>
      <c r="X291" s="21">
        <f t="shared" ca="1" si="690"/>
        <v>0</v>
      </c>
      <c r="Y291" s="22">
        <f t="shared" ca="1" si="691"/>
        <v>0</v>
      </c>
      <c r="Z291" s="2">
        <v>0</v>
      </c>
      <c r="AA291" s="21">
        <f t="shared" ca="1" si="692"/>
        <v>0</v>
      </c>
      <c r="AB291" s="22">
        <f t="shared" ca="1" si="693"/>
        <v>0</v>
      </c>
      <c r="AC291" s="2">
        <v>528078.87032472051</v>
      </c>
      <c r="AD291" s="21">
        <f t="shared" ca="1" si="694"/>
        <v>9.614170821821276E-3</v>
      </c>
      <c r="AE291" s="22">
        <f t="shared" ca="1" si="695"/>
        <v>171223.54256304522</v>
      </c>
      <c r="AF291" s="2">
        <v>0</v>
      </c>
      <c r="AG291" s="21">
        <f t="shared" ca="1" si="696"/>
        <v>0</v>
      </c>
      <c r="AH291" s="22">
        <f t="shared" ca="1" si="697"/>
        <v>0</v>
      </c>
      <c r="AI291" s="2">
        <v>1528361.8136932582</v>
      </c>
      <c r="AJ291" s="21">
        <f t="shared" ca="1" si="698"/>
        <v>2.7541356204302501E-2</v>
      </c>
      <c r="AK291" s="22">
        <f t="shared" ca="1" si="699"/>
        <v>508314.52763595548</v>
      </c>
      <c r="AL291" s="2">
        <v>6404149.5407244284</v>
      </c>
    </row>
    <row r="292" spans="1:38" ht="12.75" x14ac:dyDescent="0.2">
      <c r="A292" s="8" t="s">
        <v>16</v>
      </c>
      <c r="B292" s="8" t="s">
        <v>17</v>
      </c>
      <c r="C292" s="8" t="s">
        <v>18</v>
      </c>
      <c r="D292" s="8" t="s">
        <v>112</v>
      </c>
      <c r="E292" s="8" t="s">
        <v>113</v>
      </c>
      <c r="F292" s="8" t="s">
        <v>28</v>
      </c>
      <c r="G292" s="8" t="s">
        <v>651</v>
      </c>
      <c r="H292" s="20">
        <v>0</v>
      </c>
      <c r="I292" s="21">
        <f>H292/H$669</f>
        <v>0</v>
      </c>
      <c r="J292" s="22">
        <f>I292*J$699</f>
        <v>0</v>
      </c>
      <c r="K292" s="2">
        <v>26244.82084124679</v>
      </c>
      <c r="L292" s="21">
        <f ca="1">K292/K$669</f>
        <v>3.6178007204512464E-3</v>
      </c>
      <c r="M292" s="22">
        <f ca="1">L292*M$699</f>
        <v>17147.373284139343</v>
      </c>
      <c r="N292" s="2">
        <v>0</v>
      </c>
      <c r="O292" s="21">
        <f ca="1">N292/N$669</f>
        <v>0</v>
      </c>
      <c r="P292" s="22">
        <f ca="1">O292*P$699</f>
        <v>0</v>
      </c>
      <c r="Q292" s="2">
        <v>0</v>
      </c>
      <c r="R292" s="21">
        <f ca="1">Q292/Q$669</f>
        <v>0</v>
      </c>
      <c r="S292" s="22">
        <f ca="1">R292*S$699</f>
        <v>0</v>
      </c>
      <c r="T292" s="2">
        <v>56090.467786751877</v>
      </c>
      <c r="U292" s="21">
        <f ca="1">T292/T$669</f>
        <v>1.9648312510177645E-3</v>
      </c>
      <c r="V292" s="22">
        <f ca="1">U292*V$699</f>
        <v>9979.9175844706315</v>
      </c>
      <c r="W292" s="2">
        <v>0</v>
      </c>
      <c r="X292" s="21">
        <f ca="1">W292/W$669</f>
        <v>0</v>
      </c>
      <c r="Y292" s="22">
        <f ca="1">X292*Y$699</f>
        <v>0</v>
      </c>
      <c r="Z292" s="2">
        <v>121110.62378673324</v>
      </c>
      <c r="AA292" s="21">
        <f ca="1">Z292/Z$669</f>
        <v>4.1167125320978491E-3</v>
      </c>
      <c r="AB292" s="22">
        <f ca="1">AA292*AB$699</f>
        <v>21712.017950921265</v>
      </c>
      <c r="AC292" s="2">
        <v>20595.075942664098</v>
      </c>
      <c r="AD292" s="21">
        <f ca="1">AC292/AC$669</f>
        <v>6.5305143150367403E-4</v>
      </c>
      <c r="AE292" s="22">
        <f ca="1">AD292*AE$699</f>
        <v>3509.7098705458079</v>
      </c>
      <c r="AF292" s="2">
        <v>0</v>
      </c>
      <c r="AG292" s="21">
        <f ca="1">AF292/AF$669</f>
        <v>0</v>
      </c>
      <c r="AH292" s="22">
        <f ca="1">AG292*AH$699</f>
        <v>0</v>
      </c>
      <c r="AI292" s="2">
        <v>82499.142501507173</v>
      </c>
      <c r="AJ292" s="21">
        <f ca="1">AI292/AI$669</f>
        <v>1.8857814517310864E-3</v>
      </c>
      <c r="AK292" s="22">
        <f ca="1">AJ292*AK$699</f>
        <v>10502.936678726071</v>
      </c>
      <c r="AL292" s="2">
        <v>306540.13085890317</v>
      </c>
    </row>
    <row r="293" spans="1:38" ht="12.75" x14ac:dyDescent="0.2">
      <c r="A293" s="8" t="s">
        <v>16</v>
      </c>
      <c r="B293" s="8" t="s">
        <v>17</v>
      </c>
      <c r="C293" s="8" t="s">
        <v>18</v>
      </c>
      <c r="D293" s="8" t="s">
        <v>112</v>
      </c>
      <c r="E293" s="8" t="s">
        <v>113</v>
      </c>
      <c r="F293" s="8" t="s">
        <v>34</v>
      </c>
      <c r="G293" s="8" t="s">
        <v>652</v>
      </c>
      <c r="H293" s="20">
        <v>0</v>
      </c>
      <c r="I293" s="21">
        <f>H293/H$653</f>
        <v>0</v>
      </c>
      <c r="J293" s="22">
        <f>I293*J$683</f>
        <v>0</v>
      </c>
      <c r="K293" s="2">
        <v>0</v>
      </c>
      <c r="L293" s="21">
        <f ca="1">K293/K$653</f>
        <v>0</v>
      </c>
      <c r="M293" s="22">
        <f ca="1">L293*M$683</f>
        <v>0</v>
      </c>
      <c r="N293" s="2">
        <v>0</v>
      </c>
      <c r="O293" s="21">
        <f ca="1">N293/N$653</f>
        <v>0</v>
      </c>
      <c r="P293" s="22">
        <f ca="1">O293*P$683</f>
        <v>0</v>
      </c>
      <c r="Q293" s="2">
        <v>0</v>
      </c>
      <c r="R293" s="21">
        <f ca="1">Q293/Q$653</f>
        <v>0</v>
      </c>
      <c r="S293" s="22">
        <f ca="1">R293*S$683</f>
        <v>0</v>
      </c>
      <c r="T293" s="2">
        <v>0</v>
      </c>
      <c r="U293" s="21">
        <f ca="1">T293/T$653</f>
        <v>0</v>
      </c>
      <c r="V293" s="22">
        <f ca="1">U293*V$683</f>
        <v>0</v>
      </c>
      <c r="W293" s="2">
        <v>0</v>
      </c>
      <c r="X293" s="21">
        <f ca="1">W293/W$653</f>
        <v>0</v>
      </c>
      <c r="Y293" s="22">
        <f ca="1">X293*Y$683</f>
        <v>0</v>
      </c>
      <c r="Z293" s="2">
        <v>0</v>
      </c>
      <c r="AA293" s="21">
        <f ca="1">Z293/Z$653</f>
        <v>0</v>
      </c>
      <c r="AB293" s="22">
        <f ca="1">AA293*AB$683</f>
        <v>0</v>
      </c>
      <c r="AC293" s="2">
        <v>0</v>
      </c>
      <c r="AD293" s="21">
        <f ca="1">AC293/AC$653</f>
        <v>0</v>
      </c>
      <c r="AE293" s="22">
        <f ca="1">AD293*AE$683</f>
        <v>0</v>
      </c>
      <c r="AF293" s="2">
        <v>0</v>
      </c>
      <c r="AG293" s="21">
        <f ca="1">AF293/AF$653</f>
        <v>0</v>
      </c>
      <c r="AH293" s="22">
        <f ca="1">AG293*AH$683</f>
        <v>0</v>
      </c>
      <c r="AI293" s="2">
        <v>0</v>
      </c>
      <c r="AJ293" s="21">
        <f ca="1">AI293/AI$653</f>
        <v>0</v>
      </c>
      <c r="AK293" s="22">
        <f ca="1">AJ293*AK$683</f>
        <v>0</v>
      </c>
      <c r="AL293" s="2">
        <v>0</v>
      </c>
    </row>
    <row r="294" spans="1:38" ht="12.75" x14ac:dyDescent="0.2">
      <c r="A294" s="8" t="s">
        <v>16</v>
      </c>
      <c r="B294" s="8" t="s">
        <v>17</v>
      </c>
      <c r="C294" s="8" t="s">
        <v>18</v>
      </c>
      <c r="D294" s="8" t="s">
        <v>112</v>
      </c>
      <c r="E294" s="8" t="s">
        <v>113</v>
      </c>
      <c r="F294" s="8" t="s">
        <v>55</v>
      </c>
      <c r="G294" s="8" t="s">
        <v>653</v>
      </c>
      <c r="H294" s="20">
        <v>0</v>
      </c>
      <c r="I294" s="21">
        <f>H294/H$654</f>
        <v>0</v>
      </c>
      <c r="J294" s="22">
        <f>I294*J$684</f>
        <v>0</v>
      </c>
      <c r="K294" s="2">
        <v>0</v>
      </c>
      <c r="L294" s="21">
        <f ca="1">K294/K$654</f>
        <v>0</v>
      </c>
      <c r="M294" s="22">
        <f ca="1">L294*M$684</f>
        <v>0</v>
      </c>
      <c r="N294" s="2">
        <v>0</v>
      </c>
      <c r="O294" s="21">
        <f ca="1">N294/N$654</f>
        <v>0</v>
      </c>
      <c r="P294" s="22">
        <f ca="1">O294*P$684</f>
        <v>0</v>
      </c>
      <c r="Q294" s="2">
        <v>0</v>
      </c>
      <c r="R294" s="21">
        <f ca="1">Q294/Q$654</f>
        <v>0</v>
      </c>
      <c r="S294" s="22">
        <f ca="1">R294*S$684</f>
        <v>0</v>
      </c>
      <c r="T294" s="2">
        <v>0</v>
      </c>
      <c r="U294" s="21">
        <f ca="1">T294/T$654</f>
        <v>0</v>
      </c>
      <c r="V294" s="22">
        <f ca="1">U294*V$684</f>
        <v>0</v>
      </c>
      <c r="W294" s="2">
        <v>0</v>
      </c>
      <c r="X294" s="21">
        <f ca="1">W294/W$654</f>
        <v>0</v>
      </c>
      <c r="Y294" s="22">
        <f ca="1">X294*Y$684</f>
        <v>0</v>
      </c>
      <c r="Z294" s="2">
        <v>0</v>
      </c>
      <c r="AA294" s="21">
        <f ca="1">Z294/Z$654</f>
        <v>0</v>
      </c>
      <c r="AB294" s="22">
        <f ca="1">AA294*AB$684</f>
        <v>0</v>
      </c>
      <c r="AC294" s="2">
        <v>0</v>
      </c>
      <c r="AD294" s="21">
        <f ca="1">AC294/AC$654</f>
        <v>0</v>
      </c>
      <c r="AE294" s="22">
        <f ca="1">AD294*AE$684</f>
        <v>0</v>
      </c>
      <c r="AF294" s="2">
        <v>0</v>
      </c>
      <c r="AG294" s="21">
        <f ca="1">AF294/AF$654</f>
        <v>0</v>
      </c>
      <c r="AH294" s="22">
        <f ca="1">AG294*AH$684</f>
        <v>0</v>
      </c>
      <c r="AI294" s="2">
        <v>0</v>
      </c>
      <c r="AJ294" s="21">
        <f ca="1">AI294/AI$654</f>
        <v>0</v>
      </c>
      <c r="AK294" s="22">
        <f ca="1">AJ294*AK$684</f>
        <v>0</v>
      </c>
      <c r="AL294" s="2">
        <v>0</v>
      </c>
    </row>
    <row r="295" spans="1:38" ht="12.75" x14ac:dyDescent="0.2">
      <c r="A295" s="8" t="s">
        <v>16</v>
      </c>
      <c r="B295" s="8" t="s">
        <v>17</v>
      </c>
      <c r="C295" s="8" t="s">
        <v>18</v>
      </c>
      <c r="D295" s="8" t="s">
        <v>112</v>
      </c>
      <c r="E295" s="8" t="s">
        <v>114</v>
      </c>
      <c r="F295" s="8" t="s">
        <v>24</v>
      </c>
      <c r="G295" s="8" t="s">
        <v>654</v>
      </c>
      <c r="H295" s="20">
        <v>669000</v>
      </c>
      <c r="I295" s="21">
        <f>H295/H$646</f>
        <v>8.1476962511735397E-3</v>
      </c>
      <c r="J295" s="22">
        <f>I295*J$676</f>
        <v>17530.909161875035</v>
      </c>
      <c r="K295" s="2">
        <v>669000</v>
      </c>
      <c r="L295" s="21">
        <f ca="1">K295/K$646</f>
        <v>1.0592771347338891E-2</v>
      </c>
      <c r="M295" s="22">
        <f ca="1">L295*M$676</f>
        <v>41184.835882312524</v>
      </c>
      <c r="N295" s="2">
        <v>669000</v>
      </c>
      <c r="O295" s="21">
        <f ca="1">N295/N$646</f>
        <v>7.1367757698005373E-3</v>
      </c>
      <c r="P295" s="22">
        <f ca="1">O295*P$676</f>
        <v>121247.40900639832</v>
      </c>
      <c r="Q295" s="2">
        <v>669000</v>
      </c>
      <c r="R295" s="21">
        <f ca="1">Q295/Q$646</f>
        <v>6.0149672542480484E-3</v>
      </c>
      <c r="S295" s="22">
        <f ca="1">R295*S$676</f>
        <v>104539.23452841086</v>
      </c>
      <c r="T295" s="2">
        <v>669000</v>
      </c>
      <c r="U295" s="21">
        <f ca="1">T295/T$646</f>
        <v>7.9740543186204091E-3</v>
      </c>
      <c r="V295" s="22">
        <f ca="1">U295*V$676</f>
        <v>141498.22115046822</v>
      </c>
      <c r="W295" s="2">
        <v>669000</v>
      </c>
      <c r="X295" s="21">
        <f ca="1">W295/W$646</f>
        <v>7.6538621521304289E-3</v>
      </c>
      <c r="Y295" s="22">
        <f ca="1">X295*Y$676</f>
        <v>138532.79562569025</v>
      </c>
      <c r="Z295" s="2">
        <v>669000</v>
      </c>
      <c r="AA295" s="21">
        <f ca="1">Z295/Z$646</f>
        <v>5.7639767528967724E-3</v>
      </c>
      <c r="AB295" s="22">
        <f ca="1">AA295*AB$676</f>
        <v>106204.26576984732</v>
      </c>
      <c r="AC295" s="2">
        <v>1491218.8010955898</v>
      </c>
      <c r="AD295" s="21">
        <f ca="1">AC295/AC$646</f>
        <v>1.4332329616843189E-2</v>
      </c>
      <c r="AE295" s="22">
        <f ca="1">AD295*AE$676</f>
        <v>269098.14986966492</v>
      </c>
      <c r="AF295" s="2">
        <v>669000</v>
      </c>
      <c r="AG295" s="21">
        <f ca="1">AF295/AF$646</f>
        <v>7.1069105718710515E-3</v>
      </c>
      <c r="AH295" s="22">
        <f ca="1">AG295*AH$676</f>
        <v>135838.39858602663</v>
      </c>
      <c r="AI295" s="2">
        <v>669000</v>
      </c>
      <c r="AJ295" s="21">
        <f ca="1">AI295/AI$646</f>
        <v>5.4148630201830018E-3</v>
      </c>
      <c r="AK295" s="22">
        <f ca="1">AJ295*AK$676</f>
        <v>105360.28943877928</v>
      </c>
      <c r="AL295" s="2">
        <v>7512218.80109559</v>
      </c>
    </row>
    <row r="296" spans="1:38" ht="12.75" x14ac:dyDescent="0.2">
      <c r="A296" s="8" t="s">
        <v>16</v>
      </c>
      <c r="B296" s="8" t="s">
        <v>17</v>
      </c>
      <c r="C296" s="8" t="s">
        <v>18</v>
      </c>
      <c r="D296" s="8" t="s">
        <v>112</v>
      </c>
      <c r="E296" s="8" t="s">
        <v>114</v>
      </c>
      <c r="F296" s="23" t="s">
        <v>37</v>
      </c>
      <c r="G296" s="8" t="s">
        <v>655</v>
      </c>
      <c r="H296" s="20">
        <v>529464.91278744047</v>
      </c>
      <c r="I296" s="21">
        <f t="shared" ref="I296:I297" si="700">H296/H$649</f>
        <v>7.4728952357860923E-3</v>
      </c>
      <c r="J296" s="22">
        <f t="shared" ref="J296:J297" si="701">I296*J$679</f>
        <v>359846.11304669222</v>
      </c>
      <c r="K296" s="2">
        <v>541217.75438565481</v>
      </c>
      <c r="L296" s="21">
        <f t="shared" ref="L296:L297" ca="1" si="702">K296/K$649</f>
        <v>6.4524840281345282E-3</v>
      </c>
      <c r="M296" s="22">
        <f t="shared" ref="M296:M297" ca="1" si="703">L296*M$679</f>
        <v>589320.57479438081</v>
      </c>
      <c r="N296" s="2">
        <v>564023.43081073626</v>
      </c>
      <c r="O296" s="21">
        <f t="shared" ref="O296:O297" ca="1" si="704">N296/N$649</f>
        <v>6.3189570466046299E-3</v>
      </c>
      <c r="P296" s="22">
        <f t="shared" ref="P296:P297" ca="1" si="705">O296*P$679</f>
        <v>1565249.8822746871</v>
      </c>
      <c r="Q296" s="2">
        <v>583688.78290682705</v>
      </c>
      <c r="R296" s="21">
        <f t="shared" ref="R296:R297" ca="1" si="706">Q296/Q$649</f>
        <v>7.4097489376385075E-3</v>
      </c>
      <c r="S296" s="22">
        <f t="shared" ref="S296:S297" ca="1" si="707">R296*S$679</f>
        <v>1877661.940696663</v>
      </c>
      <c r="T296" s="2">
        <v>909315.77350601519</v>
      </c>
      <c r="U296" s="21">
        <f t="shared" ref="U296:U297" ca="1" si="708">T296/T$649</f>
        <v>1.1700809233728376E-2</v>
      </c>
      <c r="V296" s="22">
        <f t="shared" ref="V296:V297" ca="1" si="709">U296*V$679</f>
        <v>3027300.6292752395</v>
      </c>
      <c r="W296" s="2">
        <v>923177.6364199447</v>
      </c>
      <c r="X296" s="21">
        <f t="shared" ref="X296:X297" ca="1" si="710">W296/W$649</f>
        <v>1.0380452887034994E-2</v>
      </c>
      <c r="Y296" s="22">
        <f t="shared" ref="Y296:Y297" ca="1" si="711">X296*Y$679</f>
        <v>2739404.2537987432</v>
      </c>
      <c r="Z296" s="2">
        <v>938174.14427095908</v>
      </c>
      <c r="AA296" s="21">
        <f t="shared" ref="AA296:AA297" ca="1" si="712">Z296/Z$649</f>
        <v>9.7135036917248441E-3</v>
      </c>
      <c r="AB296" s="22">
        <f t="shared" ref="AB296:AB297" ca="1" si="713">AA296*AB$679</f>
        <v>2609537.3166841441</v>
      </c>
      <c r="AC296" s="2">
        <v>948323.2828167429</v>
      </c>
      <c r="AD296" s="21">
        <f t="shared" ref="AD296:AD297" ca="1" si="714">AC296/AC$649</f>
        <v>9.6945869568285572E-3</v>
      </c>
      <c r="AE296" s="22">
        <f t="shared" ref="AE296:AE297" ca="1" si="715">AD296*AE$679</f>
        <v>2653939.9782083803</v>
      </c>
      <c r="AF296" s="2">
        <v>959237.64164895215</v>
      </c>
      <c r="AG296" s="21">
        <f t="shared" ref="AG296:AG297" ca="1" si="716">AF296/AF$649</f>
        <v>9.4632736704424875E-3</v>
      </c>
      <c r="AH296" s="22">
        <f t="shared" ref="AH296:AH297" ca="1" si="717">AG296*AH$679</f>
        <v>2637247.9527142076</v>
      </c>
      <c r="AI296" s="2">
        <v>4174644.6285750503</v>
      </c>
      <c r="AJ296" s="21">
        <f t="shared" ref="AJ296:AJ297" ca="1" si="718">AI296/AI$649</f>
        <v>2.179351703205305E-2</v>
      </c>
      <c r="AK296" s="22">
        <f t="shared" ref="AK296:AK297" ca="1" si="719">AJ296*AK$679</f>
        <v>6182792.3992065433</v>
      </c>
      <c r="AL296" s="2">
        <v>11071267.988128323</v>
      </c>
    </row>
    <row r="297" spans="1:38" ht="12.75" x14ac:dyDescent="0.2">
      <c r="A297" s="8" t="s">
        <v>16</v>
      </c>
      <c r="B297" s="8" t="s">
        <v>17</v>
      </c>
      <c r="C297" s="8" t="s">
        <v>18</v>
      </c>
      <c r="D297" s="8" t="s">
        <v>112</v>
      </c>
      <c r="E297" s="8" t="s">
        <v>203</v>
      </c>
      <c r="F297" s="23" t="s">
        <v>37</v>
      </c>
      <c r="G297" s="8" t="s">
        <v>656</v>
      </c>
      <c r="H297" s="20">
        <v>0</v>
      </c>
      <c r="I297" s="21">
        <f t="shared" si="700"/>
        <v>0</v>
      </c>
      <c r="J297" s="22">
        <f t="shared" si="701"/>
        <v>0</v>
      </c>
      <c r="K297" s="2">
        <v>0</v>
      </c>
      <c r="L297" s="21">
        <f t="shared" ca="1" si="702"/>
        <v>0</v>
      </c>
      <c r="M297" s="22">
        <f t="shared" ca="1" si="703"/>
        <v>0</v>
      </c>
      <c r="N297" s="2">
        <v>0</v>
      </c>
      <c r="O297" s="21">
        <f t="shared" ca="1" si="704"/>
        <v>0</v>
      </c>
      <c r="P297" s="22">
        <f t="shared" ca="1" si="705"/>
        <v>0</v>
      </c>
      <c r="Q297" s="2">
        <v>0</v>
      </c>
      <c r="R297" s="21">
        <f t="shared" ca="1" si="706"/>
        <v>0</v>
      </c>
      <c r="S297" s="22">
        <f t="shared" ca="1" si="707"/>
        <v>0</v>
      </c>
      <c r="T297" s="2">
        <v>0</v>
      </c>
      <c r="U297" s="21">
        <f t="shared" ca="1" si="708"/>
        <v>0</v>
      </c>
      <c r="V297" s="22">
        <f t="shared" ca="1" si="709"/>
        <v>0</v>
      </c>
      <c r="W297" s="2">
        <v>0</v>
      </c>
      <c r="X297" s="21">
        <f t="shared" ca="1" si="710"/>
        <v>0</v>
      </c>
      <c r="Y297" s="22">
        <f t="shared" ca="1" si="711"/>
        <v>0</v>
      </c>
      <c r="Z297" s="2">
        <v>0</v>
      </c>
      <c r="AA297" s="21">
        <f t="shared" ca="1" si="712"/>
        <v>0</v>
      </c>
      <c r="AB297" s="22">
        <f t="shared" ca="1" si="713"/>
        <v>0</v>
      </c>
      <c r="AC297" s="2">
        <v>0</v>
      </c>
      <c r="AD297" s="21">
        <f t="shared" ca="1" si="714"/>
        <v>0</v>
      </c>
      <c r="AE297" s="22">
        <f t="shared" ca="1" si="715"/>
        <v>0</v>
      </c>
      <c r="AF297" s="2">
        <v>0</v>
      </c>
      <c r="AG297" s="21">
        <f t="shared" ca="1" si="716"/>
        <v>0</v>
      </c>
      <c r="AH297" s="22">
        <f t="shared" ca="1" si="717"/>
        <v>0</v>
      </c>
      <c r="AI297" s="2">
        <v>0</v>
      </c>
      <c r="AJ297" s="21">
        <f t="shared" ca="1" si="718"/>
        <v>0</v>
      </c>
      <c r="AK297" s="22">
        <f t="shared" ca="1" si="719"/>
        <v>0</v>
      </c>
      <c r="AL297" s="2">
        <v>0</v>
      </c>
    </row>
    <row r="298" spans="1:38" ht="12.75" x14ac:dyDescent="0.2">
      <c r="A298" s="8" t="s">
        <v>16</v>
      </c>
      <c r="B298" s="8" t="s">
        <v>17</v>
      </c>
      <c r="C298" s="8" t="s">
        <v>18</v>
      </c>
      <c r="D298" s="8" t="s">
        <v>112</v>
      </c>
      <c r="E298" s="8" t="s">
        <v>203</v>
      </c>
      <c r="F298" s="8" t="s">
        <v>27</v>
      </c>
      <c r="G298" s="8" t="s">
        <v>657</v>
      </c>
      <c r="H298" s="20">
        <v>0</v>
      </c>
      <c r="I298" s="21">
        <f>H298/H$657</f>
        <v>0</v>
      </c>
      <c r="J298" s="22">
        <f>I298*J$687</f>
        <v>0</v>
      </c>
      <c r="K298" s="2">
        <v>0</v>
      </c>
      <c r="L298" s="21">
        <f ca="1">K298/K$657</f>
        <v>0</v>
      </c>
      <c r="M298" s="22">
        <f ca="1">L298*M$687</f>
        <v>0</v>
      </c>
      <c r="N298" s="2">
        <v>0</v>
      </c>
      <c r="O298" s="21">
        <f ca="1">N298/N$657</f>
        <v>0</v>
      </c>
      <c r="P298" s="22">
        <f ca="1">O298*P$687</f>
        <v>0</v>
      </c>
      <c r="Q298" s="2">
        <v>0</v>
      </c>
      <c r="R298" s="21">
        <f ca="1">Q298/Q$657</f>
        <v>0</v>
      </c>
      <c r="S298" s="22">
        <f ca="1">R298*S$687</f>
        <v>0</v>
      </c>
      <c r="T298" s="2">
        <v>0</v>
      </c>
      <c r="U298" s="21">
        <f ca="1">T298/T$657</f>
        <v>0</v>
      </c>
      <c r="V298" s="22">
        <f ca="1">U298*V$687</f>
        <v>0</v>
      </c>
      <c r="W298" s="2">
        <v>0</v>
      </c>
      <c r="X298" s="21">
        <f ca="1">W298/W$657</f>
        <v>0</v>
      </c>
      <c r="Y298" s="22">
        <f ca="1">X298*Y$687</f>
        <v>0</v>
      </c>
      <c r="Z298" s="2">
        <v>0</v>
      </c>
      <c r="AA298" s="21">
        <f ca="1">Z298/Z$657</f>
        <v>0</v>
      </c>
      <c r="AB298" s="22">
        <f ca="1">AA298*AB$687</f>
        <v>0</v>
      </c>
      <c r="AC298" s="2">
        <v>0</v>
      </c>
      <c r="AD298" s="21">
        <f ca="1">AC298/AC$657</f>
        <v>0</v>
      </c>
      <c r="AE298" s="22">
        <f ca="1">AD298*AE$687</f>
        <v>0</v>
      </c>
      <c r="AF298" s="2">
        <v>0</v>
      </c>
      <c r="AG298" s="21">
        <f ca="1">AF298/AF$657</f>
        <v>0</v>
      </c>
      <c r="AH298" s="22">
        <f ca="1">AG298*AH$687</f>
        <v>0</v>
      </c>
      <c r="AI298" s="2">
        <v>0</v>
      </c>
      <c r="AJ298" s="21">
        <f ca="1">AI298/AI$657</f>
        <v>0</v>
      </c>
      <c r="AK298" s="22">
        <f ca="1">AJ298*AK$687</f>
        <v>0</v>
      </c>
      <c r="AL298" s="2">
        <v>0</v>
      </c>
    </row>
    <row r="299" spans="1:38" ht="12.75" x14ac:dyDescent="0.2">
      <c r="A299" s="8" t="s">
        <v>16</v>
      </c>
      <c r="B299" s="8" t="s">
        <v>17</v>
      </c>
      <c r="C299" s="8" t="s">
        <v>18</v>
      </c>
      <c r="D299" s="8" t="s">
        <v>112</v>
      </c>
      <c r="E299" s="8" t="s">
        <v>115</v>
      </c>
      <c r="F299" s="23" t="s">
        <v>37</v>
      </c>
      <c r="G299" s="8" t="s">
        <v>658</v>
      </c>
      <c r="H299" s="20">
        <v>3112051.8054796346</v>
      </c>
      <c r="I299" s="21">
        <f>H299/H$649</f>
        <v>4.3923660565633481E-2</v>
      </c>
      <c r="J299" s="22">
        <f>I299*J$679</f>
        <v>2115078.2965128557</v>
      </c>
      <c r="K299" s="2">
        <v>4596791.1320397556</v>
      </c>
      <c r="L299" s="21">
        <f ca="1">K299/K$649</f>
        <v>5.4803673973750799E-2</v>
      </c>
      <c r="M299" s="22">
        <f ca="1">L299*M$679</f>
        <v>5005348.7162822168</v>
      </c>
      <c r="N299" s="2">
        <v>4227172.548192448</v>
      </c>
      <c r="O299" s="21">
        <f ca="1">N299/N$649</f>
        <v>4.7358532113141186E-2</v>
      </c>
      <c r="P299" s="22">
        <f ca="1">O299*P$679</f>
        <v>11731039.832693189</v>
      </c>
      <c r="Q299" s="2">
        <v>4738447.1268466432</v>
      </c>
      <c r="R299" s="21">
        <f ca="1">Q299/Q$649</f>
        <v>6.0153123706358419E-2</v>
      </c>
      <c r="S299" s="22">
        <f ca="1">R299*S$679</f>
        <v>15243057.753781838</v>
      </c>
      <c r="T299" s="2">
        <v>6183185.4682220593</v>
      </c>
      <c r="U299" s="21">
        <f ca="1">T299/T$649</f>
        <v>7.9563420902155055E-2</v>
      </c>
      <c r="V299" s="22">
        <f ca="1">U299*V$679</f>
        <v>20585105.64124766</v>
      </c>
      <c r="W299" s="2">
        <v>4506200.2153935162</v>
      </c>
      <c r="X299" s="21">
        <f ca="1">W299/W$649</f>
        <v>5.0668904000791028E-2</v>
      </c>
      <c r="Y299" s="22">
        <f ca="1">X299*Y$679</f>
        <v>13371537.125171982</v>
      </c>
      <c r="Z299" s="2">
        <v>4556977.5366703607</v>
      </c>
      <c r="AA299" s="21">
        <f ca="1">Z299/Z$649</f>
        <v>4.7181238574797633E-2</v>
      </c>
      <c r="AB299" s="22">
        <f ca="1">AA299*AB$679</f>
        <v>12675261.843283346</v>
      </c>
      <c r="AC299" s="2">
        <v>7044712.9687664863</v>
      </c>
      <c r="AD299" s="21">
        <f ca="1">AC299/AC$649</f>
        <v>7.2017194662510706E-2</v>
      </c>
      <c r="AE299" s="22">
        <f ca="1">AD299*AE$679</f>
        <v>19715054.688186273</v>
      </c>
      <c r="AF299" s="2">
        <v>4677739.2134870384</v>
      </c>
      <c r="AG299" s="21">
        <f ca="1">AF299/AF$649</f>
        <v>4.6147820325412474E-2</v>
      </c>
      <c r="AH299" s="22">
        <f ca="1">AG299*AH$679</f>
        <v>12860585.978353778</v>
      </c>
      <c r="AI299" s="2">
        <v>10216979.133059463</v>
      </c>
      <c r="AJ299" s="21">
        <f ca="1">AI299/AI$649</f>
        <v>5.3337212760182856E-2</v>
      </c>
      <c r="AK299" s="22">
        <f ca="1">AJ299*AK$679</f>
        <v>15131697.796344837</v>
      </c>
      <c r="AL299" s="2">
        <v>53860257.14815741</v>
      </c>
    </row>
    <row r="300" spans="1:38" ht="12.75" x14ac:dyDescent="0.2">
      <c r="A300" s="8" t="s">
        <v>16</v>
      </c>
      <c r="B300" s="8" t="s">
        <v>17</v>
      </c>
      <c r="C300" s="8" t="s">
        <v>18</v>
      </c>
      <c r="D300" s="8" t="s">
        <v>112</v>
      </c>
      <c r="E300" s="8" t="s">
        <v>116</v>
      </c>
      <c r="F300" s="8" t="s">
        <v>24</v>
      </c>
      <c r="G300" s="8" t="s">
        <v>659</v>
      </c>
      <c r="H300" s="20">
        <v>614000</v>
      </c>
      <c r="I300" s="21">
        <f>H300/H$646</f>
        <v>7.4778557521981356E-3</v>
      </c>
      <c r="J300" s="22">
        <f>I300*J$676</f>
        <v>16089.653550659597</v>
      </c>
      <c r="K300" s="2">
        <v>614000</v>
      </c>
      <c r="L300" s="21">
        <f ca="1">K300/K$646</f>
        <v>9.721915705928369E-3</v>
      </c>
      <c r="M300" s="22">
        <f ca="1">L300*M$676</f>
        <v>37798.937566128385</v>
      </c>
      <c r="N300" s="2">
        <v>614000</v>
      </c>
      <c r="O300" s="21">
        <f ca="1">N300/N$646</f>
        <v>6.5500453253475787E-3</v>
      </c>
      <c r="P300" s="22">
        <f ca="1">O300*P$676</f>
        <v>111279.38584443733</v>
      </c>
      <c r="Q300" s="2">
        <v>614000</v>
      </c>
      <c r="R300" s="21">
        <f ca="1">Q300/Q$646</f>
        <v>5.5204632198928277E-3</v>
      </c>
      <c r="S300" s="22">
        <f ca="1">R300*S$676</f>
        <v>95944.828102308325</v>
      </c>
      <c r="T300" s="2">
        <v>614000</v>
      </c>
      <c r="U300" s="21">
        <f ca="1">T300/T$646</f>
        <v>7.3184893148474312E-3</v>
      </c>
      <c r="V300" s="22">
        <f ca="1">U300*V$676</f>
        <v>129865.33301403212</v>
      </c>
      <c r="W300" s="2">
        <v>614000</v>
      </c>
      <c r="X300" s="21">
        <f ca="1">W300/W$646</f>
        <v>7.0246208690703787E-3</v>
      </c>
      <c r="Y300" s="22">
        <f ca="1">X300*Y$676</f>
        <v>127143.70181490855</v>
      </c>
      <c r="Z300" s="2">
        <v>614000</v>
      </c>
      <c r="AA300" s="21">
        <f ca="1">Z300/Z$646</f>
        <v>5.2901072141683381E-3</v>
      </c>
      <c r="AB300" s="22">
        <f ca="1">AA300*AB$676</f>
        <v>97472.97336724402</v>
      </c>
      <c r="AC300" s="2">
        <v>614000</v>
      </c>
      <c r="AD300" s="21">
        <f ca="1">AC300/AC$646</f>
        <v>5.9012469385957122E-3</v>
      </c>
      <c r="AE300" s="22">
        <f ca="1">AD300*AE$676</f>
        <v>110799.47751368443</v>
      </c>
      <c r="AF300" s="2">
        <v>614000</v>
      </c>
      <c r="AG300" s="21">
        <f ca="1">AF300/AF$646</f>
        <v>6.5226354127486189E-3</v>
      </c>
      <c r="AH300" s="22">
        <f ca="1">AG300*AH$676</f>
        <v>124670.81723739963</v>
      </c>
      <c r="AI300" s="2">
        <v>614000</v>
      </c>
      <c r="AJ300" s="21">
        <f ca="1">AI300/AI$646</f>
        <v>4.9696949094056248E-3</v>
      </c>
      <c r="AK300" s="22">
        <f ca="1">AJ300*AK$676</f>
        <v>96698.382235292185</v>
      </c>
      <c r="AL300" s="2">
        <v>6140000</v>
      </c>
    </row>
    <row r="301" spans="1:38" ht="12.75" x14ac:dyDescent="0.2">
      <c r="A301" s="8" t="s">
        <v>16</v>
      </c>
      <c r="B301" s="8" t="s">
        <v>17</v>
      </c>
      <c r="C301" s="8" t="s">
        <v>18</v>
      </c>
      <c r="D301" s="8" t="s">
        <v>112</v>
      </c>
      <c r="E301" s="8" t="s">
        <v>116</v>
      </c>
      <c r="F301" s="23" t="s">
        <v>37</v>
      </c>
      <c r="G301" s="8" t="s">
        <v>660</v>
      </c>
      <c r="H301" s="20">
        <v>176503.1981362575</v>
      </c>
      <c r="I301" s="21">
        <f>H301/H$649</f>
        <v>2.491175291502216E-3</v>
      </c>
      <c r="J301" s="22">
        <f>I301*J$679</f>
        <v>119958.82683757901</v>
      </c>
      <c r="K301" s="2">
        <v>180421.27376660833</v>
      </c>
      <c r="L301" s="21">
        <f ca="1">K301/K$649</f>
        <v>2.1510110817339885E-3</v>
      </c>
      <c r="M301" s="22">
        <f ca="1">L301*M$679</f>
        <v>196456.91202788483</v>
      </c>
      <c r="N301" s="2">
        <v>0</v>
      </c>
      <c r="O301" s="21">
        <f ca="1">N301/N$649</f>
        <v>0</v>
      </c>
      <c r="P301" s="22">
        <f ca="1">O301*P$679</f>
        <v>0</v>
      </c>
      <c r="Q301" s="2">
        <v>66710.003619213196</v>
      </c>
      <c r="R301" s="21">
        <f ca="1">Q301/Q$649</f>
        <v>8.4686290523803111E-4</v>
      </c>
      <c r="S301" s="22">
        <f ca="1">R301*S$679</f>
        <v>214598.66717967761</v>
      </c>
      <c r="T301" s="2">
        <v>666627.04981797049</v>
      </c>
      <c r="U301" s="21">
        <f ca="1">T301/T$649</f>
        <v>8.5779617677682538E-3</v>
      </c>
      <c r="V301" s="22">
        <f ca="1">U301*V$679</f>
        <v>2219339.5806000372</v>
      </c>
      <c r="W301" s="2">
        <v>982340.04155755404</v>
      </c>
      <c r="X301" s="21">
        <f ca="1">W301/W$649</f>
        <v>1.1045690578013103E-2</v>
      </c>
      <c r="Y301" s="22">
        <f ca="1">X301*Y$679</f>
        <v>2914960.6558444356</v>
      </c>
      <c r="Z301" s="2">
        <v>203962.26843063987</v>
      </c>
      <c r="AA301" s="21">
        <f ca="1">Z301/Z$649</f>
        <v>2.1117489321912037E-3</v>
      </c>
      <c r="AB301" s="22">
        <f ca="1">AA301*AB$679</f>
        <v>567322.33979748422</v>
      </c>
      <c r="AC301" s="2">
        <v>0</v>
      </c>
      <c r="AD301" s="21">
        <f ca="1">AC301/AC$649</f>
        <v>0</v>
      </c>
      <c r="AE301" s="22">
        <f ca="1">AD301*AE$679</f>
        <v>0</v>
      </c>
      <c r="AF301" s="2">
        <v>0</v>
      </c>
      <c r="AG301" s="21">
        <f ca="1">AF301/AF$649</f>
        <v>0</v>
      </c>
      <c r="AH301" s="22">
        <f ca="1">AG301*AH$679</f>
        <v>0</v>
      </c>
      <c r="AI301" s="2">
        <v>1699018.6103040732</v>
      </c>
      <c r="AJ301" s="21">
        <f ca="1">AI301/AI$649</f>
        <v>8.8696390509473647E-3</v>
      </c>
      <c r="AK301" s="22">
        <f ca="1">AJ301*AK$679</f>
        <v>2516305.0473793494</v>
      </c>
      <c r="AL301" s="2">
        <v>3975582.4456323171</v>
      </c>
    </row>
    <row r="302" spans="1:38" ht="12.75" x14ac:dyDescent="0.2">
      <c r="A302" s="8" t="s">
        <v>16</v>
      </c>
      <c r="B302" s="8" t="s">
        <v>17</v>
      </c>
      <c r="C302" s="8" t="s">
        <v>18</v>
      </c>
      <c r="D302" s="8" t="s">
        <v>112</v>
      </c>
      <c r="E302" s="8" t="s">
        <v>116</v>
      </c>
      <c r="F302" s="8" t="s">
        <v>25</v>
      </c>
      <c r="G302" s="8" t="s">
        <v>661</v>
      </c>
      <c r="H302" s="20">
        <v>1605000</v>
      </c>
      <c r="I302" s="21">
        <f>H302/H$652</f>
        <v>0.11505214897003471</v>
      </c>
      <c r="J302" s="22">
        <f>I302*J$682</f>
        <v>8280822.506773849</v>
      </c>
      <c r="K302" s="2">
        <v>1605000</v>
      </c>
      <c r="L302" s="21">
        <f ca="1">K302/K$652</f>
        <v>7.1444011660195775E-2</v>
      </c>
      <c r="M302" s="22">
        <f ca="1">L302*M$682</f>
        <v>2576849.9712931421</v>
      </c>
      <c r="N302" s="2">
        <v>1605000</v>
      </c>
      <c r="O302" s="21">
        <f ca="1">N302/N$652</f>
        <v>3.2161368774267514E-2</v>
      </c>
      <c r="P302" s="22">
        <f ca="1">O302*P$682</f>
        <v>1190159.55023644</v>
      </c>
      <c r="Q302" s="2">
        <v>1605000</v>
      </c>
      <c r="R302" s="21">
        <f ca="1">Q302/Q$652</f>
        <v>3.2336357973608322E-2</v>
      </c>
      <c r="S302" s="22">
        <f ca="1">R302*S$682</f>
        <v>1224157.7873967497</v>
      </c>
      <c r="T302" s="2">
        <v>1605000</v>
      </c>
      <c r="U302" s="21">
        <f ca="1">T302/T$652</f>
        <v>3.6581423195353832E-2</v>
      </c>
      <c r="V302" s="22">
        <f ca="1">U302*V$682</f>
        <v>1413945.3873720986</v>
      </c>
      <c r="W302" s="2">
        <v>1605000</v>
      </c>
      <c r="X302" s="21">
        <f ca="1">W302/W$652</f>
        <v>3.4840036674355403E-2</v>
      </c>
      <c r="Y302" s="22">
        <f ca="1">X302*Y$682</f>
        <v>1373570.0513153516</v>
      </c>
      <c r="Z302" s="2">
        <v>1605000</v>
      </c>
      <c r="AA302" s="21">
        <f ca="1">Z302/Z$652</f>
        <v>3.4737956319960406E-2</v>
      </c>
      <c r="AB302" s="22">
        <f ca="1">AA302*AB$682</f>
        <v>1394197.3481744297</v>
      </c>
      <c r="AC302" s="2">
        <v>1605000</v>
      </c>
      <c r="AD302" s="21">
        <f ca="1">AC302/AC$652</f>
        <v>2.5765177965283294E-2</v>
      </c>
      <c r="AE302" s="22">
        <f ca="1">AD302*AE$682</f>
        <v>1053725.0829965267</v>
      </c>
      <c r="AF302" s="2">
        <v>1605000</v>
      </c>
      <c r="AG302" s="21">
        <f ca="1">AF302/AF$652</f>
        <v>2.3979727280342637E-2</v>
      </c>
      <c r="AH302" s="22">
        <f ca="1">AG302*AH$682</f>
        <v>998357.73985637352</v>
      </c>
      <c r="AI302" s="2">
        <v>1605000</v>
      </c>
      <c r="AJ302" s="21">
        <f ca="1">AI302/AI$652</f>
        <v>2.1426854632377028E-2</v>
      </c>
      <c r="AK302" s="22">
        <f ca="1">AJ302*AK$682</f>
        <v>908130.26764209452</v>
      </c>
      <c r="AL302" s="2">
        <v>16050000</v>
      </c>
    </row>
    <row r="303" spans="1:38" ht="12.75" x14ac:dyDescent="0.2">
      <c r="A303" s="8" t="s">
        <v>16</v>
      </c>
      <c r="B303" s="8" t="s">
        <v>17</v>
      </c>
      <c r="C303" s="8" t="s">
        <v>18</v>
      </c>
      <c r="D303" s="8" t="s">
        <v>112</v>
      </c>
      <c r="E303" s="8" t="s">
        <v>116</v>
      </c>
      <c r="F303" s="8" t="s">
        <v>27</v>
      </c>
      <c r="G303" s="8" t="s">
        <v>662</v>
      </c>
      <c r="H303" s="20">
        <v>0</v>
      </c>
      <c r="I303" s="21">
        <f>H303/H$657</f>
        <v>0</v>
      </c>
      <c r="J303" s="22">
        <f>I303*J$687</f>
        <v>0</v>
      </c>
      <c r="K303" s="2">
        <v>0</v>
      </c>
      <c r="L303" s="21">
        <f ca="1">K303/K$657</f>
        <v>0</v>
      </c>
      <c r="M303" s="22">
        <f ca="1">L303*M$687</f>
        <v>0</v>
      </c>
      <c r="N303" s="2">
        <v>0</v>
      </c>
      <c r="O303" s="21">
        <f ca="1">N303/N$657</f>
        <v>0</v>
      </c>
      <c r="P303" s="22">
        <f ca="1">O303*P$687</f>
        <v>0</v>
      </c>
      <c r="Q303" s="2">
        <v>0</v>
      </c>
      <c r="R303" s="21">
        <f ca="1">Q303/Q$657</f>
        <v>0</v>
      </c>
      <c r="S303" s="22">
        <f ca="1">R303*S$687</f>
        <v>0</v>
      </c>
      <c r="T303" s="2">
        <v>0</v>
      </c>
      <c r="U303" s="21">
        <f ca="1">T303/T$657</f>
        <v>0</v>
      </c>
      <c r="V303" s="22">
        <f ca="1">U303*V$687</f>
        <v>0</v>
      </c>
      <c r="W303" s="2">
        <v>0</v>
      </c>
      <c r="X303" s="21">
        <f ca="1">W303/W$657</f>
        <v>0</v>
      </c>
      <c r="Y303" s="22">
        <f ca="1">X303*Y$687</f>
        <v>0</v>
      </c>
      <c r="Z303" s="2">
        <v>0</v>
      </c>
      <c r="AA303" s="21">
        <f ca="1">Z303/Z$657</f>
        <v>0</v>
      </c>
      <c r="AB303" s="22">
        <f ca="1">AA303*AB$687</f>
        <v>0</v>
      </c>
      <c r="AC303" s="2">
        <v>0</v>
      </c>
      <c r="AD303" s="21">
        <f ca="1">AC303/AC$657</f>
        <v>0</v>
      </c>
      <c r="AE303" s="22">
        <f ca="1">AD303*AE$687</f>
        <v>0</v>
      </c>
      <c r="AF303" s="2">
        <v>0</v>
      </c>
      <c r="AG303" s="21">
        <f ca="1">AF303/AF$657</f>
        <v>0</v>
      </c>
      <c r="AH303" s="22">
        <f ca="1">AG303*AH$687</f>
        <v>0</v>
      </c>
      <c r="AI303" s="2">
        <v>0</v>
      </c>
      <c r="AJ303" s="21">
        <f ca="1">AI303/AI$657</f>
        <v>0</v>
      </c>
      <c r="AK303" s="22">
        <f ca="1">AJ303*AK$687</f>
        <v>0</v>
      </c>
      <c r="AL303" s="2">
        <v>0</v>
      </c>
    </row>
    <row r="304" spans="1:38" ht="12.75" x14ac:dyDescent="0.2">
      <c r="A304" s="8" t="s">
        <v>16</v>
      </c>
      <c r="B304" s="8" t="s">
        <v>17</v>
      </c>
      <c r="C304" s="8" t="s">
        <v>18</v>
      </c>
      <c r="D304" s="8" t="s">
        <v>112</v>
      </c>
      <c r="E304" s="8" t="s">
        <v>117</v>
      </c>
      <c r="F304" s="23" t="s">
        <v>37</v>
      </c>
      <c r="G304" s="8" t="s">
        <v>663</v>
      </c>
      <c r="H304" s="20">
        <v>3670356.7230973258</v>
      </c>
      <c r="I304" s="21">
        <f t="shared" ref="I304:I305" si="720">H304/H$649</f>
        <v>5.1803605125163049E-2</v>
      </c>
      <c r="J304" s="22">
        <f t="shared" ref="J304:J305" si="721">I304*J$679</f>
        <v>2494525.2620197749</v>
      </c>
      <c r="K304" s="2">
        <v>3930965.7510421714</v>
      </c>
      <c r="L304" s="21">
        <f t="shared" ref="L304:L305" ca="1" si="722">K304/K$649</f>
        <v>4.6865598030011259E-2</v>
      </c>
      <c r="M304" s="22">
        <f t="shared" ref="M304:M305" ca="1" si="723">L304*M$679</f>
        <v>4280345.5302954847</v>
      </c>
      <c r="N304" s="2">
        <v>4825014.2376279617</v>
      </c>
      <c r="O304" s="21">
        <f t="shared" ref="O304:O305" ca="1" si="724">N304/N$649</f>
        <v>5.4056367255880519E-2</v>
      </c>
      <c r="P304" s="22">
        <f t="shared" ref="P304:P305" ca="1" si="725">O304*P$679</f>
        <v>13390140.470875444</v>
      </c>
      <c r="Q304" s="2">
        <v>4815488.2952543525</v>
      </c>
      <c r="R304" s="21">
        <f t="shared" ref="R304:R305" ca="1" si="726">Q304/Q$649</f>
        <v>6.1131137559769372E-2</v>
      </c>
      <c r="S304" s="22">
        <f t="shared" ref="S304:S305" ca="1" si="727">R304*S$679</f>
        <v>15490890.629831899</v>
      </c>
      <c r="T304" s="2">
        <v>4702546.6932325745</v>
      </c>
      <c r="U304" s="21">
        <f t="shared" ref="U304:U305" ca="1" si="728">T304/T$649</f>
        <v>6.0510994500911471E-2</v>
      </c>
      <c r="V304" s="22">
        <f t="shared" ref="V304:V305" ca="1" si="729">U304*V$679</f>
        <v>15655752.356224792</v>
      </c>
      <c r="W304" s="2">
        <v>4774218.1258220049</v>
      </c>
      <c r="X304" s="21">
        <f t="shared" ref="X304:X305" ca="1" si="730">W304/W$649</f>
        <v>5.3682568091348484E-2</v>
      </c>
      <c r="Y304" s="22">
        <f t="shared" ref="Y304:Y305" ca="1" si="731">X304*Y$679</f>
        <v>14166843.873252768</v>
      </c>
      <c r="Z304" s="2">
        <v>4648783.3821586315</v>
      </c>
      <c r="AA304" s="21">
        <f t="shared" ref="AA304:AA305" ca="1" si="732">Z304/Z$649</f>
        <v>4.8131761912621238E-2</v>
      </c>
      <c r="AB304" s="22">
        <f t="shared" ref="AB304:AB305" ca="1" si="733">AA304*AB$679</f>
        <v>12930620.383224294</v>
      </c>
      <c r="AC304" s="2">
        <v>4414629.1194504825</v>
      </c>
      <c r="AD304" s="21">
        <f t="shared" ref="AD304:AD305" ca="1" si="734">AC304/AC$649</f>
        <v>4.513018572478792E-2</v>
      </c>
      <c r="AE304" s="22">
        <f t="shared" ref="AE304:AE305" ca="1" si="735">AD304*AE$679</f>
        <v>12354606.199557545</v>
      </c>
      <c r="AF304" s="2">
        <v>4692041.3225491503</v>
      </c>
      <c r="AG304" s="21">
        <f t="shared" ref="AG304:AG305" ca="1" si="736">AF304/AF$649</f>
        <v>4.6288916510802594E-2</v>
      </c>
      <c r="AH304" s="22">
        <f t="shared" ref="AH304:AH305" ca="1" si="737">AG304*AH$679</f>
        <v>12899907.003932707</v>
      </c>
      <c r="AI304" s="2">
        <v>9594692.8781162482</v>
      </c>
      <c r="AJ304" s="21">
        <f t="shared" ref="AJ304:AJ305" ca="1" si="738">AI304/AI$649</f>
        <v>5.0088599452336686E-2</v>
      </c>
      <c r="AK304" s="22">
        <f t="shared" ref="AK304:AK305" ca="1" si="739">AJ304*AK$679</f>
        <v>14210070.43174042</v>
      </c>
      <c r="AL304" s="2">
        <v>50068736.528350897</v>
      </c>
    </row>
    <row r="305" spans="1:38" ht="12.75" x14ac:dyDescent="0.2">
      <c r="A305" s="8" t="s">
        <v>16</v>
      </c>
      <c r="B305" s="8" t="s">
        <v>17</v>
      </c>
      <c r="C305" s="8" t="s">
        <v>18</v>
      </c>
      <c r="D305" s="8" t="s">
        <v>112</v>
      </c>
      <c r="E305" s="8" t="s">
        <v>118</v>
      </c>
      <c r="F305" s="23" t="s">
        <v>37</v>
      </c>
      <c r="G305" s="8" t="s">
        <v>664</v>
      </c>
      <c r="H305" s="20">
        <v>402241.83052161039</v>
      </c>
      <c r="I305" s="21">
        <f t="shared" si="720"/>
        <v>5.6772620552205978E-3</v>
      </c>
      <c r="J305" s="22">
        <f t="shared" si="721"/>
        <v>273380.07811689947</v>
      </c>
      <c r="K305" s="2">
        <v>518960.4713915505</v>
      </c>
      <c r="L305" s="21">
        <f t="shared" ca="1" si="722"/>
        <v>6.1871291652066708E-3</v>
      </c>
      <c r="M305" s="22">
        <f t="shared" ca="1" si="723"/>
        <v>565085.08972176758</v>
      </c>
      <c r="N305" s="2">
        <v>240710.59182525196</v>
      </c>
      <c r="O305" s="21">
        <f t="shared" ca="1" si="724"/>
        <v>2.6967672038379323E-3</v>
      </c>
      <c r="P305" s="22">
        <f t="shared" ca="1" si="725"/>
        <v>668008.10912264313</v>
      </c>
      <c r="Q305" s="2">
        <v>1721252.9142930149</v>
      </c>
      <c r="R305" s="21">
        <f t="shared" ca="1" si="726"/>
        <v>2.1850774465072689E-2</v>
      </c>
      <c r="S305" s="22">
        <f t="shared" ca="1" si="727"/>
        <v>5537079.3171420526</v>
      </c>
      <c r="T305" s="2">
        <v>1678962.1288574275</v>
      </c>
      <c r="U305" s="21">
        <f t="shared" ca="1" si="728"/>
        <v>2.1604393273273934E-2</v>
      </c>
      <c r="V305" s="22">
        <f t="shared" ca="1" si="729"/>
        <v>5589612.8246209985</v>
      </c>
      <c r="W305" s="2">
        <v>2010107.2913702321</v>
      </c>
      <c r="X305" s="21">
        <f t="shared" ca="1" si="730"/>
        <v>2.260217666978076E-2</v>
      </c>
      <c r="Y305" s="22">
        <f t="shared" ca="1" si="731"/>
        <v>5964720.382445043</v>
      </c>
      <c r="Z305" s="2">
        <v>1248427.155339062</v>
      </c>
      <c r="AA305" s="21">
        <f t="shared" ca="1" si="732"/>
        <v>1.2925747161428034E-2</v>
      </c>
      <c r="AB305" s="22">
        <f t="shared" ca="1" si="733"/>
        <v>3472508.0294668693</v>
      </c>
      <c r="AC305" s="2">
        <v>518037.52981732646</v>
      </c>
      <c r="AD305" s="21">
        <f t="shared" ca="1" si="734"/>
        <v>5.2958310427618557E-3</v>
      </c>
      <c r="AE305" s="22">
        <f t="shared" ca="1" si="735"/>
        <v>1449759.3125742089</v>
      </c>
      <c r="AF305" s="2">
        <v>523997.7943928825</v>
      </c>
      <c r="AG305" s="21">
        <f t="shared" ca="1" si="736"/>
        <v>5.1694536533448783E-3</v>
      </c>
      <c r="AH305" s="22">
        <f t="shared" ca="1" si="737"/>
        <v>1440635.8242091604</v>
      </c>
      <c r="AI305" s="2">
        <v>4344228.6135667479</v>
      </c>
      <c r="AJ305" s="21">
        <f t="shared" ca="1" si="738"/>
        <v>2.2678821481677904E-2</v>
      </c>
      <c r="AK305" s="22">
        <f t="shared" ca="1" si="739"/>
        <v>6433952.1185888639</v>
      </c>
      <c r="AL305" s="2">
        <v>13206926.321375106</v>
      </c>
    </row>
    <row r="306" spans="1:38" ht="12.75" x14ac:dyDescent="0.2">
      <c r="A306" s="8" t="s">
        <v>16</v>
      </c>
      <c r="B306" s="8" t="s">
        <v>17</v>
      </c>
      <c r="C306" s="8" t="s">
        <v>18</v>
      </c>
      <c r="D306" s="8" t="s">
        <v>112</v>
      </c>
      <c r="E306" s="8" t="s">
        <v>118</v>
      </c>
      <c r="F306" s="8" t="s">
        <v>27</v>
      </c>
      <c r="G306" s="8" t="s">
        <v>665</v>
      </c>
      <c r="H306" s="20">
        <v>0</v>
      </c>
      <c r="I306" s="21">
        <f>H306/H$657</f>
        <v>0</v>
      </c>
      <c r="J306" s="22">
        <f>I306*J$687</f>
        <v>0</v>
      </c>
      <c r="K306" s="2">
        <v>0</v>
      </c>
      <c r="L306" s="21">
        <f ca="1">K306/K$657</f>
        <v>0</v>
      </c>
      <c r="M306" s="22">
        <f ca="1">L306*M$687</f>
        <v>0</v>
      </c>
      <c r="N306" s="2">
        <v>0</v>
      </c>
      <c r="O306" s="21">
        <f ca="1">N306/N$657</f>
        <v>0</v>
      </c>
      <c r="P306" s="22">
        <f ca="1">O306*P$687</f>
        <v>0</v>
      </c>
      <c r="Q306" s="2">
        <v>0</v>
      </c>
      <c r="R306" s="21">
        <f ca="1">Q306/Q$657</f>
        <v>0</v>
      </c>
      <c r="S306" s="22">
        <f ca="1">R306*S$687</f>
        <v>0</v>
      </c>
      <c r="T306" s="2">
        <v>0</v>
      </c>
      <c r="U306" s="21">
        <f ca="1">T306/T$657</f>
        <v>0</v>
      </c>
      <c r="V306" s="22">
        <f ca="1">U306*V$687</f>
        <v>0</v>
      </c>
      <c r="W306" s="2">
        <v>0</v>
      </c>
      <c r="X306" s="21">
        <f ca="1">W306/W$657</f>
        <v>0</v>
      </c>
      <c r="Y306" s="22">
        <f ca="1">X306*Y$687</f>
        <v>0</v>
      </c>
      <c r="Z306" s="2">
        <v>0</v>
      </c>
      <c r="AA306" s="21">
        <f ca="1">Z306/Z$657</f>
        <v>0</v>
      </c>
      <c r="AB306" s="22">
        <f ca="1">AA306*AB$687</f>
        <v>0</v>
      </c>
      <c r="AC306" s="2">
        <v>0</v>
      </c>
      <c r="AD306" s="21">
        <f ca="1">AC306/AC$657</f>
        <v>0</v>
      </c>
      <c r="AE306" s="22">
        <f ca="1">AD306*AE$687</f>
        <v>0</v>
      </c>
      <c r="AF306" s="2">
        <v>0</v>
      </c>
      <c r="AG306" s="21">
        <f ca="1">AF306/AF$657</f>
        <v>0</v>
      </c>
      <c r="AH306" s="22">
        <f ca="1">AG306*AH$687</f>
        <v>0</v>
      </c>
      <c r="AI306" s="2">
        <v>0</v>
      </c>
      <c r="AJ306" s="21">
        <f ca="1">AI306/AI$657</f>
        <v>0</v>
      </c>
      <c r="AK306" s="22">
        <f ca="1">AJ306*AK$687</f>
        <v>0</v>
      </c>
      <c r="AL306" s="2">
        <v>0</v>
      </c>
    </row>
    <row r="307" spans="1:38" ht="12.75" x14ac:dyDescent="0.2">
      <c r="A307" s="8" t="s">
        <v>16</v>
      </c>
      <c r="B307" s="8" t="s">
        <v>17</v>
      </c>
      <c r="C307" s="8" t="s">
        <v>18</v>
      </c>
      <c r="D307" s="8" t="s">
        <v>112</v>
      </c>
      <c r="E307" s="8" t="s">
        <v>119</v>
      </c>
      <c r="F307" s="23" t="s">
        <v>37</v>
      </c>
      <c r="G307" s="8" t="s">
        <v>666</v>
      </c>
      <c r="H307" s="20">
        <v>7212501.502310412</v>
      </c>
      <c r="I307" s="21">
        <f t="shared" ref="I307:I308" si="740">H307/H$649</f>
        <v>0.10179762022559853</v>
      </c>
      <c r="J307" s="22">
        <f t="shared" ref="J307:J308" si="741">I307*J$679</f>
        <v>4901912.4181167008</v>
      </c>
      <c r="K307" s="2">
        <v>5410836.1829328695</v>
      </c>
      <c r="L307" s="21">
        <f t="shared" ref="L307:L308" ca="1" si="742">K307/K$649</f>
        <v>6.4508848363367968E-2</v>
      </c>
      <c r="M307" s="22">
        <f t="shared" ref="M307:M308" ca="1" si="743">L307*M$679</f>
        <v>5891745.168381989</v>
      </c>
      <c r="N307" s="2">
        <v>5626464.0347050633</v>
      </c>
      <c r="O307" s="21">
        <f t="shared" ref="O307:O308" ca="1" si="744">N307/N$649</f>
        <v>6.3035297147960814E-2</v>
      </c>
      <c r="P307" s="22">
        <f t="shared" ref="P307:P308" ca="1" si="745">O307*P$679</f>
        <v>15614284.242209218</v>
      </c>
      <c r="Q307" s="2">
        <v>5448107.2647757856</v>
      </c>
      <c r="R307" s="21">
        <f t="shared" ref="R307:R308" ca="1" si="746">Q307/Q$649</f>
        <v>6.9162040113690246E-2</v>
      </c>
      <c r="S307" s="22">
        <f t="shared" ref="S307:S308" ca="1" si="747">R307*S$679</f>
        <v>17525955.542536844</v>
      </c>
      <c r="T307" s="2">
        <v>5535162.2777267536</v>
      </c>
      <c r="U307" s="21">
        <f t="shared" ref="U307:U308" ca="1" si="748">T307/T$649</f>
        <v>7.1224848151148629E-2</v>
      </c>
      <c r="V307" s="22">
        <f t="shared" ref="V307:V308" ca="1" si="749">U307*V$679</f>
        <v>18427702.16323749</v>
      </c>
      <c r="W307" s="2">
        <v>5218149.4831804829</v>
      </c>
      <c r="X307" s="21">
        <f t="shared" ref="X307:X308" ca="1" si="750">W307/W$649</f>
        <v>5.8674249386843978E-2</v>
      </c>
      <c r="Y307" s="22">
        <f t="shared" ref="Y307:Y308" ca="1" si="751">X307*Y$679</f>
        <v>15484149.883240718</v>
      </c>
      <c r="Z307" s="2">
        <v>4485141.6352471439</v>
      </c>
      <c r="AA307" s="21">
        <f t="shared" ref="AA307:AA308" ca="1" si="752">Z307/Z$649</f>
        <v>4.6437476557976087E-2</v>
      </c>
      <c r="AB307" s="22">
        <f t="shared" ref="AB307:AB308" ca="1" si="753">AA307*AB$679</f>
        <v>12475449.829078672</v>
      </c>
      <c r="AC307" s="2">
        <v>4533646.8751456803</v>
      </c>
      <c r="AD307" s="21">
        <f t="shared" ref="AD307:AD308" ca="1" si="754">AC307/AC$649</f>
        <v>4.6346888934442894E-2</v>
      </c>
      <c r="AE307" s="22">
        <f t="shared" ref="AE307:AE308" ca="1" si="755">AD307*AE$679</f>
        <v>12687684.576604165</v>
      </c>
      <c r="AF307" s="2">
        <v>4379252.1700842138</v>
      </c>
      <c r="AG307" s="21">
        <f t="shared" ref="AG307:AG308" ca="1" si="756">AF307/AF$649</f>
        <v>4.3203122936404152E-2</v>
      </c>
      <c r="AH307" s="22">
        <f t="shared" ref="AH307:AH308" ca="1" si="757">AG307*AH$679</f>
        <v>12039950.600896502</v>
      </c>
      <c r="AI307" s="2">
        <v>8955058.5640526451</v>
      </c>
      <c r="AJ307" s="21">
        <f t="shared" ref="AJ307:AJ308" ca="1" si="758">AI307/AI$649</f>
        <v>4.6749421496346484E-2</v>
      </c>
      <c r="AK307" s="22">
        <f t="shared" ref="AK307:AK308" ca="1" si="759">AJ307*AK$679</f>
        <v>13262749.994404411</v>
      </c>
      <c r="AL307" s="2">
        <v>56804319.990161046</v>
      </c>
    </row>
    <row r="308" spans="1:38" ht="12.75" x14ac:dyDescent="0.2">
      <c r="A308" s="8" t="s">
        <v>16</v>
      </c>
      <c r="B308" s="8" t="s">
        <v>17</v>
      </c>
      <c r="C308" s="8" t="s">
        <v>18</v>
      </c>
      <c r="D308" s="8" t="s">
        <v>112</v>
      </c>
      <c r="E308" s="8" t="s">
        <v>120</v>
      </c>
      <c r="F308" s="23" t="s">
        <v>37</v>
      </c>
      <c r="G308" s="8" t="s">
        <v>667</v>
      </c>
      <c r="H308" s="20">
        <v>709396.70532888873</v>
      </c>
      <c r="I308" s="21">
        <f t="shared" si="740"/>
        <v>1.0012461886521358E-2</v>
      </c>
      <c r="J308" s="22">
        <f t="shared" si="741"/>
        <v>482135.15353983943</v>
      </c>
      <c r="K308" s="2">
        <v>613427.18734911748</v>
      </c>
      <c r="L308" s="21">
        <f t="shared" ca="1" si="742"/>
        <v>7.313376356780101E-3</v>
      </c>
      <c r="M308" s="22">
        <f t="shared" ca="1" si="743"/>
        <v>667947.90029279958</v>
      </c>
      <c r="N308" s="2">
        <v>601672.03645835025</v>
      </c>
      <c r="O308" s="21">
        <f t="shared" ca="1" si="744"/>
        <v>6.7407478959845366E-3</v>
      </c>
      <c r="P308" s="22">
        <f t="shared" ca="1" si="745"/>
        <v>1669730.4274765553</v>
      </c>
      <c r="Q308" s="2">
        <v>1097196.4138921208</v>
      </c>
      <c r="R308" s="21">
        <f t="shared" ca="1" si="746"/>
        <v>1.3928569813745569E-2</v>
      </c>
      <c r="S308" s="22">
        <f t="shared" ca="1" si="747"/>
        <v>3529558.915924821</v>
      </c>
      <c r="T308" s="2">
        <v>1186681.4272877229</v>
      </c>
      <c r="U308" s="21">
        <f t="shared" ca="1" si="748"/>
        <v>1.5269869286843846E-2</v>
      </c>
      <c r="V308" s="22">
        <f t="shared" ca="1" si="749"/>
        <v>3950708.3636371102</v>
      </c>
      <c r="W308" s="2">
        <v>1504130.0348424225</v>
      </c>
      <c r="X308" s="21">
        <f t="shared" ca="1" si="750"/>
        <v>1.6912834915721049E-2</v>
      </c>
      <c r="Y308" s="22">
        <f t="shared" ca="1" si="751"/>
        <v>4463301.5934968386</v>
      </c>
      <c r="Z308" s="2">
        <v>938199.12500072259</v>
      </c>
      <c r="AA308" s="21">
        <f t="shared" ca="1" si="752"/>
        <v>9.7137623328441523E-3</v>
      </c>
      <c r="AB308" s="22">
        <f t="shared" ca="1" si="753"/>
        <v>2609606.8007419962</v>
      </c>
      <c r="AC308" s="2">
        <v>948348.53818871616</v>
      </c>
      <c r="AD308" s="21">
        <f t="shared" ca="1" si="754"/>
        <v>9.6948451392481587E-3</v>
      </c>
      <c r="AE308" s="22">
        <f t="shared" ca="1" si="755"/>
        <v>2654010.6568920724</v>
      </c>
      <c r="AF308" s="2">
        <v>959263.18533344998</v>
      </c>
      <c r="AG308" s="21">
        <f t="shared" ca="1" si="756"/>
        <v>9.4635256693908799E-3</v>
      </c>
      <c r="AH308" s="22">
        <f t="shared" ca="1" si="757"/>
        <v>2637318.1803895212</v>
      </c>
      <c r="AI308" s="2">
        <v>1961578.8061283706</v>
      </c>
      <c r="AJ308" s="21">
        <f t="shared" ca="1" si="758"/>
        <v>1.0240321015220133E-2</v>
      </c>
      <c r="AK308" s="22">
        <f t="shared" ca="1" si="759"/>
        <v>2905165.7355358773</v>
      </c>
      <c r="AL308" s="2">
        <v>10519893.459809881</v>
      </c>
    </row>
    <row r="309" spans="1:38" ht="12.75" x14ac:dyDescent="0.2">
      <c r="A309" s="8" t="s">
        <v>16</v>
      </c>
      <c r="B309" s="8" t="s">
        <v>17</v>
      </c>
      <c r="C309" s="8" t="s">
        <v>18</v>
      </c>
      <c r="D309" s="8" t="s">
        <v>112</v>
      </c>
      <c r="E309" s="8" t="s">
        <v>120</v>
      </c>
      <c r="F309" s="8" t="s">
        <v>26</v>
      </c>
      <c r="G309" s="8" t="s">
        <v>668</v>
      </c>
      <c r="H309" s="20">
        <v>0</v>
      </c>
      <c r="I309" s="21">
        <f>H309/H$655</f>
        <v>0</v>
      </c>
      <c r="J309" s="22">
        <f>I309*J$685</f>
        <v>0</v>
      </c>
      <c r="K309" s="2">
        <v>0</v>
      </c>
      <c r="L309" s="21">
        <f ca="1">K309/K$655</f>
        <v>0</v>
      </c>
      <c r="M309" s="22">
        <f ca="1">L309*M$685</f>
        <v>0</v>
      </c>
      <c r="N309" s="2">
        <v>0</v>
      </c>
      <c r="O309" s="21">
        <f ca="1">N309/N$655</f>
        <v>0</v>
      </c>
      <c r="P309" s="22">
        <f ca="1">O309*P$685</f>
        <v>0</v>
      </c>
      <c r="Q309" s="2">
        <v>0</v>
      </c>
      <c r="R309" s="21">
        <f ca="1">Q309/Q$655</f>
        <v>0</v>
      </c>
      <c r="S309" s="22">
        <f ca="1">R309*S$685</f>
        <v>0</v>
      </c>
      <c r="T309" s="2">
        <v>0</v>
      </c>
      <c r="U309" s="21">
        <f ca="1">T309/T$655</f>
        <v>0</v>
      </c>
      <c r="V309" s="22">
        <f ca="1">U309*V$685</f>
        <v>0</v>
      </c>
      <c r="W309" s="2">
        <v>0</v>
      </c>
      <c r="X309" s="21">
        <f ca="1">W309/W$655</f>
        <v>0</v>
      </c>
      <c r="Y309" s="22">
        <f ca="1">X309*Y$685</f>
        <v>0</v>
      </c>
      <c r="Z309" s="2">
        <v>0</v>
      </c>
      <c r="AA309" s="21">
        <f ca="1">Z309/Z$655</f>
        <v>0</v>
      </c>
      <c r="AB309" s="22">
        <f ca="1">AA309*AB$685</f>
        <v>0</v>
      </c>
      <c r="AC309" s="2">
        <v>0</v>
      </c>
      <c r="AD309" s="21">
        <f ca="1">AC309/AC$655</f>
        <v>0</v>
      </c>
      <c r="AE309" s="22">
        <f ca="1">AD309*AE$685</f>
        <v>0</v>
      </c>
      <c r="AF309" s="2">
        <v>0</v>
      </c>
      <c r="AG309" s="21">
        <f ca="1">AF309/AF$655</f>
        <v>0</v>
      </c>
      <c r="AH309" s="22">
        <f ca="1">AG309*AH$685</f>
        <v>0</v>
      </c>
      <c r="AI309" s="2">
        <v>0</v>
      </c>
      <c r="AJ309" s="21">
        <f ca="1">AI309/AI$655</f>
        <v>0</v>
      </c>
      <c r="AK309" s="22">
        <f ca="1">AJ309*AK$685</f>
        <v>0</v>
      </c>
      <c r="AL309" s="2">
        <v>0</v>
      </c>
    </row>
    <row r="310" spans="1:38" ht="12.75" x14ac:dyDescent="0.2">
      <c r="A310" s="8" t="s">
        <v>16</v>
      </c>
      <c r="B310" s="8" t="s">
        <v>17</v>
      </c>
      <c r="C310" s="8" t="s">
        <v>18</v>
      </c>
      <c r="D310" s="8" t="s">
        <v>112</v>
      </c>
      <c r="E310" s="8" t="s">
        <v>120</v>
      </c>
      <c r="F310" s="8" t="s">
        <v>38</v>
      </c>
      <c r="G310" s="8" t="s">
        <v>669</v>
      </c>
      <c r="H310" s="20">
        <v>300000</v>
      </c>
      <c r="I310" s="21">
        <f>H310/H$656</f>
        <v>1.4015243391699716E-2</v>
      </c>
      <c r="J310" s="22">
        <f>I310*J$686</f>
        <v>547606.49095587339</v>
      </c>
      <c r="K310" s="2">
        <v>300000</v>
      </c>
      <c r="L310" s="21">
        <f ca="1">K310/K$656</f>
        <v>2.2112058665650178E-2</v>
      </c>
      <c r="M310" s="22">
        <f ca="1">L310*M$686</f>
        <v>845161.46774352132</v>
      </c>
      <c r="N310" s="2">
        <v>300000</v>
      </c>
      <c r="O310" s="21">
        <f ca="1">N310/N$656</f>
        <v>2.0181874233677111E-2</v>
      </c>
      <c r="P310" s="22">
        <f ca="1">O310*P$686</f>
        <v>791442.49829680054</v>
      </c>
      <c r="Q310" s="2">
        <v>300000</v>
      </c>
      <c r="R310" s="21">
        <f ca="1">Q310/Q$656</f>
        <v>2.1240883304736131E-2</v>
      </c>
      <c r="S310" s="22">
        <f ca="1">R310*S$686</f>
        <v>852130.43736509979</v>
      </c>
      <c r="T310" s="2">
        <v>300000</v>
      </c>
      <c r="U310" s="21">
        <f ca="1">T310/T$656</f>
        <v>3.1849395174402932E-2</v>
      </c>
      <c r="V310" s="22">
        <f ca="1">U310*V$686</f>
        <v>1304549.1217355111</v>
      </c>
      <c r="W310" s="2">
        <v>300000</v>
      </c>
      <c r="X310" s="21">
        <f ca="1">W310/W$656</f>
        <v>1.7655406000175025E-2</v>
      </c>
      <c r="Y310" s="22">
        <f ca="1">X310*Y$686</f>
        <v>737627.54838814808</v>
      </c>
      <c r="Z310" s="2">
        <v>300000</v>
      </c>
      <c r="AA310" s="21">
        <f ca="1">Z310/Z$656</f>
        <v>7.3852460881563345E-3</v>
      </c>
      <c r="AB310" s="22">
        <f ca="1">AA310*AB$686</f>
        <v>314103.06071130797</v>
      </c>
      <c r="AC310" s="2">
        <v>300000</v>
      </c>
      <c r="AD310" s="21">
        <f ca="1">AC310/AC$656</f>
        <v>2.7470984607392522E-2</v>
      </c>
      <c r="AE310" s="22">
        <f ca="1">AD310*AE$686</f>
        <v>1190571.8413508222</v>
      </c>
      <c r="AF310" s="2">
        <v>300000</v>
      </c>
      <c r="AG310" s="21">
        <f ca="1">AF310/AF$656</f>
        <v>1.4907336112892135E-2</v>
      </c>
      <c r="AH310" s="22">
        <f ca="1">AG310*AH$686</f>
        <v>657702.06077730947</v>
      </c>
      <c r="AI310" s="2">
        <v>300000</v>
      </c>
      <c r="AJ310" s="21">
        <f ca="1">AI310/AI$656</f>
        <v>7.52048687474117E-3</v>
      </c>
      <c r="AK310" s="22">
        <f ca="1">AJ310*AK$686</f>
        <v>337771.41612735717</v>
      </c>
      <c r="AL310" s="2">
        <v>3000000</v>
      </c>
    </row>
    <row r="311" spans="1:38" ht="12.75" x14ac:dyDescent="0.2">
      <c r="A311" s="8" t="s">
        <v>16</v>
      </c>
      <c r="B311" s="8" t="s">
        <v>17</v>
      </c>
      <c r="C311" s="8" t="s">
        <v>18</v>
      </c>
      <c r="D311" s="8" t="s">
        <v>112</v>
      </c>
      <c r="E311" s="8" t="s">
        <v>205</v>
      </c>
      <c r="F311" s="8" t="s">
        <v>24</v>
      </c>
      <c r="G311" s="8" t="s">
        <v>670</v>
      </c>
      <c r="H311" s="20">
        <v>0</v>
      </c>
      <c r="I311" s="21">
        <f>H311/H$646</f>
        <v>0</v>
      </c>
      <c r="J311" s="22">
        <f>I311*J$676</f>
        <v>0</v>
      </c>
      <c r="K311" s="2">
        <v>0</v>
      </c>
      <c r="L311" s="21">
        <f ca="1">K311/K$646</f>
        <v>0</v>
      </c>
      <c r="M311" s="22">
        <f ca="1">L311*M$676</f>
        <v>0</v>
      </c>
      <c r="N311" s="2">
        <v>0</v>
      </c>
      <c r="O311" s="21">
        <f ca="1">N311/N$646</f>
        <v>0</v>
      </c>
      <c r="P311" s="22">
        <f ca="1">O311*P$676</f>
        <v>0</v>
      </c>
      <c r="Q311" s="2">
        <v>0</v>
      </c>
      <c r="R311" s="21">
        <f ca="1">Q311/Q$646</f>
        <v>0</v>
      </c>
      <c r="S311" s="22">
        <f ca="1">R311*S$676</f>
        <v>0</v>
      </c>
      <c r="T311" s="2">
        <v>0</v>
      </c>
      <c r="U311" s="21">
        <f ca="1">T311/T$646</f>
        <v>0</v>
      </c>
      <c r="V311" s="22">
        <f ca="1">U311*V$676</f>
        <v>0</v>
      </c>
      <c r="W311" s="2">
        <v>0</v>
      </c>
      <c r="X311" s="21">
        <f ca="1">W311/W$646</f>
        <v>0</v>
      </c>
      <c r="Y311" s="22">
        <f ca="1">X311*Y$676</f>
        <v>0</v>
      </c>
      <c r="Z311" s="2">
        <v>0</v>
      </c>
      <c r="AA311" s="21">
        <f ca="1">Z311/Z$646</f>
        <v>0</v>
      </c>
      <c r="AB311" s="22">
        <f ca="1">AA311*AB$676</f>
        <v>0</v>
      </c>
      <c r="AC311" s="2">
        <v>0</v>
      </c>
      <c r="AD311" s="21">
        <f ca="1">AC311/AC$646</f>
        <v>0</v>
      </c>
      <c r="AE311" s="22">
        <f ca="1">AD311*AE$676</f>
        <v>0</v>
      </c>
      <c r="AF311" s="2">
        <v>0</v>
      </c>
      <c r="AG311" s="21">
        <f ca="1">AF311/AF$646</f>
        <v>0</v>
      </c>
      <c r="AH311" s="22">
        <f ca="1">AG311*AH$676</f>
        <v>0</v>
      </c>
      <c r="AI311" s="2">
        <v>0</v>
      </c>
      <c r="AJ311" s="21">
        <f ca="1">AI311/AI$646</f>
        <v>0</v>
      </c>
      <c r="AK311" s="22">
        <f ca="1">AJ311*AK$676</f>
        <v>0</v>
      </c>
      <c r="AL311" s="2">
        <v>0</v>
      </c>
    </row>
    <row r="312" spans="1:38" ht="12.75" x14ac:dyDescent="0.2">
      <c r="A312" s="8" t="s">
        <v>16</v>
      </c>
      <c r="B312" s="8" t="s">
        <v>17</v>
      </c>
      <c r="C312" s="8" t="s">
        <v>18</v>
      </c>
      <c r="D312" s="8" t="s">
        <v>112</v>
      </c>
      <c r="E312" s="8" t="s">
        <v>205</v>
      </c>
      <c r="F312" s="8" t="s">
        <v>27</v>
      </c>
      <c r="G312" s="8" t="s">
        <v>671</v>
      </c>
      <c r="H312" s="20">
        <v>0</v>
      </c>
      <c r="I312" s="21">
        <f>H312/H$657</f>
        <v>0</v>
      </c>
      <c r="J312" s="22">
        <f>I312*J$687</f>
        <v>0</v>
      </c>
      <c r="K312" s="2">
        <v>0</v>
      </c>
      <c r="L312" s="21">
        <f ca="1">K312/K$657</f>
        <v>0</v>
      </c>
      <c r="M312" s="22">
        <f ca="1">L312*M$687</f>
        <v>0</v>
      </c>
      <c r="N312" s="2">
        <v>0</v>
      </c>
      <c r="O312" s="21">
        <f ca="1">N312/N$657</f>
        <v>0</v>
      </c>
      <c r="P312" s="22">
        <f ca="1">O312*P$687</f>
        <v>0</v>
      </c>
      <c r="Q312" s="2">
        <v>0</v>
      </c>
      <c r="R312" s="21">
        <f ca="1">Q312/Q$657</f>
        <v>0</v>
      </c>
      <c r="S312" s="22">
        <f ca="1">R312*S$687</f>
        <v>0</v>
      </c>
      <c r="T312" s="2">
        <v>0</v>
      </c>
      <c r="U312" s="21">
        <f ca="1">T312/T$657</f>
        <v>0</v>
      </c>
      <c r="V312" s="22">
        <f ca="1">U312*V$687</f>
        <v>0</v>
      </c>
      <c r="W312" s="2">
        <v>0</v>
      </c>
      <c r="X312" s="21">
        <f ca="1">W312/W$657</f>
        <v>0</v>
      </c>
      <c r="Y312" s="22">
        <f ca="1">X312*Y$687</f>
        <v>0</v>
      </c>
      <c r="Z312" s="2">
        <v>0</v>
      </c>
      <c r="AA312" s="21">
        <f ca="1">Z312/Z$657</f>
        <v>0</v>
      </c>
      <c r="AB312" s="22">
        <f ca="1">AA312*AB$687</f>
        <v>0</v>
      </c>
      <c r="AC312" s="2">
        <v>0</v>
      </c>
      <c r="AD312" s="21">
        <f ca="1">AC312/AC$657</f>
        <v>0</v>
      </c>
      <c r="AE312" s="22">
        <f ca="1">AD312*AE$687</f>
        <v>0</v>
      </c>
      <c r="AF312" s="2">
        <v>0</v>
      </c>
      <c r="AG312" s="21">
        <f ca="1">AF312/AF$657</f>
        <v>0</v>
      </c>
      <c r="AH312" s="22">
        <f ca="1">AG312*AH$687</f>
        <v>0</v>
      </c>
      <c r="AI312" s="2">
        <v>0</v>
      </c>
      <c r="AJ312" s="21">
        <f ca="1">AI312/AI$657</f>
        <v>0</v>
      </c>
      <c r="AK312" s="22">
        <f ca="1">AJ312*AK$687</f>
        <v>0</v>
      </c>
      <c r="AL312" s="2">
        <v>0</v>
      </c>
    </row>
    <row r="313" spans="1:38" ht="12.75" x14ac:dyDescent="0.2">
      <c r="A313" s="8" t="s">
        <v>16</v>
      </c>
      <c r="B313" s="8" t="s">
        <v>17</v>
      </c>
      <c r="C313" s="8" t="s">
        <v>18</v>
      </c>
      <c r="D313" s="8" t="s">
        <v>112</v>
      </c>
      <c r="E313" s="8" t="s">
        <v>121</v>
      </c>
      <c r="F313" s="23" t="s">
        <v>37</v>
      </c>
      <c r="G313" s="8" t="s">
        <v>672</v>
      </c>
      <c r="H313" s="20">
        <v>0</v>
      </c>
      <c r="I313" s="21">
        <f>H313/H$649</f>
        <v>0</v>
      </c>
      <c r="J313" s="22">
        <f>I313*J$679</f>
        <v>0</v>
      </c>
      <c r="K313" s="2">
        <v>0</v>
      </c>
      <c r="L313" s="21">
        <f ca="1">K313/K$649</f>
        <v>0</v>
      </c>
      <c r="M313" s="22">
        <f ca="1">L313*M$679</f>
        <v>0</v>
      </c>
      <c r="N313" s="2">
        <v>0</v>
      </c>
      <c r="O313" s="21">
        <f ca="1">N313/N$649</f>
        <v>0</v>
      </c>
      <c r="P313" s="22">
        <f ca="1">O313*P$679</f>
        <v>0</v>
      </c>
      <c r="Q313" s="2">
        <v>0</v>
      </c>
      <c r="R313" s="21">
        <f ca="1">Q313/Q$649</f>
        <v>0</v>
      </c>
      <c r="S313" s="22">
        <f ca="1">R313*S$679</f>
        <v>0</v>
      </c>
      <c r="T313" s="2">
        <v>0</v>
      </c>
      <c r="U313" s="21">
        <f ca="1">T313/T$649</f>
        <v>0</v>
      </c>
      <c r="V313" s="22">
        <f ca="1">U313*V$679</f>
        <v>0</v>
      </c>
      <c r="W313" s="2">
        <v>0</v>
      </c>
      <c r="X313" s="21">
        <f ca="1">W313/W$649</f>
        <v>0</v>
      </c>
      <c r="Y313" s="22">
        <f ca="1">X313*Y$679</f>
        <v>0</v>
      </c>
      <c r="Z313" s="2">
        <v>0</v>
      </c>
      <c r="AA313" s="21">
        <f ca="1">Z313/Z$649</f>
        <v>0</v>
      </c>
      <c r="AB313" s="22">
        <f ca="1">AA313*AB$679</f>
        <v>0</v>
      </c>
      <c r="AC313" s="2">
        <v>0</v>
      </c>
      <c r="AD313" s="21">
        <f ca="1">AC313/AC$649</f>
        <v>0</v>
      </c>
      <c r="AE313" s="22">
        <f ca="1">AD313*AE$679</f>
        <v>0</v>
      </c>
      <c r="AF313" s="2">
        <v>294402.22503096896</v>
      </c>
      <c r="AG313" s="21">
        <f ca="1">AF313/AF$649</f>
        <v>2.9043989765310274E-3</v>
      </c>
      <c r="AH313" s="22">
        <f ca="1">AG313*AH$679</f>
        <v>809404.91857967584</v>
      </c>
      <c r="AI313" s="2">
        <v>823791.40462426899</v>
      </c>
      <c r="AJ313" s="21">
        <f ca="1">AI313/AI$649</f>
        <v>4.3005605518249808E-3</v>
      </c>
      <c r="AK313" s="22">
        <f ca="1">AJ313*AK$679</f>
        <v>1220063.4277177122</v>
      </c>
      <c r="AL313" s="2">
        <v>1118193.629655238</v>
      </c>
    </row>
    <row r="314" spans="1:38" ht="12.75" x14ac:dyDescent="0.2">
      <c r="A314" s="8" t="s">
        <v>16</v>
      </c>
      <c r="B314" s="8" t="s">
        <v>17</v>
      </c>
      <c r="C314" s="8" t="s">
        <v>18</v>
      </c>
      <c r="D314" s="8" t="s">
        <v>112</v>
      </c>
      <c r="E314" s="8" t="s">
        <v>121</v>
      </c>
      <c r="F314" s="8" t="s">
        <v>28</v>
      </c>
      <c r="G314" s="8" t="s">
        <v>673</v>
      </c>
      <c r="H314" s="20">
        <v>745000</v>
      </c>
      <c r="I314" s="21">
        <f>H314/H$669</f>
        <v>8.7683887592127599E-2</v>
      </c>
      <c r="J314" s="22">
        <f>I314*J$699</f>
        <v>977233.94596208399</v>
      </c>
      <c r="K314" s="2">
        <v>745000</v>
      </c>
      <c r="L314" s="21">
        <f ca="1">K314/K$669</f>
        <v>0.10269689219978448</v>
      </c>
      <c r="M314" s="22">
        <f ca="1">L314*M$699</f>
        <v>486754.82198783907</v>
      </c>
      <c r="N314" s="2">
        <v>745000</v>
      </c>
      <c r="O314" s="21">
        <f ca="1">N314/N$669</f>
        <v>2.6414285804912317E-2</v>
      </c>
      <c r="P314" s="22">
        <f ca="1">O314*P$699</f>
        <v>128451.50435785601</v>
      </c>
      <c r="Q314" s="2">
        <v>745000</v>
      </c>
      <c r="R314" s="21">
        <f ca="1">Q314/Q$669</f>
        <v>1.9708586467409247E-2</v>
      </c>
      <c r="S314" s="22">
        <f ca="1">R314*S$699</f>
        <v>98046.350456524378</v>
      </c>
      <c r="T314" s="2">
        <v>745000</v>
      </c>
      <c r="U314" s="21">
        <f ca="1">T314/T$669</f>
        <v>2.6097113106159055E-2</v>
      </c>
      <c r="V314" s="22">
        <f ca="1">U314*V$699</f>
        <v>132554.40529926759</v>
      </c>
      <c r="W314" s="2">
        <v>745000</v>
      </c>
      <c r="X314" s="21">
        <f ca="1">W314/W$669</f>
        <v>2.6708454172389404E-2</v>
      </c>
      <c r="Y314" s="22">
        <f ca="1">X314*Y$699</f>
        <v>138372.76588983351</v>
      </c>
      <c r="Z314" s="2">
        <v>745000</v>
      </c>
      <c r="AA314" s="21">
        <f ca="1">Z314/Z$669</f>
        <v>2.5323549169506125E-2</v>
      </c>
      <c r="AB314" s="22">
        <f ca="1">AA314*AB$699</f>
        <v>133559.32673520126</v>
      </c>
      <c r="AC314" s="2">
        <v>745000</v>
      </c>
      <c r="AD314" s="21">
        <f ca="1">AC314/AC$669</f>
        <v>2.3623283440405825E-2</v>
      </c>
      <c r="AE314" s="22">
        <f ca="1">AD314*AE$699</f>
        <v>126959.17513661741</v>
      </c>
      <c r="AF314" s="2">
        <v>745000</v>
      </c>
      <c r="AG314" s="21">
        <f ca="1">AF314/AF$669</f>
        <v>1.8560358952314358E-2</v>
      </c>
      <c r="AH314" s="22">
        <f ca="1">AG314*AH$699</f>
        <v>101544.86825984485</v>
      </c>
      <c r="AI314" s="2">
        <v>745000</v>
      </c>
      <c r="AJ314" s="21">
        <f ca="1">AI314/AI$669</f>
        <v>1.7029354959828744E-2</v>
      </c>
      <c r="AK314" s="22">
        <f ca="1">AJ314*AK$699</f>
        <v>94845.686735567899</v>
      </c>
      <c r="AL314" s="2">
        <v>7450000</v>
      </c>
    </row>
    <row r="315" spans="1:38" ht="12.75" x14ac:dyDescent="0.2">
      <c r="A315" s="8" t="s">
        <v>16</v>
      </c>
      <c r="B315" s="8" t="s">
        <v>17</v>
      </c>
      <c r="C315" s="8" t="s">
        <v>18</v>
      </c>
      <c r="D315" s="8" t="s">
        <v>112</v>
      </c>
      <c r="E315" s="8" t="s">
        <v>122</v>
      </c>
      <c r="F315" s="23" t="s">
        <v>37</v>
      </c>
      <c r="G315" s="8" t="s">
        <v>674</v>
      </c>
      <c r="H315" s="20">
        <v>645358.77311174269</v>
      </c>
      <c r="I315" s="21">
        <f t="shared" ref="I315:I316" si="760">H315/H$649</f>
        <v>9.1086271903642185E-3</v>
      </c>
      <c r="J315" s="22">
        <f t="shared" ref="J315:J316" si="761">I315*J$679</f>
        <v>438612.34317159373</v>
      </c>
      <c r="K315" s="2">
        <v>1018814.7132106734</v>
      </c>
      <c r="L315" s="21">
        <f t="shared" ref="L315:L316" ca="1" si="762">K315/K$649</f>
        <v>1.2146470826853151E-2</v>
      </c>
      <c r="M315" s="22">
        <f t="shared" ref="M315:M316" ca="1" si="763">L315*M$679</f>
        <v>1109365.8098482373</v>
      </c>
      <c r="N315" s="2">
        <v>1813823.4910138659</v>
      </c>
      <c r="O315" s="21">
        <f t="shared" ref="O315:O316" ca="1" si="764">N315/N$649</f>
        <v>2.0320915947346682E-2</v>
      </c>
      <c r="P315" s="22">
        <f t="shared" ref="P315:P316" ca="1" si="765">O315*P$679</f>
        <v>5033633.0916174296</v>
      </c>
      <c r="Q315" s="2">
        <v>2617605.8138127867</v>
      </c>
      <c r="R315" s="21">
        <f t="shared" ref="R315:R316" ca="1" si="766">Q315/Q$649</f>
        <v>3.3229697856214907E-2</v>
      </c>
      <c r="S315" s="22">
        <f t="shared" ref="S315:S316" ca="1" si="767">R315*S$679</f>
        <v>8420546.9700231552</v>
      </c>
      <c r="T315" s="2">
        <v>1907055.8724396401</v>
      </c>
      <c r="U315" s="21">
        <f t="shared" ref="U315:U316" ca="1" si="768">T315/T$649</f>
        <v>2.4539436806910349E-2</v>
      </c>
      <c r="V315" s="22">
        <f t="shared" ref="V315:V316" ca="1" si="769">U315*V$679</f>
        <v>6348984.1602988224</v>
      </c>
      <c r="W315" s="2">
        <v>1936127.5750557552</v>
      </c>
      <c r="X315" s="21">
        <f t="shared" ref="X315:X316" ca="1" si="770">W315/W$649</f>
        <v>2.177032922298092E-2</v>
      </c>
      <c r="Y315" s="22">
        <f t="shared" ref="Y315:Y316" ca="1" si="771">X315*Y$679</f>
        <v>5745195.6219096677</v>
      </c>
      <c r="Z315" s="2">
        <v>1829529.0241858086</v>
      </c>
      <c r="AA315" s="21">
        <f t="shared" ref="AA315:AA316" ca="1" si="772">Z315/Z$649</f>
        <v>1.8942258256708071E-2</v>
      </c>
      <c r="AB315" s="22">
        <f t="shared" ref="AB315:AB316" ca="1" si="773">AA315*AB$679</f>
        <v>5088846.5534078144</v>
      </c>
      <c r="AC315" s="2">
        <v>2931913.6910004853</v>
      </c>
      <c r="AD315" s="21">
        <f t="shared" ref="AD315:AD316" ca="1" si="774">AC315/AC$649</f>
        <v>2.9972576591070648E-2</v>
      </c>
      <c r="AE315" s="22">
        <f t="shared" ref="AE315:AE316" ca="1" si="775">AD315*AE$679</f>
        <v>8205137.5287242942</v>
      </c>
      <c r="AF315" s="2">
        <v>3674406.0442290213</v>
      </c>
      <c r="AG315" s="21">
        <f t="shared" ref="AG315:AG316" ca="1" si="776">AF315/AF$649</f>
        <v>3.6249526147757817E-2</v>
      </c>
      <c r="AH315" s="22">
        <f t="shared" ref="AH315:AH316" ca="1" si="777">AG315*AH$679</f>
        <v>10102105.460463174</v>
      </c>
      <c r="AI315" s="2">
        <v>6678392.0869453251</v>
      </c>
      <c r="AJ315" s="21">
        <f t="shared" ref="AJ315:AJ316" ca="1" si="778">AI315/AI$649</f>
        <v>3.486420154121022E-2</v>
      </c>
      <c r="AK315" s="22">
        <f t="shared" ref="AK315:AK316" ca="1" si="779">AJ315*AK$679</f>
        <v>9890928.5718484614</v>
      </c>
      <c r="AL315" s="2">
        <v>25053027.085005105</v>
      </c>
    </row>
    <row r="316" spans="1:38" ht="12.75" x14ac:dyDescent="0.2">
      <c r="A316" s="8" t="s">
        <v>16</v>
      </c>
      <c r="B316" s="8" t="s">
        <v>17</v>
      </c>
      <c r="C316" s="8" t="s">
        <v>18</v>
      </c>
      <c r="D316" s="8" t="s">
        <v>112</v>
      </c>
      <c r="E316" s="8" t="s">
        <v>123</v>
      </c>
      <c r="F316" s="23" t="s">
        <v>37</v>
      </c>
      <c r="G316" s="8" t="s">
        <v>675</v>
      </c>
      <c r="H316" s="20">
        <v>706054.17126709141</v>
      </c>
      <c r="I316" s="21">
        <f t="shared" si="760"/>
        <v>9.9652851874378334E-3</v>
      </c>
      <c r="J316" s="22">
        <f t="shared" si="761"/>
        <v>479863.43003028404</v>
      </c>
      <c r="K316" s="2">
        <v>721725.97895819601</v>
      </c>
      <c r="L316" s="21">
        <f t="shared" ca="1" si="762"/>
        <v>8.6045317511870417E-3</v>
      </c>
      <c r="M316" s="22">
        <f t="shared" ca="1" si="763"/>
        <v>785872.16571725009</v>
      </c>
      <c r="N316" s="2">
        <v>752149.86026864359</v>
      </c>
      <c r="O316" s="21">
        <f t="shared" ca="1" si="764"/>
        <v>8.4266049954972236E-3</v>
      </c>
      <c r="P316" s="22">
        <f t="shared" ca="1" si="765"/>
        <v>2087329.0291258702</v>
      </c>
      <c r="Q316" s="2">
        <v>778365.65122861764</v>
      </c>
      <c r="R316" s="21">
        <f t="shared" ca="1" si="766"/>
        <v>9.8811116920268227E-3</v>
      </c>
      <c r="S316" s="22">
        <f t="shared" ca="1" si="767"/>
        <v>2503915.7887857603</v>
      </c>
      <c r="T316" s="2">
        <v>0</v>
      </c>
      <c r="U316" s="21">
        <f t="shared" ca="1" si="768"/>
        <v>0</v>
      </c>
      <c r="V316" s="22">
        <f t="shared" ca="1" si="769"/>
        <v>0</v>
      </c>
      <c r="W316" s="2">
        <v>0</v>
      </c>
      <c r="X316" s="21">
        <f t="shared" ca="1" si="770"/>
        <v>0</v>
      </c>
      <c r="Y316" s="22">
        <f t="shared" ca="1" si="771"/>
        <v>0</v>
      </c>
      <c r="Z316" s="2">
        <v>0</v>
      </c>
      <c r="AA316" s="21">
        <f t="shared" ca="1" si="772"/>
        <v>0</v>
      </c>
      <c r="AB316" s="22">
        <f t="shared" ca="1" si="773"/>
        <v>0</v>
      </c>
      <c r="AC316" s="2">
        <v>412326.6223438934</v>
      </c>
      <c r="AD316" s="21">
        <f t="shared" ca="1" si="774"/>
        <v>4.2151620310905535E-3</v>
      </c>
      <c r="AE316" s="22">
        <f t="shared" ca="1" si="775"/>
        <v>1153920.9539048632</v>
      </c>
      <c r="AF316" s="2">
        <v>208534.82111231252</v>
      </c>
      <c r="AG316" s="21">
        <f t="shared" ca="1" si="776"/>
        <v>2.057281737412037E-3</v>
      </c>
      <c r="AH316" s="22">
        <f t="shared" ca="1" si="777"/>
        <v>573328.24127155694</v>
      </c>
      <c r="AI316" s="2">
        <v>0</v>
      </c>
      <c r="AJ316" s="21">
        <f t="shared" ca="1" si="778"/>
        <v>0</v>
      </c>
      <c r="AK316" s="22">
        <f t="shared" ca="1" si="779"/>
        <v>0</v>
      </c>
      <c r="AL316" s="2">
        <v>3579157.1051787538</v>
      </c>
    </row>
    <row r="317" spans="1:38" ht="12.75" x14ac:dyDescent="0.2">
      <c r="A317" s="8" t="s">
        <v>16</v>
      </c>
      <c r="B317" s="8" t="s">
        <v>17</v>
      </c>
      <c r="C317" s="8" t="s">
        <v>18</v>
      </c>
      <c r="D317" s="8" t="s">
        <v>112</v>
      </c>
      <c r="E317" s="8" t="s">
        <v>123</v>
      </c>
      <c r="F317" s="8" t="s">
        <v>49</v>
      </c>
      <c r="G317" s="8" t="s">
        <v>676</v>
      </c>
      <c r="H317" s="20">
        <v>1200000</v>
      </c>
      <c r="I317" s="21">
        <f>H317/H$644</f>
        <v>6.0989468291671865E-2</v>
      </c>
      <c r="J317" s="22">
        <f>I317*J$674</f>
        <v>1851328.7841205923</v>
      </c>
      <c r="K317" s="2">
        <v>1200000</v>
      </c>
      <c r="L317" s="21">
        <f>K317/K$644</f>
        <v>8.6270219154911121E-2</v>
      </c>
      <c r="M317" s="22">
        <f>L317*M$674</f>
        <v>1897216.65848597</v>
      </c>
      <c r="N317" s="2">
        <v>1200000</v>
      </c>
      <c r="O317" s="21">
        <f>N317/N$644</f>
        <v>5.2028771457161997E-2</v>
      </c>
      <c r="P317" s="22">
        <f>O317*P$674</f>
        <v>1173942.8632919679</v>
      </c>
      <c r="Q317" s="2">
        <v>1200000</v>
      </c>
      <c r="R317" s="21">
        <f>Q317/Q$644</f>
        <v>7.4257111463893771E-2</v>
      </c>
      <c r="S317" s="22">
        <f>R317*S$674</f>
        <v>1714024.6922608474</v>
      </c>
      <c r="T317" s="2">
        <v>1200000</v>
      </c>
      <c r="U317" s="21">
        <f>T317/T$644</f>
        <v>5.0236788676129546E-2</v>
      </c>
      <c r="V317" s="22">
        <f>U317*V$674</f>
        <v>1183931.6601761086</v>
      </c>
      <c r="W317" s="2">
        <v>1200000</v>
      </c>
      <c r="X317" s="21">
        <f>W317/W$644</f>
        <v>7.5414603293543325E-2</v>
      </c>
      <c r="Y317" s="22">
        <f>X317*Y$674</f>
        <v>1812843.8070574508</v>
      </c>
      <c r="Z317" s="2">
        <v>1200000</v>
      </c>
      <c r="AA317" s="21">
        <f>Z317/Z$644</f>
        <v>4.8757190557224758E-2</v>
      </c>
      <c r="AB317" s="22">
        <f>AA317*AB$674</f>
        <v>1193139.9502799565</v>
      </c>
      <c r="AC317" s="2">
        <v>1200000</v>
      </c>
      <c r="AD317" s="21">
        <f>AC317/AC$644</f>
        <v>7.6140698712104854E-2</v>
      </c>
      <c r="AE317" s="22">
        <f>AD317*AE$674</f>
        <v>1898644.9397258207</v>
      </c>
      <c r="AF317" s="2">
        <v>1200000</v>
      </c>
      <c r="AG317" s="21">
        <f>AF317/AF$644</f>
        <v>3.7178121765106632E-2</v>
      </c>
      <c r="AH317" s="22">
        <f>AG317*AH$674</f>
        <v>943761.20712914038</v>
      </c>
      <c r="AI317" s="2">
        <v>1200000</v>
      </c>
      <c r="AJ317" s="21">
        <f>AI317/AI$644</f>
        <v>3.3202131934772484E-2</v>
      </c>
      <c r="AK317" s="22">
        <f>AJ317*AK$674</f>
        <v>858002.24742511718</v>
      </c>
      <c r="AL317" s="2">
        <v>12000000</v>
      </c>
    </row>
    <row r="318" spans="1:38" ht="12.75" x14ac:dyDescent="0.2">
      <c r="A318" s="8" t="s">
        <v>16</v>
      </c>
      <c r="B318" s="8" t="s">
        <v>17</v>
      </c>
      <c r="C318" s="8" t="s">
        <v>18</v>
      </c>
      <c r="D318" s="8" t="s">
        <v>112</v>
      </c>
      <c r="E318" s="8" t="s">
        <v>124</v>
      </c>
      <c r="F318" s="23" t="s">
        <v>37</v>
      </c>
      <c r="G318" s="8" t="s">
        <v>677</v>
      </c>
      <c r="H318" s="20">
        <v>0</v>
      </c>
      <c r="I318" s="21">
        <f>H318/H$649</f>
        <v>0</v>
      </c>
      <c r="J318" s="22">
        <f>I318*J$679</f>
        <v>0</v>
      </c>
      <c r="K318" s="2">
        <v>0</v>
      </c>
      <c r="L318" s="21">
        <f ca="1">K318/K$649</f>
        <v>0</v>
      </c>
      <c r="M318" s="22">
        <f ca="1">L318*M$679</f>
        <v>0</v>
      </c>
      <c r="N318" s="2">
        <v>0</v>
      </c>
      <c r="O318" s="21">
        <f ca="1">N318/N$649</f>
        <v>0</v>
      </c>
      <c r="P318" s="22">
        <f ca="1">O318*P$679</f>
        <v>0</v>
      </c>
      <c r="Q318" s="2">
        <v>0</v>
      </c>
      <c r="R318" s="21">
        <f ca="1">Q318/Q$649</f>
        <v>0</v>
      </c>
      <c r="S318" s="22">
        <f ca="1">R318*S$679</f>
        <v>0</v>
      </c>
      <c r="T318" s="2">
        <v>0</v>
      </c>
      <c r="U318" s="21">
        <f ca="1">T318/T$649</f>
        <v>0</v>
      </c>
      <c r="V318" s="22">
        <f ca="1">U318*V$679</f>
        <v>0</v>
      </c>
      <c r="W318" s="2">
        <v>0</v>
      </c>
      <c r="X318" s="21">
        <f ca="1">W318/W$649</f>
        <v>0</v>
      </c>
      <c r="Y318" s="22">
        <f ca="1">X318*Y$679</f>
        <v>0</v>
      </c>
      <c r="Z318" s="2">
        <v>0</v>
      </c>
      <c r="AA318" s="21">
        <f ca="1">Z318/Z$649</f>
        <v>0</v>
      </c>
      <c r="AB318" s="22">
        <f ca="1">AA318*AB$679</f>
        <v>0</v>
      </c>
      <c r="AC318" s="2">
        <v>0</v>
      </c>
      <c r="AD318" s="21">
        <f ca="1">AC318/AC$649</f>
        <v>0</v>
      </c>
      <c r="AE318" s="22">
        <f ca="1">AD318*AE$679</f>
        <v>0</v>
      </c>
      <c r="AF318" s="2">
        <v>758593.80484910472</v>
      </c>
      <c r="AG318" s="21">
        <f ca="1">AF318/AF$649</f>
        <v>7.4838397371988297E-3</v>
      </c>
      <c r="AH318" s="22">
        <f ca="1">AG318*AH$679</f>
        <v>2085614.5254484634</v>
      </c>
      <c r="AI318" s="2">
        <v>0</v>
      </c>
      <c r="AJ318" s="21">
        <f ca="1">AI318/AI$649</f>
        <v>0</v>
      </c>
      <c r="AK318" s="22">
        <f ca="1">AJ318*AK$679</f>
        <v>0</v>
      </c>
      <c r="AL318" s="2">
        <v>758593.80484910472</v>
      </c>
    </row>
    <row r="319" spans="1:38" ht="12.75" x14ac:dyDescent="0.2">
      <c r="A319" s="8" t="s">
        <v>16</v>
      </c>
      <c r="B319" s="8" t="s">
        <v>17</v>
      </c>
      <c r="C319" s="8" t="s">
        <v>18</v>
      </c>
      <c r="D319" s="8" t="s">
        <v>112</v>
      </c>
      <c r="E319" s="8" t="s">
        <v>124</v>
      </c>
      <c r="F319" s="8" t="s">
        <v>38</v>
      </c>
      <c r="G319" s="8" t="s">
        <v>678</v>
      </c>
      <c r="H319" s="20">
        <v>300000</v>
      </c>
      <c r="I319" s="21">
        <f>H319/H$656</f>
        <v>1.4015243391699716E-2</v>
      </c>
      <c r="J319" s="22">
        <f>I319*J$686</f>
        <v>547606.49095587339</v>
      </c>
      <c r="K319" s="2">
        <v>300000</v>
      </c>
      <c r="L319" s="21">
        <f ca="1">K319/K$656</f>
        <v>2.2112058665650178E-2</v>
      </c>
      <c r="M319" s="22">
        <f ca="1">L319*M$686</f>
        <v>845161.46774352132</v>
      </c>
      <c r="N319" s="2">
        <v>300000</v>
      </c>
      <c r="O319" s="21">
        <f ca="1">N319/N$656</f>
        <v>2.0181874233677111E-2</v>
      </c>
      <c r="P319" s="22">
        <f ca="1">O319*P$686</f>
        <v>791442.49829680054</v>
      </c>
      <c r="Q319" s="2">
        <v>300000</v>
      </c>
      <c r="R319" s="21">
        <f ca="1">Q319/Q$656</f>
        <v>2.1240883304736131E-2</v>
      </c>
      <c r="S319" s="22">
        <f ca="1">R319*S$686</f>
        <v>852130.43736509979</v>
      </c>
      <c r="T319" s="2">
        <v>300000</v>
      </c>
      <c r="U319" s="21">
        <f ca="1">T319/T$656</f>
        <v>3.1849395174402932E-2</v>
      </c>
      <c r="V319" s="22">
        <f ca="1">U319*V$686</f>
        <v>1304549.1217355111</v>
      </c>
      <c r="W319" s="2">
        <v>300000</v>
      </c>
      <c r="X319" s="21">
        <f ca="1">W319/W$656</f>
        <v>1.7655406000175025E-2</v>
      </c>
      <c r="Y319" s="22">
        <f ca="1">X319*Y$686</f>
        <v>737627.54838814808</v>
      </c>
      <c r="Z319" s="2">
        <v>300000</v>
      </c>
      <c r="AA319" s="21">
        <f ca="1">Z319/Z$656</f>
        <v>7.3852460881563345E-3</v>
      </c>
      <c r="AB319" s="22">
        <f ca="1">AA319*AB$686</f>
        <v>314103.06071130797</v>
      </c>
      <c r="AC319" s="2">
        <v>300000</v>
      </c>
      <c r="AD319" s="21">
        <f ca="1">AC319/AC$656</f>
        <v>2.7470984607392522E-2</v>
      </c>
      <c r="AE319" s="22">
        <f ca="1">AD319*AE$686</f>
        <v>1190571.8413508222</v>
      </c>
      <c r="AF319" s="2">
        <v>300000</v>
      </c>
      <c r="AG319" s="21">
        <f ca="1">AF319/AF$656</f>
        <v>1.4907336112892135E-2</v>
      </c>
      <c r="AH319" s="22">
        <f ca="1">AG319*AH$686</f>
        <v>657702.06077730947</v>
      </c>
      <c r="AI319" s="2">
        <v>300000</v>
      </c>
      <c r="AJ319" s="21">
        <f ca="1">AI319/AI$656</f>
        <v>7.52048687474117E-3</v>
      </c>
      <c r="AK319" s="22">
        <f ca="1">AJ319*AK$686</f>
        <v>337771.41612735717</v>
      </c>
      <c r="AL319" s="2">
        <v>3000000</v>
      </c>
    </row>
    <row r="320" spans="1:38" ht="12.75" x14ac:dyDescent="0.2">
      <c r="A320" s="8" t="s">
        <v>16</v>
      </c>
      <c r="B320" s="8" t="s">
        <v>17</v>
      </c>
      <c r="C320" s="8" t="s">
        <v>18</v>
      </c>
      <c r="D320" s="8" t="s">
        <v>112</v>
      </c>
      <c r="E320" s="8" t="s">
        <v>124</v>
      </c>
      <c r="F320" s="8" t="s">
        <v>49</v>
      </c>
      <c r="G320" s="8" t="s">
        <v>679</v>
      </c>
      <c r="H320" s="20">
        <v>348000</v>
      </c>
      <c r="I320" s="21">
        <f>H320/H$644</f>
        <v>1.7686945804584842E-2</v>
      </c>
      <c r="J320" s="22">
        <f>I320*J$674</f>
        <v>536885.34739497176</v>
      </c>
      <c r="K320" s="2">
        <v>348000</v>
      </c>
      <c r="L320" s="21">
        <f>K320/K$644</f>
        <v>2.5018363554924223E-2</v>
      </c>
      <c r="M320" s="22">
        <f>L320*M$674</f>
        <v>550192.83096093126</v>
      </c>
      <c r="N320" s="2">
        <v>348000</v>
      </c>
      <c r="O320" s="21">
        <f>N320/N$644</f>
        <v>1.508834372257698E-2</v>
      </c>
      <c r="P320" s="22">
        <f>O320*P$674</f>
        <v>340443.43035467068</v>
      </c>
      <c r="Q320" s="2">
        <v>348000</v>
      </c>
      <c r="R320" s="21">
        <f>Q320/Q$644</f>
        <v>2.1534562324529195E-2</v>
      </c>
      <c r="S320" s="22">
        <f>R320*S$674</f>
        <v>497067.16075564577</v>
      </c>
      <c r="T320" s="2">
        <v>348000</v>
      </c>
      <c r="U320" s="21">
        <f>T320/T$644</f>
        <v>1.4568668716077569E-2</v>
      </c>
      <c r="V320" s="22">
        <f>U320*V$674</f>
        <v>343340.18145107152</v>
      </c>
      <c r="W320" s="2">
        <v>348000</v>
      </c>
      <c r="X320" s="21">
        <f>W320/W$644</f>
        <v>2.1870234955127566E-2</v>
      </c>
      <c r="Y320" s="22">
        <f>X320*Y$674</f>
        <v>525724.7040466608</v>
      </c>
      <c r="Z320" s="2">
        <v>348000</v>
      </c>
      <c r="AA320" s="21">
        <f>Z320/Z$644</f>
        <v>1.4139585261595179E-2</v>
      </c>
      <c r="AB320" s="22">
        <f>AA320*AB$674</f>
        <v>346010.58558118733</v>
      </c>
      <c r="AC320" s="2">
        <v>348000</v>
      </c>
      <c r="AD320" s="21">
        <f>AC320/AC$644</f>
        <v>2.208080262651041E-2</v>
      </c>
      <c r="AE320" s="22">
        <f>AD320*AE$674</f>
        <v>550607.03252048802</v>
      </c>
      <c r="AF320" s="2">
        <v>348000</v>
      </c>
      <c r="AG320" s="21">
        <f>AF320/AF$644</f>
        <v>1.0781655311880923E-2</v>
      </c>
      <c r="AH320" s="22">
        <f>AG320*AH$674</f>
        <v>273690.75006745069</v>
      </c>
      <c r="AI320" s="2">
        <v>348000</v>
      </c>
      <c r="AJ320" s="21">
        <f>AI320/AI$644</f>
        <v>9.628618261084021E-3</v>
      </c>
      <c r="AK320" s="22">
        <f>AJ320*AK$674</f>
        <v>248820.65175328398</v>
      </c>
      <c r="AL320" s="2">
        <v>3480000</v>
      </c>
    </row>
    <row r="321" spans="1:38" ht="12.75" x14ac:dyDescent="0.2">
      <c r="A321" s="8" t="s">
        <v>16</v>
      </c>
      <c r="B321" s="8" t="s">
        <v>17</v>
      </c>
      <c r="C321" s="8" t="s">
        <v>18</v>
      </c>
      <c r="D321" s="8" t="s">
        <v>112</v>
      </c>
      <c r="E321" s="8" t="s">
        <v>680</v>
      </c>
      <c r="F321" s="8" t="s">
        <v>26</v>
      </c>
      <c r="G321" s="8" t="s">
        <v>681</v>
      </c>
      <c r="H321" s="20">
        <v>0</v>
      </c>
      <c r="I321" s="21">
        <f>H321/H$655</f>
        <v>0</v>
      </c>
      <c r="J321" s="22">
        <f>I321*J$685</f>
        <v>0</v>
      </c>
      <c r="K321" s="2">
        <v>0</v>
      </c>
      <c r="L321" s="21">
        <f ca="1">K321/K$655</f>
        <v>0</v>
      </c>
      <c r="M321" s="22">
        <f ca="1">L321*M$685</f>
        <v>0</v>
      </c>
      <c r="N321" s="2">
        <v>0</v>
      </c>
      <c r="O321" s="21">
        <f ca="1">N321/N$655</f>
        <v>0</v>
      </c>
      <c r="P321" s="22">
        <f ca="1">O321*P$685</f>
        <v>0</v>
      </c>
      <c r="Q321" s="2">
        <v>0</v>
      </c>
      <c r="R321" s="21">
        <f ca="1">Q321/Q$655</f>
        <v>0</v>
      </c>
      <c r="S321" s="22">
        <f ca="1">R321*S$685</f>
        <v>0</v>
      </c>
      <c r="T321" s="2">
        <v>0</v>
      </c>
      <c r="U321" s="21">
        <f ca="1">T321/T$655</f>
        <v>0</v>
      </c>
      <c r="V321" s="22">
        <f ca="1">U321*V$685</f>
        <v>0</v>
      </c>
      <c r="W321" s="2">
        <v>0</v>
      </c>
      <c r="X321" s="21">
        <f ca="1">W321/W$655</f>
        <v>0</v>
      </c>
      <c r="Y321" s="22">
        <f ca="1">X321*Y$685</f>
        <v>0</v>
      </c>
      <c r="Z321" s="2">
        <v>0</v>
      </c>
      <c r="AA321" s="21">
        <f ca="1">Z321/Z$655</f>
        <v>0</v>
      </c>
      <c r="AB321" s="22">
        <f ca="1">AA321*AB$685</f>
        <v>0</v>
      </c>
      <c r="AC321" s="2">
        <v>0</v>
      </c>
      <c r="AD321" s="21">
        <f ca="1">AC321/AC$655</f>
        <v>0</v>
      </c>
      <c r="AE321" s="22">
        <f ca="1">AD321*AE$685</f>
        <v>0</v>
      </c>
      <c r="AF321" s="2">
        <v>0</v>
      </c>
      <c r="AG321" s="21">
        <f ca="1">AF321/AF$655</f>
        <v>0</v>
      </c>
      <c r="AH321" s="22">
        <f ca="1">AG321*AH$685</f>
        <v>0</v>
      </c>
      <c r="AI321" s="2">
        <v>0</v>
      </c>
      <c r="AJ321" s="21">
        <f ca="1">AI321/AI$655</f>
        <v>0</v>
      </c>
      <c r="AK321" s="22">
        <f ca="1">AJ321*AK$685</f>
        <v>0</v>
      </c>
      <c r="AL321" s="2">
        <v>0</v>
      </c>
    </row>
    <row r="322" spans="1:38" ht="12.75" x14ac:dyDescent="0.2">
      <c r="A322" s="8" t="s">
        <v>16</v>
      </c>
      <c r="B322" s="8" t="s">
        <v>17</v>
      </c>
      <c r="C322" s="8" t="s">
        <v>18</v>
      </c>
      <c r="D322" s="8" t="s">
        <v>125</v>
      </c>
      <c r="E322" s="8" t="s">
        <v>126</v>
      </c>
      <c r="F322" s="8" t="s">
        <v>21</v>
      </c>
      <c r="G322" s="8" t="s">
        <v>682</v>
      </c>
      <c r="H322" s="20">
        <v>0</v>
      </c>
      <c r="I322" s="21">
        <f t="shared" ref="I322:I323" si="780">H322/H$645</f>
        <v>0</v>
      </c>
      <c r="J322" s="22">
        <f t="shared" ref="J322:J323" si="781">I322*J$675</f>
        <v>0</v>
      </c>
      <c r="K322" s="2">
        <v>0</v>
      </c>
      <c r="L322" s="21">
        <f t="shared" ref="L322:L323" ca="1" si="782">K322/K$645</f>
        <v>0</v>
      </c>
      <c r="M322" s="22">
        <f t="shared" ref="M322:M323" ca="1" si="783">L322*M$675</f>
        <v>0</v>
      </c>
      <c r="N322" s="2">
        <v>0</v>
      </c>
      <c r="O322" s="21">
        <f t="shared" ref="O322:O323" ca="1" si="784">N322/N$645</f>
        <v>0</v>
      </c>
      <c r="P322" s="22">
        <f t="shared" ref="P322:P323" ca="1" si="785">O322*P$675</f>
        <v>0</v>
      </c>
      <c r="Q322" s="2">
        <v>1402577.8260939575</v>
      </c>
      <c r="R322" s="21">
        <f t="shared" ref="R322:R323" ca="1" si="786">Q322/Q$645</f>
        <v>5.5553770035080281E-2</v>
      </c>
      <c r="S322" s="22">
        <f t="shared" ref="S322:S323" ca="1" si="787">R322*S$675</f>
        <v>25158.05529888994</v>
      </c>
      <c r="T322" s="2">
        <v>0</v>
      </c>
      <c r="U322" s="21">
        <f t="shared" ref="U322:U323" ca="1" si="788">T322/T$645</f>
        <v>0</v>
      </c>
      <c r="V322" s="22">
        <f t="shared" ref="V322:V323" ca="1" si="789">U322*V$675</f>
        <v>0</v>
      </c>
      <c r="W322" s="2">
        <v>0</v>
      </c>
      <c r="X322" s="21">
        <f t="shared" ref="X322:X323" ca="1" si="790">W322/W$645</f>
        <v>0</v>
      </c>
      <c r="Y322" s="22">
        <f t="shared" ref="Y322:Y323" ca="1" si="791">X322*Y$675</f>
        <v>0</v>
      </c>
      <c r="Z322" s="2">
        <v>0</v>
      </c>
      <c r="AA322" s="21">
        <f t="shared" ref="AA322:AA323" ca="1" si="792">Z322/Z$645</f>
        <v>0</v>
      </c>
      <c r="AB322" s="22">
        <f t="shared" ref="AB322:AB323" ca="1" si="793">AA322*AB$675</f>
        <v>0</v>
      </c>
      <c r="AC322" s="2">
        <v>0</v>
      </c>
      <c r="AD322" s="21">
        <f t="shared" ref="AD322:AD323" ca="1" si="794">AC322/AC$645</f>
        <v>0</v>
      </c>
      <c r="AE322" s="22">
        <f t="shared" ref="AE322:AE323" ca="1" si="795">AD322*AE$675</f>
        <v>0</v>
      </c>
      <c r="AF322" s="2">
        <v>0</v>
      </c>
      <c r="AG322" s="21">
        <f t="shared" ref="AG322:AG323" ca="1" si="796">AF322/AF$645</f>
        <v>0</v>
      </c>
      <c r="AH322" s="22">
        <f t="shared" ref="AH322:AH323" ca="1" si="797">AG322*AH$675</f>
        <v>0</v>
      </c>
      <c r="AI322" s="2">
        <v>0</v>
      </c>
      <c r="AJ322" s="21">
        <f t="shared" ref="AJ322:AJ323" ca="1" si="798">AI322/AI$645</f>
        <v>0</v>
      </c>
      <c r="AK322" s="22">
        <f t="shared" ref="AK322:AK323" ca="1" si="799">AJ322*AK$675</f>
        <v>0</v>
      </c>
      <c r="AL322" s="2">
        <v>1402577.8260939575</v>
      </c>
    </row>
    <row r="323" spans="1:38" ht="12.75" x14ac:dyDescent="0.2">
      <c r="A323" s="8" t="s">
        <v>16</v>
      </c>
      <c r="B323" s="8" t="s">
        <v>17</v>
      </c>
      <c r="C323" s="8" t="s">
        <v>18</v>
      </c>
      <c r="D323" s="8" t="s">
        <v>125</v>
      </c>
      <c r="E323" s="8" t="s">
        <v>126</v>
      </c>
      <c r="F323" s="8" t="s">
        <v>21</v>
      </c>
      <c r="G323" s="8" t="s">
        <v>683</v>
      </c>
      <c r="H323" s="20">
        <v>0</v>
      </c>
      <c r="I323" s="21">
        <f t="shared" si="780"/>
        <v>0</v>
      </c>
      <c r="J323" s="22">
        <f t="shared" si="781"/>
        <v>0</v>
      </c>
      <c r="K323" s="2">
        <v>0</v>
      </c>
      <c r="L323" s="21">
        <f t="shared" ca="1" si="782"/>
        <v>0</v>
      </c>
      <c r="M323" s="22">
        <f t="shared" ca="1" si="783"/>
        <v>0</v>
      </c>
      <c r="N323" s="2">
        <v>0</v>
      </c>
      <c r="O323" s="21">
        <f t="shared" ca="1" si="784"/>
        <v>0</v>
      </c>
      <c r="P323" s="22">
        <f t="shared" ca="1" si="785"/>
        <v>0</v>
      </c>
      <c r="Q323" s="2">
        <v>0</v>
      </c>
      <c r="R323" s="21">
        <f t="shared" ca="1" si="786"/>
        <v>0</v>
      </c>
      <c r="S323" s="22">
        <f t="shared" ca="1" si="787"/>
        <v>0</v>
      </c>
      <c r="T323" s="2">
        <v>0</v>
      </c>
      <c r="U323" s="21">
        <f t="shared" ca="1" si="788"/>
        <v>0</v>
      </c>
      <c r="V323" s="22">
        <f t="shared" ca="1" si="789"/>
        <v>0</v>
      </c>
      <c r="W323" s="2">
        <v>0</v>
      </c>
      <c r="X323" s="21">
        <f t="shared" ca="1" si="790"/>
        <v>0</v>
      </c>
      <c r="Y323" s="22">
        <f t="shared" ca="1" si="791"/>
        <v>0</v>
      </c>
      <c r="Z323" s="2">
        <v>0</v>
      </c>
      <c r="AA323" s="21">
        <f t="shared" ca="1" si="792"/>
        <v>0</v>
      </c>
      <c r="AB323" s="22">
        <f t="shared" ca="1" si="793"/>
        <v>0</v>
      </c>
      <c r="AC323" s="2">
        <v>0</v>
      </c>
      <c r="AD323" s="21">
        <f t="shared" ca="1" si="794"/>
        <v>0</v>
      </c>
      <c r="AE323" s="22">
        <f t="shared" ca="1" si="795"/>
        <v>0</v>
      </c>
      <c r="AF323" s="2">
        <v>0</v>
      </c>
      <c r="AG323" s="21">
        <f t="shared" ca="1" si="796"/>
        <v>0</v>
      </c>
      <c r="AH323" s="22">
        <f t="shared" ca="1" si="797"/>
        <v>0</v>
      </c>
      <c r="AI323" s="2">
        <v>0</v>
      </c>
      <c r="AJ323" s="21">
        <f t="shared" ca="1" si="798"/>
        <v>0</v>
      </c>
      <c r="AK323" s="22">
        <f t="shared" ca="1" si="799"/>
        <v>0</v>
      </c>
      <c r="AL323" s="2">
        <v>0</v>
      </c>
    </row>
    <row r="324" spans="1:38" ht="12.75" x14ac:dyDescent="0.2">
      <c r="A324" s="8" t="s">
        <v>16</v>
      </c>
      <c r="B324" s="8" t="s">
        <v>17</v>
      </c>
      <c r="C324" s="8" t="s">
        <v>18</v>
      </c>
      <c r="D324" s="8" t="s">
        <v>125</v>
      </c>
      <c r="E324" s="8" t="s">
        <v>126</v>
      </c>
      <c r="F324" s="8" t="s">
        <v>24</v>
      </c>
      <c r="G324" s="8" t="s">
        <v>684</v>
      </c>
      <c r="H324" s="20">
        <v>425106.05824081833</v>
      </c>
      <c r="I324" s="21">
        <f t="shared" ref="I324:I325" si="800">H324/H$646</f>
        <v>5.1773318939908452E-3</v>
      </c>
      <c r="J324" s="22">
        <f t="shared" ref="J324:J325" si="801">I324*J$676</f>
        <v>11139.754396386463</v>
      </c>
      <c r="K324" s="2">
        <v>314742.00306506577</v>
      </c>
      <c r="L324" s="21">
        <f t="shared" ref="L324:L325" ca="1" si="802">K324/K$646</f>
        <v>4.9835427083283678E-3</v>
      </c>
      <c r="M324" s="22">
        <f t="shared" ref="M324:M325" ca="1" si="803">L324*M$676</f>
        <v>19376.080331098714</v>
      </c>
      <c r="N324" s="2">
        <v>460287.00343047106</v>
      </c>
      <c r="O324" s="21">
        <f t="shared" ref="O324:O325" ca="1" si="804">N324/N$646</f>
        <v>4.9102617836123807E-3</v>
      </c>
      <c r="P324" s="22">
        <f t="shared" ref="P324:P325" ca="1" si="805">O324*P$676</f>
        <v>83420.936569901038</v>
      </c>
      <c r="Q324" s="2">
        <v>575911.50387088687</v>
      </c>
      <c r="R324" s="21">
        <f t="shared" ref="R324:R325" ca="1" si="806">Q324/Q$646</f>
        <v>5.1780102199224702E-3</v>
      </c>
      <c r="S324" s="22">
        <f t="shared" ref="S324:S325" ca="1" si="807">R324*S$676</f>
        <v>89993.045995169567</v>
      </c>
      <c r="T324" s="2">
        <v>375399.47827978362</v>
      </c>
      <c r="U324" s="21">
        <f t="shared" ref="U324:U325" ca="1" si="808">T324/T$646</f>
        <v>4.4745229162701898E-3</v>
      </c>
      <c r="V324" s="22">
        <f t="shared" ref="V324:V325" ca="1" si="809">U324*V$676</f>
        <v>79399.638860094492</v>
      </c>
      <c r="W324" s="2">
        <v>137484.88440264601</v>
      </c>
      <c r="X324" s="21">
        <f t="shared" ref="X324:X325" ca="1" si="810">W324/W$646</f>
        <v>1.5729302738706119E-3</v>
      </c>
      <c r="Y324" s="22">
        <f t="shared" ref="Y324:Y325" ca="1" si="811">X324*Y$676</f>
        <v>28469.604473203901</v>
      </c>
      <c r="Z324" s="2">
        <v>399149.3401806443</v>
      </c>
      <c r="AA324" s="21">
        <f t="shared" ref="AA324:AA325" ca="1" si="812">Z324/Z$646</f>
        <v>3.4389947948211051E-3</v>
      </c>
      <c r="AB324" s="22">
        <f t="shared" ref="AB324:AB325" ca="1" si="813">AA324*AB$676</f>
        <v>63365.265480425027</v>
      </c>
      <c r="AC324" s="2">
        <v>314231.00823969545</v>
      </c>
      <c r="AD324" s="21">
        <f t="shared" ref="AD324:AD325" ca="1" si="814">AC324/AC$646</f>
        <v>3.0201217840168516E-3</v>
      </c>
      <c r="AE324" s="22">
        <f t="shared" ref="AE324:AE325" ca="1" si="815">AD324*AE$676</f>
        <v>56704.611614912908</v>
      </c>
      <c r="AF324" s="2">
        <v>176340.309301773</v>
      </c>
      <c r="AG324" s="21">
        <f t="shared" ref="AG324:AG325" ca="1" si="816">AF324/AF$646</f>
        <v>1.8732956777635004E-3</v>
      </c>
      <c r="AH324" s="22">
        <f t="shared" ref="AH324:AH325" ca="1" si="817">AG324*AH$676</f>
        <v>35805.359075810855</v>
      </c>
      <c r="AI324" s="2">
        <v>365948.45688444842</v>
      </c>
      <c r="AJ324" s="21">
        <f t="shared" ref="AJ324:AJ325" ca="1" si="818">AI324/AI$646</f>
        <v>2.9619742398753865E-3</v>
      </c>
      <c r="AK324" s="22">
        <f t="shared" ref="AK324:AK325" ca="1" si="819">AJ324*AK$676</f>
        <v>57632.937723497955</v>
      </c>
      <c r="AL324" s="2">
        <v>3544600.0458962326</v>
      </c>
    </row>
    <row r="325" spans="1:38" ht="12.75" x14ac:dyDescent="0.2">
      <c r="A325" s="8" t="s">
        <v>16</v>
      </c>
      <c r="B325" s="8" t="s">
        <v>17</v>
      </c>
      <c r="C325" s="8" t="s">
        <v>18</v>
      </c>
      <c r="D325" s="8" t="s">
        <v>125</v>
      </c>
      <c r="E325" s="8" t="s">
        <v>126</v>
      </c>
      <c r="F325" s="8" t="s">
        <v>24</v>
      </c>
      <c r="G325" s="8" t="s">
        <v>685</v>
      </c>
      <c r="H325" s="20">
        <v>4351.5697889506046</v>
      </c>
      <c r="I325" s="21">
        <f t="shared" si="800"/>
        <v>5.2997412341035679E-5</v>
      </c>
      <c r="J325" s="22">
        <f t="shared" si="801"/>
        <v>114.03135228946601</v>
      </c>
      <c r="K325" s="2">
        <v>0</v>
      </c>
      <c r="L325" s="21">
        <f t="shared" ca="1" si="802"/>
        <v>0</v>
      </c>
      <c r="M325" s="22">
        <f t="shared" ca="1" si="803"/>
        <v>0</v>
      </c>
      <c r="N325" s="2">
        <v>0</v>
      </c>
      <c r="O325" s="21">
        <f t="shared" ca="1" si="804"/>
        <v>0</v>
      </c>
      <c r="P325" s="22">
        <f t="shared" ca="1" si="805"/>
        <v>0</v>
      </c>
      <c r="Q325" s="2">
        <v>0</v>
      </c>
      <c r="R325" s="21">
        <f t="shared" ca="1" si="806"/>
        <v>0</v>
      </c>
      <c r="S325" s="22">
        <f t="shared" ca="1" si="807"/>
        <v>0</v>
      </c>
      <c r="T325" s="2">
        <v>0</v>
      </c>
      <c r="U325" s="21">
        <f t="shared" ca="1" si="808"/>
        <v>0</v>
      </c>
      <c r="V325" s="22">
        <f t="shared" ca="1" si="809"/>
        <v>0</v>
      </c>
      <c r="W325" s="2">
        <v>0</v>
      </c>
      <c r="X325" s="21">
        <f t="shared" ca="1" si="810"/>
        <v>0</v>
      </c>
      <c r="Y325" s="22">
        <f t="shared" ca="1" si="811"/>
        <v>0</v>
      </c>
      <c r="Z325" s="2">
        <v>0</v>
      </c>
      <c r="AA325" s="21">
        <f t="shared" ca="1" si="812"/>
        <v>0</v>
      </c>
      <c r="AB325" s="22">
        <f t="shared" ca="1" si="813"/>
        <v>0</v>
      </c>
      <c r="AC325" s="2">
        <v>0</v>
      </c>
      <c r="AD325" s="21">
        <f t="shared" ca="1" si="814"/>
        <v>0</v>
      </c>
      <c r="AE325" s="22">
        <f t="shared" ca="1" si="815"/>
        <v>0</v>
      </c>
      <c r="AF325" s="2">
        <v>0</v>
      </c>
      <c r="AG325" s="21">
        <f t="shared" ca="1" si="816"/>
        <v>0</v>
      </c>
      <c r="AH325" s="22">
        <f t="shared" ca="1" si="817"/>
        <v>0</v>
      </c>
      <c r="AI325" s="2">
        <v>0</v>
      </c>
      <c r="AJ325" s="21">
        <f t="shared" ca="1" si="818"/>
        <v>0</v>
      </c>
      <c r="AK325" s="22">
        <f t="shared" ca="1" si="819"/>
        <v>0</v>
      </c>
      <c r="AL325" s="2">
        <v>4351.5697889506046</v>
      </c>
    </row>
    <row r="326" spans="1:38" ht="12.75" x14ac:dyDescent="0.2">
      <c r="A326" s="8" t="s">
        <v>16</v>
      </c>
      <c r="B326" s="8" t="s">
        <v>17</v>
      </c>
      <c r="C326" s="8" t="s">
        <v>18</v>
      </c>
      <c r="D326" s="8" t="s">
        <v>125</v>
      </c>
      <c r="E326" s="8" t="s">
        <v>126</v>
      </c>
      <c r="F326" s="23" t="s">
        <v>22</v>
      </c>
      <c r="G326" s="8" t="s">
        <v>686</v>
      </c>
      <c r="H326" s="20">
        <v>0</v>
      </c>
      <c r="I326" s="21">
        <f>H326/H$650</f>
        <v>0</v>
      </c>
      <c r="J326" s="22">
        <f>I326*J$680</f>
        <v>0</v>
      </c>
      <c r="K326" s="2">
        <v>0</v>
      </c>
      <c r="L326" s="21">
        <f ca="1">K326/K$650</f>
        <v>0</v>
      </c>
      <c r="M326" s="22">
        <f ca="1">L326*M$680</f>
        <v>0</v>
      </c>
      <c r="N326" s="2">
        <v>4220259.0859098425</v>
      </c>
      <c r="O326" s="21">
        <f ca="1">N326/N$650</f>
        <v>5.3261995622935016E-2</v>
      </c>
      <c r="P326" s="22">
        <f ca="1">O326*P$680</f>
        <v>603648.41778365895</v>
      </c>
      <c r="Q326" s="2">
        <v>0</v>
      </c>
      <c r="R326" s="21">
        <f ca="1">Q326/Q$650</f>
        <v>0</v>
      </c>
      <c r="S326" s="22">
        <f ca="1">R326*S$680</f>
        <v>0</v>
      </c>
      <c r="T326" s="2">
        <v>0</v>
      </c>
      <c r="U326" s="21">
        <f ca="1">T326/T$650</f>
        <v>0</v>
      </c>
      <c r="V326" s="22">
        <f ca="1">U326*V$680</f>
        <v>0</v>
      </c>
      <c r="W326" s="2">
        <v>0</v>
      </c>
      <c r="X326" s="21">
        <f ca="1">W326/W$650</f>
        <v>0</v>
      </c>
      <c r="Y326" s="22">
        <f ca="1">X326*Y$680</f>
        <v>0</v>
      </c>
      <c r="Z326" s="2">
        <v>0</v>
      </c>
      <c r="AA326" s="21">
        <f ca="1">Z326/Z$650</f>
        <v>0</v>
      </c>
      <c r="AB326" s="22">
        <f ca="1">AA326*AB$680</f>
        <v>0</v>
      </c>
      <c r="AC326" s="2">
        <v>0</v>
      </c>
      <c r="AD326" s="21">
        <f ca="1">AC326/AC$650</f>
        <v>0</v>
      </c>
      <c r="AE326" s="22">
        <f ca="1">AD326*AE$680</f>
        <v>0</v>
      </c>
      <c r="AF326" s="2">
        <v>0</v>
      </c>
      <c r="AG326" s="21">
        <f ca="1">AF326/AF$650</f>
        <v>0</v>
      </c>
      <c r="AH326" s="22">
        <f ca="1">AG326*AH$680</f>
        <v>0</v>
      </c>
      <c r="AI326" s="2">
        <v>0</v>
      </c>
      <c r="AJ326" s="21">
        <f ca="1">AI326/AI$650</f>
        <v>0</v>
      </c>
      <c r="AK326" s="22">
        <f ca="1">AJ326*AK$680</f>
        <v>0</v>
      </c>
      <c r="AL326" s="2">
        <v>4220259.0859098425</v>
      </c>
    </row>
    <row r="327" spans="1:38" ht="12.75" x14ac:dyDescent="0.2">
      <c r="A327" s="8" t="s">
        <v>16</v>
      </c>
      <c r="B327" s="8" t="s">
        <v>17</v>
      </c>
      <c r="C327" s="8" t="s">
        <v>18</v>
      </c>
      <c r="D327" s="8" t="s">
        <v>125</v>
      </c>
      <c r="E327" s="8" t="s">
        <v>126</v>
      </c>
      <c r="F327" s="8" t="s">
        <v>25</v>
      </c>
      <c r="G327" s="8" t="s">
        <v>687</v>
      </c>
      <c r="H327" s="20">
        <v>0</v>
      </c>
      <c r="I327" s="21">
        <f>H327/H$652</f>
        <v>0</v>
      </c>
      <c r="J327" s="22">
        <f>I327*J$682</f>
        <v>0</v>
      </c>
      <c r="K327" s="2">
        <v>0</v>
      </c>
      <c r="L327" s="21">
        <f ca="1">K327/K$652</f>
        <v>0</v>
      </c>
      <c r="M327" s="22">
        <f ca="1">L327*M$682</f>
        <v>0</v>
      </c>
      <c r="N327" s="2">
        <v>0</v>
      </c>
      <c r="O327" s="21">
        <f ca="1">N327/N$652</f>
        <v>0</v>
      </c>
      <c r="P327" s="22">
        <f ca="1">O327*P$682</f>
        <v>0</v>
      </c>
      <c r="Q327" s="2">
        <v>47029.551901491017</v>
      </c>
      <c r="R327" s="21">
        <f ca="1">Q327/Q$652</f>
        <v>9.4751677609034609E-4</v>
      </c>
      <c r="S327" s="22">
        <f ca="1">R327*S$682</f>
        <v>35870.150902174362</v>
      </c>
      <c r="T327" s="2">
        <v>26328.825514481487</v>
      </c>
      <c r="U327" s="21">
        <f ca="1">T327/T$652</f>
        <v>6.0009090864914449E-4</v>
      </c>
      <c r="V327" s="22">
        <f ca="1">U327*V$682</f>
        <v>23194.717377648551</v>
      </c>
      <c r="W327" s="2">
        <v>0</v>
      </c>
      <c r="X327" s="21">
        <f ca="1">W327/W$652</f>
        <v>0</v>
      </c>
      <c r="Y327" s="22">
        <f ca="1">X327*Y$682</f>
        <v>0</v>
      </c>
      <c r="Z327" s="2">
        <v>70536.956710954531</v>
      </c>
      <c r="AA327" s="21">
        <f ca="1">Z327/Z$652</f>
        <v>1.5266727234692066E-3</v>
      </c>
      <c r="AB327" s="22">
        <f ca="1">AA327*AB$682</f>
        <v>61272.547037200842</v>
      </c>
      <c r="AC327" s="2">
        <v>0</v>
      </c>
      <c r="AD327" s="21">
        <f ca="1">AC327/AC$652</f>
        <v>0</v>
      </c>
      <c r="AE327" s="22">
        <f ca="1">AD327*AE$682</f>
        <v>0</v>
      </c>
      <c r="AF327" s="2">
        <v>0</v>
      </c>
      <c r="AG327" s="21">
        <f ca="1">AF327/AF$652</f>
        <v>0</v>
      </c>
      <c r="AH327" s="22">
        <f ca="1">AG327*AH$682</f>
        <v>0</v>
      </c>
      <c r="AI327" s="2">
        <v>219481.28678022255</v>
      </c>
      <c r="AJ327" s="21">
        <f ca="1">AI327/AI$652</f>
        <v>2.9300894868329484E-3</v>
      </c>
      <c r="AK327" s="22">
        <f ca="1">AJ327*AK$682</f>
        <v>124185.42037766654</v>
      </c>
      <c r="AL327" s="2">
        <v>363376.62090714957</v>
      </c>
    </row>
    <row r="328" spans="1:38" ht="12.75" x14ac:dyDescent="0.2">
      <c r="A328" s="8" t="s">
        <v>16</v>
      </c>
      <c r="B328" s="8" t="s">
        <v>17</v>
      </c>
      <c r="C328" s="8" t="s">
        <v>18</v>
      </c>
      <c r="D328" s="8" t="s">
        <v>125</v>
      </c>
      <c r="E328" s="8" t="s">
        <v>126</v>
      </c>
      <c r="F328" s="8" t="s">
        <v>26</v>
      </c>
      <c r="G328" s="8" t="s">
        <v>688</v>
      </c>
      <c r="H328" s="20">
        <v>76759.379047599286</v>
      </c>
      <c r="I328" s="21">
        <f t="shared" ref="I328:I329" si="820">H328/H$655</f>
        <v>1.9353296490998671E-3</v>
      </c>
      <c r="J328" s="22">
        <f t="shared" ref="J328:J329" si="821">I328*J$685</f>
        <v>4670.8755308502496</v>
      </c>
      <c r="K328" s="2">
        <v>96222.217516450546</v>
      </c>
      <c r="L328" s="21">
        <f t="shared" ref="L328:L329" ca="1" si="822">K328/K$655</f>
        <v>2.4236677691536149E-3</v>
      </c>
      <c r="M328" s="22">
        <f t="shared" ref="M328:M329" ca="1" si="823">L328*M$685</f>
        <v>6706.3129539257443</v>
      </c>
      <c r="N328" s="2">
        <v>0</v>
      </c>
      <c r="O328" s="21">
        <f t="shared" ref="O328:O329" ca="1" si="824">N328/N$655</f>
        <v>0</v>
      </c>
      <c r="P328" s="22">
        <f t="shared" ref="P328:P329" ca="1" si="825">O328*P$685</f>
        <v>0</v>
      </c>
      <c r="Q328" s="2">
        <v>25082.961360824163</v>
      </c>
      <c r="R328" s="21">
        <f t="shared" ref="R328:R329" ca="1" si="826">Q328/Q$655</f>
        <v>1.8017113196045409E-4</v>
      </c>
      <c r="S328" s="22">
        <f t="shared" ref="S328:S329" ca="1" si="827">R328*S$685</f>
        <v>523.26167848126602</v>
      </c>
      <c r="T328" s="2">
        <v>0</v>
      </c>
      <c r="U328" s="21">
        <f t="shared" ref="U328:U329" ca="1" si="828">T328/T$655</f>
        <v>0</v>
      </c>
      <c r="V328" s="22">
        <f t="shared" ref="V328:V329" ca="1" si="829">U328*V$685</f>
        <v>0</v>
      </c>
      <c r="W328" s="2">
        <v>5514261.6365135657</v>
      </c>
      <c r="X328" s="21">
        <f t="shared" ref="X328:X329" ca="1" si="830">W328/W$655</f>
        <v>5.1436739650928986E-2</v>
      </c>
      <c r="Y328" s="22">
        <f t="shared" ref="Y328:Y329" ca="1" si="831">X328*Y$685</f>
        <v>155572.58558970882</v>
      </c>
      <c r="Z328" s="2">
        <v>29279.491464924522</v>
      </c>
      <c r="AA328" s="21">
        <f t="shared" ref="AA328:AA329" ca="1" si="832">Z328/Z$655</f>
        <v>2.5383044880471309E-4</v>
      </c>
      <c r="AB328" s="22">
        <f t="shared" ref="AB328:AB329" ca="1" si="833">AA328*AB$685</f>
        <v>781.5398601228768</v>
      </c>
      <c r="AC328" s="2">
        <v>0</v>
      </c>
      <c r="AD328" s="21">
        <f t="shared" ref="AD328:AD329" ca="1" si="834">AC328/AC$655</f>
        <v>0</v>
      </c>
      <c r="AE328" s="22">
        <f t="shared" ref="AE328:AE329" ca="1" si="835">AD328*AE$685</f>
        <v>0</v>
      </c>
      <c r="AF328" s="2">
        <v>148972.12822812592</v>
      </c>
      <c r="AG328" s="21">
        <f t="shared" ref="AG328:AG329" ca="1" si="836">AF328/AF$655</f>
        <v>1.2367912561922817E-3</v>
      </c>
      <c r="AH328" s="22">
        <f t="shared" ref="AH328:AH329" ca="1" si="837">AG328*AH$685</f>
        <v>3950.2609348740207</v>
      </c>
      <c r="AI328" s="2">
        <v>405394.84734699928</v>
      </c>
      <c r="AJ328" s="21">
        <f t="shared" ref="AJ328:AJ329" ca="1" si="838">AI328/AI$655</f>
        <v>2.1894038788991843E-3</v>
      </c>
      <c r="AK328" s="22">
        <f t="shared" ref="AK328:AK329" ca="1" si="839">AJ328*AK$685</f>
        <v>7118.7384681129251</v>
      </c>
      <c r="AL328" s="2">
        <v>6295972.6614784896</v>
      </c>
    </row>
    <row r="329" spans="1:38" ht="12.75" x14ac:dyDescent="0.2">
      <c r="A329" s="8" t="s">
        <v>16</v>
      </c>
      <c r="B329" s="8" t="s">
        <v>17</v>
      </c>
      <c r="C329" s="8" t="s">
        <v>18</v>
      </c>
      <c r="D329" s="8" t="s">
        <v>125</v>
      </c>
      <c r="E329" s="8" t="s">
        <v>126</v>
      </c>
      <c r="F329" s="8" t="s">
        <v>26</v>
      </c>
      <c r="G329" s="8" t="s">
        <v>689</v>
      </c>
      <c r="H329" s="20">
        <v>0</v>
      </c>
      <c r="I329" s="21">
        <f t="shared" si="820"/>
        <v>0</v>
      </c>
      <c r="J329" s="22">
        <f t="shared" si="821"/>
        <v>0</v>
      </c>
      <c r="K329" s="2">
        <v>0</v>
      </c>
      <c r="L329" s="21">
        <f t="shared" ca="1" si="822"/>
        <v>0</v>
      </c>
      <c r="M329" s="22">
        <f t="shared" ca="1" si="823"/>
        <v>0</v>
      </c>
      <c r="N329" s="2">
        <v>14196.021114178619</v>
      </c>
      <c r="O329" s="21">
        <f t="shared" ca="1" si="824"/>
        <v>1.2272714251740591E-4</v>
      </c>
      <c r="P329" s="22">
        <f t="shared" ca="1" si="825"/>
        <v>348.41649861313158</v>
      </c>
      <c r="Q329" s="2">
        <v>0</v>
      </c>
      <c r="R329" s="21">
        <f t="shared" ca="1" si="826"/>
        <v>0</v>
      </c>
      <c r="S329" s="22">
        <f t="shared" ca="1" si="827"/>
        <v>0</v>
      </c>
      <c r="T329" s="2">
        <v>0</v>
      </c>
      <c r="U329" s="21">
        <f t="shared" ca="1" si="828"/>
        <v>0</v>
      </c>
      <c r="V329" s="22">
        <f t="shared" ca="1" si="829"/>
        <v>0</v>
      </c>
      <c r="W329" s="2">
        <v>0</v>
      </c>
      <c r="X329" s="21">
        <f t="shared" ca="1" si="830"/>
        <v>0</v>
      </c>
      <c r="Y329" s="22">
        <f t="shared" ca="1" si="831"/>
        <v>0</v>
      </c>
      <c r="Z329" s="2">
        <v>0</v>
      </c>
      <c r="AA329" s="21">
        <f t="shared" ca="1" si="832"/>
        <v>0</v>
      </c>
      <c r="AB329" s="22">
        <f t="shared" ca="1" si="833"/>
        <v>0</v>
      </c>
      <c r="AC329" s="2">
        <v>0</v>
      </c>
      <c r="AD329" s="21">
        <f t="shared" ca="1" si="834"/>
        <v>0</v>
      </c>
      <c r="AE329" s="22">
        <f t="shared" ca="1" si="835"/>
        <v>0</v>
      </c>
      <c r="AF329" s="2">
        <v>0</v>
      </c>
      <c r="AG329" s="21">
        <f t="shared" ca="1" si="836"/>
        <v>0</v>
      </c>
      <c r="AH329" s="22">
        <f t="shared" ca="1" si="837"/>
        <v>0</v>
      </c>
      <c r="AI329" s="2">
        <v>0</v>
      </c>
      <c r="AJ329" s="21">
        <f t="shared" ca="1" si="838"/>
        <v>0</v>
      </c>
      <c r="AK329" s="22">
        <f t="shared" ca="1" si="839"/>
        <v>0</v>
      </c>
      <c r="AL329" s="2">
        <v>14196.021114178619</v>
      </c>
    </row>
    <row r="330" spans="1:38" ht="12.75" x14ac:dyDescent="0.2">
      <c r="A330" s="8" t="s">
        <v>16</v>
      </c>
      <c r="B330" s="8" t="s">
        <v>17</v>
      </c>
      <c r="C330" s="8" t="s">
        <v>18</v>
      </c>
      <c r="D330" s="8" t="s">
        <v>125</v>
      </c>
      <c r="E330" s="8" t="s">
        <v>126</v>
      </c>
      <c r="F330" s="8" t="s">
        <v>27</v>
      </c>
      <c r="G330" s="8" t="s">
        <v>690</v>
      </c>
      <c r="H330" s="20">
        <v>4816715.706004573</v>
      </c>
      <c r="I330" s="21">
        <f t="shared" ref="I330:I331" si="840">H330/H$657</f>
        <v>9.4439397997352847E-2</v>
      </c>
      <c r="J330" s="22">
        <f t="shared" ref="J330:J331" si="841">I330*J$687</f>
        <v>979618.08107797918</v>
      </c>
      <c r="K330" s="2">
        <v>4653081.0897218231</v>
      </c>
      <c r="L330" s="21">
        <f t="shared" ref="L330:L331" ca="1" si="842">K330/K$657</f>
        <v>0.11913159149268007</v>
      </c>
      <c r="M330" s="22">
        <f t="shared" ref="M330:M331" ca="1" si="843">L330*M$687</f>
        <v>1871146.1792277626</v>
      </c>
      <c r="N330" s="2">
        <v>417905.34066458407</v>
      </c>
      <c r="O330" s="21">
        <f t="shared" ref="O330:O331" ca="1" si="844">N330/N$657</f>
        <v>7.5557808678006705E-3</v>
      </c>
      <c r="P330" s="22">
        <f t="shared" ref="P330:P331" ca="1" si="845">O330*P$687</f>
        <v>121760.79870641834</v>
      </c>
      <c r="Q330" s="2">
        <v>3389942.5884903199</v>
      </c>
      <c r="R330" s="21">
        <f t="shared" ref="R330:R331" ca="1" si="846">Q330/Q$657</f>
        <v>6.1376844702981694E-2</v>
      </c>
      <c r="S330" s="22">
        <f t="shared" ref="S330:S331" ca="1" si="847">R330*S$687</f>
        <v>1011831.804493651</v>
      </c>
      <c r="T330" s="2">
        <v>61442.459964484347</v>
      </c>
      <c r="U330" s="21">
        <f t="shared" ref="U330:U331" ca="1" si="848">T330/T$657</f>
        <v>1.5882528213029812E-3</v>
      </c>
      <c r="V330" s="22">
        <f t="shared" ref="V330:V331" ca="1" si="849">U330*V$687</f>
        <v>26733.089084539995</v>
      </c>
      <c r="W330" s="2">
        <v>1263123.5991222064</v>
      </c>
      <c r="X330" s="21">
        <f t="shared" ref="X330:X331" ca="1" si="850">W330/W$657</f>
        <v>3.2233848620598075E-2</v>
      </c>
      <c r="Y330" s="22">
        <f t="shared" ref="Y330:Y331" ca="1" si="851">X330*Y$687</f>
        <v>553403.42647066223</v>
      </c>
      <c r="Z330" s="2">
        <v>4965752.9089358915</v>
      </c>
      <c r="AA330" s="21">
        <f t="shared" ref="AA330:AA331" ca="1" si="852">Z330/Z$657</f>
        <v>0.10237660536701194</v>
      </c>
      <c r="AB330" s="22">
        <f t="shared" ref="AB330:AB331" ca="1" si="853">AA330*AB$687</f>
        <v>1789279.4942686176</v>
      </c>
      <c r="AC330" s="2">
        <v>1624932.8770960183</v>
      </c>
      <c r="AD330" s="21">
        <f t="shared" ref="AD330:AD331" ca="1" si="854">AC330/AC$657</f>
        <v>2.9583426136304776E-2</v>
      </c>
      <c r="AE330" s="22">
        <f t="shared" ref="AE330:AE331" ca="1" si="855">AD330*AE$687</f>
        <v>526865.92719087109</v>
      </c>
      <c r="AF330" s="2">
        <v>10335565.927794883</v>
      </c>
      <c r="AG330" s="21">
        <f t="shared" ref="AG330:AG331" ca="1" si="856">AF330/AF$657</f>
        <v>0.20680440652726381</v>
      </c>
      <c r="AH330" s="22">
        <f t="shared" ref="AH330:AH331" ca="1" si="857">AG330*AH$687</f>
        <v>3749377.8579089097</v>
      </c>
      <c r="AI330" s="2">
        <v>1433846.2514898286</v>
      </c>
      <c r="AJ330" s="21">
        <f t="shared" ref="AJ330:AJ331" ca="1" si="858">AI330/AI$657</f>
        <v>2.5838168685370543E-2</v>
      </c>
      <c r="AK330" s="22">
        <f t="shared" ref="AK330:AK331" ca="1" si="859">AJ330*AK$687</f>
        <v>476879.8026086489</v>
      </c>
      <c r="AL330" s="2">
        <v>32962308.749284614</v>
      </c>
    </row>
    <row r="331" spans="1:38" ht="12.75" x14ac:dyDescent="0.2">
      <c r="A331" s="8" t="s">
        <v>16</v>
      </c>
      <c r="B331" s="8" t="s">
        <v>17</v>
      </c>
      <c r="C331" s="8" t="s">
        <v>18</v>
      </c>
      <c r="D331" s="8" t="s">
        <v>125</v>
      </c>
      <c r="E331" s="8" t="s">
        <v>126</v>
      </c>
      <c r="F331" s="8" t="s">
        <v>27</v>
      </c>
      <c r="G331" s="8" t="s">
        <v>691</v>
      </c>
      <c r="H331" s="20">
        <v>21231.023299503096</v>
      </c>
      <c r="I331" s="21">
        <f t="shared" si="840"/>
        <v>4.1626809254557669E-4</v>
      </c>
      <c r="J331" s="22">
        <f t="shared" si="841"/>
        <v>4317.9410148815086</v>
      </c>
      <c r="K331" s="2">
        <v>0</v>
      </c>
      <c r="L331" s="21">
        <f t="shared" ca="1" si="842"/>
        <v>0</v>
      </c>
      <c r="M331" s="22">
        <f t="shared" ca="1" si="843"/>
        <v>0</v>
      </c>
      <c r="N331" s="2">
        <v>0</v>
      </c>
      <c r="O331" s="21">
        <f t="shared" ca="1" si="844"/>
        <v>0</v>
      </c>
      <c r="P331" s="22">
        <f t="shared" ca="1" si="845"/>
        <v>0</v>
      </c>
      <c r="Q331" s="2">
        <v>0</v>
      </c>
      <c r="R331" s="21">
        <f t="shared" ca="1" si="846"/>
        <v>0</v>
      </c>
      <c r="S331" s="22">
        <f t="shared" ca="1" si="847"/>
        <v>0</v>
      </c>
      <c r="T331" s="2">
        <v>0</v>
      </c>
      <c r="U331" s="21">
        <f t="shared" ca="1" si="848"/>
        <v>0</v>
      </c>
      <c r="V331" s="22">
        <f t="shared" ca="1" si="849"/>
        <v>0</v>
      </c>
      <c r="W331" s="2">
        <v>0</v>
      </c>
      <c r="X331" s="21">
        <f t="shared" ca="1" si="850"/>
        <v>0</v>
      </c>
      <c r="Y331" s="22">
        <f t="shared" ca="1" si="851"/>
        <v>0</v>
      </c>
      <c r="Z331" s="2">
        <v>0</v>
      </c>
      <c r="AA331" s="21">
        <f t="shared" ca="1" si="852"/>
        <v>0</v>
      </c>
      <c r="AB331" s="22">
        <f t="shared" ca="1" si="853"/>
        <v>0</v>
      </c>
      <c r="AC331" s="2">
        <v>0</v>
      </c>
      <c r="AD331" s="21">
        <f t="shared" ca="1" si="854"/>
        <v>0</v>
      </c>
      <c r="AE331" s="22">
        <f t="shared" ca="1" si="855"/>
        <v>0</v>
      </c>
      <c r="AF331" s="2">
        <v>0</v>
      </c>
      <c r="AG331" s="21">
        <f t="shared" ca="1" si="856"/>
        <v>0</v>
      </c>
      <c r="AH331" s="22">
        <f t="shared" ca="1" si="857"/>
        <v>0</v>
      </c>
      <c r="AI331" s="2">
        <v>0</v>
      </c>
      <c r="AJ331" s="21">
        <f t="shared" ca="1" si="858"/>
        <v>0</v>
      </c>
      <c r="AK331" s="22">
        <f t="shared" ca="1" si="859"/>
        <v>0</v>
      </c>
      <c r="AL331" s="2">
        <v>21231.023299503096</v>
      </c>
    </row>
    <row r="332" spans="1:38" ht="12.75" x14ac:dyDescent="0.2">
      <c r="A332" s="8" t="s">
        <v>16</v>
      </c>
      <c r="B332" s="8" t="s">
        <v>17</v>
      </c>
      <c r="C332" s="8" t="s">
        <v>18</v>
      </c>
      <c r="D332" s="8" t="s">
        <v>125</v>
      </c>
      <c r="E332" s="8" t="s">
        <v>126</v>
      </c>
      <c r="F332" s="8" t="s">
        <v>28</v>
      </c>
      <c r="G332" s="8" t="s">
        <v>692</v>
      </c>
      <c r="H332" s="20">
        <v>32764.760763863378</v>
      </c>
      <c r="I332" s="21">
        <f>H332/H$669</f>
        <v>3.8562974493980529E-3</v>
      </c>
      <c r="J332" s="22">
        <f>I332*J$699</f>
        <v>42978.30395942802</v>
      </c>
      <c r="K332" s="2">
        <v>26081.272085843626</v>
      </c>
      <c r="L332" s="21">
        <f ca="1">K332/K$669</f>
        <v>3.5952558225948064E-3</v>
      </c>
      <c r="M332" s="22">
        <f ca="1">L332*M$699</f>
        <v>17040.516713236524</v>
      </c>
      <c r="N332" s="2">
        <v>44528.717914324319</v>
      </c>
      <c r="O332" s="21">
        <f ca="1">N332/N$669</f>
        <v>1.5787842704903109E-3</v>
      </c>
      <c r="P332" s="22">
        <f ca="1">O332*P$699</f>
        <v>7677.5581251296262</v>
      </c>
      <c r="Q332" s="2">
        <v>118700.67175385931</v>
      </c>
      <c r="R332" s="21">
        <f ca="1">Q332/Q$669</f>
        <v>3.1401643664436224E-3</v>
      </c>
      <c r="S332" s="22">
        <f ca="1">R332*S$699</f>
        <v>15621.701560005038</v>
      </c>
      <c r="T332" s="2">
        <v>27911.68516055034</v>
      </c>
      <c r="U332" s="21">
        <f ca="1">T332/T$669</f>
        <v>9.7773745586360187E-4</v>
      </c>
      <c r="V332" s="22">
        <f ca="1">U332*V$699</f>
        <v>4966.1970837008612</v>
      </c>
      <c r="W332" s="2">
        <v>15907.165535016507</v>
      </c>
      <c r="X332" s="21">
        <f ca="1">W332/W$669</f>
        <v>5.7027624389879275E-4</v>
      </c>
      <c r="Y332" s="22">
        <f ca="1">X332*Y$699</f>
        <v>2954.5214665069361</v>
      </c>
      <c r="Z332" s="2">
        <v>9050.0246346130334</v>
      </c>
      <c r="AA332" s="21">
        <f ca="1">Z332/Z$669</f>
        <v>3.0762247492599313E-4</v>
      </c>
      <c r="AB332" s="22">
        <f ca="1">AA332*AB$699</f>
        <v>1622.4365062226882</v>
      </c>
      <c r="AC332" s="2">
        <v>29176.357585440805</v>
      </c>
      <c r="AD332" s="21">
        <f ca="1">AC332/AC$669</f>
        <v>9.2515619463020486E-4</v>
      </c>
      <c r="AE332" s="22">
        <f ca="1">AD332*AE$699</f>
        <v>4972.0889832732282</v>
      </c>
      <c r="AF332" s="2">
        <v>0</v>
      </c>
      <c r="AG332" s="21">
        <f ca="1">AF332/AF$669</f>
        <v>0</v>
      </c>
      <c r="AH332" s="22">
        <f ca="1">AG332*AH$699</f>
        <v>0</v>
      </c>
      <c r="AI332" s="2">
        <v>18074.929499547739</v>
      </c>
      <c r="AJ332" s="21">
        <f ca="1">AI332/AI$669</f>
        <v>4.1316025546533978E-4</v>
      </c>
      <c r="AK332" s="22">
        <f ca="1">AJ332*AK$699</f>
        <v>2301.112887357825</v>
      </c>
      <c r="AL332" s="2">
        <v>322195.58493305906</v>
      </c>
    </row>
    <row r="333" spans="1:38" ht="12.75" x14ac:dyDescent="0.2">
      <c r="A333" s="8" t="s">
        <v>16</v>
      </c>
      <c r="B333" s="8" t="s">
        <v>17</v>
      </c>
      <c r="C333" s="8" t="s">
        <v>18</v>
      </c>
      <c r="D333" s="8" t="s">
        <v>31</v>
      </c>
      <c r="E333" s="8" t="s">
        <v>127</v>
      </c>
      <c r="F333" s="8" t="s">
        <v>21</v>
      </c>
      <c r="G333" s="8" t="s">
        <v>693</v>
      </c>
      <c r="H333" s="20">
        <v>0</v>
      </c>
      <c r="I333" s="21">
        <f>H333/H$645</f>
        <v>0</v>
      </c>
      <c r="J333" s="22">
        <f>I333*J$675</f>
        <v>0</v>
      </c>
      <c r="K333" s="2">
        <v>0</v>
      </c>
      <c r="L333" s="21">
        <f ca="1">K333/K$645</f>
        <v>0</v>
      </c>
      <c r="M333" s="22">
        <f ca="1">L333*M$675</f>
        <v>0</v>
      </c>
      <c r="N333" s="2">
        <v>0</v>
      </c>
      <c r="O333" s="21">
        <f ca="1">N333/N$645</f>
        <v>0</v>
      </c>
      <c r="P333" s="22">
        <f ca="1">O333*P$675</f>
        <v>0</v>
      </c>
      <c r="Q333" s="2">
        <v>53545.451504997669</v>
      </c>
      <c r="R333" s="21">
        <f ca="1">Q333/Q$645</f>
        <v>2.120846090670989E-3</v>
      </c>
      <c r="S333" s="22">
        <f ca="1">R333*S$675</f>
        <v>960.4454062405232</v>
      </c>
      <c r="T333" s="2">
        <v>0</v>
      </c>
      <c r="U333" s="21">
        <f ca="1">T333/T$645</f>
        <v>0</v>
      </c>
      <c r="V333" s="22">
        <f ca="1">U333*V$675</f>
        <v>0</v>
      </c>
      <c r="W333" s="2">
        <v>0</v>
      </c>
      <c r="X333" s="21">
        <f ca="1">W333/W$645</f>
        <v>0</v>
      </c>
      <c r="Y333" s="22">
        <f ca="1">X333*Y$675</f>
        <v>0</v>
      </c>
      <c r="Z333" s="2">
        <v>0</v>
      </c>
      <c r="AA333" s="21">
        <f ca="1">Z333/Z$645</f>
        <v>0</v>
      </c>
      <c r="AB333" s="22">
        <f ca="1">AA333*AB$675</f>
        <v>0</v>
      </c>
      <c r="AC333" s="2">
        <v>0</v>
      </c>
      <c r="AD333" s="21">
        <f ca="1">AC333/AC$645</f>
        <v>0</v>
      </c>
      <c r="AE333" s="22">
        <f ca="1">AD333*AE$675</f>
        <v>0</v>
      </c>
      <c r="AF333" s="2">
        <v>0</v>
      </c>
      <c r="AG333" s="21">
        <f ca="1">AF333/AF$645</f>
        <v>0</v>
      </c>
      <c r="AH333" s="22">
        <f ca="1">AG333*AH$675</f>
        <v>0</v>
      </c>
      <c r="AI333" s="2">
        <v>0</v>
      </c>
      <c r="AJ333" s="21">
        <f ca="1">AI333/AI$645</f>
        <v>0</v>
      </c>
      <c r="AK333" s="22">
        <f ca="1">AJ333*AK$675</f>
        <v>0</v>
      </c>
      <c r="AL333" s="2">
        <v>317777.39314905717</v>
      </c>
    </row>
    <row r="334" spans="1:38" ht="12.75" x14ac:dyDescent="0.2">
      <c r="A334" s="8" t="s">
        <v>16</v>
      </c>
      <c r="B334" s="8" t="s">
        <v>17</v>
      </c>
      <c r="C334" s="8" t="s">
        <v>18</v>
      </c>
      <c r="D334" s="8" t="s">
        <v>31</v>
      </c>
      <c r="E334" s="8" t="s">
        <v>127</v>
      </c>
      <c r="F334" s="8" t="s">
        <v>24</v>
      </c>
      <c r="G334" s="8" t="s">
        <v>694</v>
      </c>
      <c r="H334" s="20">
        <v>40000</v>
      </c>
      <c r="I334" s="21">
        <f t="shared" ref="I334:I336" si="860">H334/H$646</f>
        <v>4.8715672652756585E-4</v>
      </c>
      <c r="J334" s="22">
        <f t="shared" ref="J334:J336" si="861">I334*J$676</f>
        <v>1048.1858990657718</v>
      </c>
      <c r="K334" s="2">
        <v>40000</v>
      </c>
      <c r="L334" s="21">
        <f t="shared" ref="L334:L336" ca="1" si="862">K334/K$646</f>
        <v>6.3334955738947026E-4</v>
      </c>
      <c r="M334" s="22">
        <f t="shared" ref="M334:M336" ca="1" si="863">L334*M$676</f>
        <v>2462.4715026793733</v>
      </c>
      <c r="N334" s="2">
        <v>796213.70061419928</v>
      </c>
      <c r="O334" s="21">
        <f t="shared" ref="O334:O336" ca="1" si="864">N334/N$646</f>
        <v>8.4938694261982601E-3</v>
      </c>
      <c r="P334" s="22">
        <f t="shared" ref="P334:P336" ca="1" si="865">O334*P$676</f>
        <v>144303.21108350941</v>
      </c>
      <c r="Q334" s="2">
        <v>737228.75992641586</v>
      </c>
      <c r="R334" s="21">
        <f t="shared" ref="R334:R336" ca="1" si="866">Q334/Q$646</f>
        <v>6.6284108368419832E-3</v>
      </c>
      <c r="S334" s="22">
        <f t="shared" ref="S334:S336" ca="1" si="867">R334*S$676</f>
        <v>115200.79257853076</v>
      </c>
      <c r="T334" s="2">
        <v>670461.66909987421</v>
      </c>
      <c r="U334" s="21">
        <f t="shared" ref="U334:U336" ca="1" si="868">T334/T$646</f>
        <v>7.9914764842381157E-3</v>
      </c>
      <c r="V334" s="22">
        <f t="shared" ref="V334:V336" ca="1" si="869">U334*V$676</f>
        <v>141807.37448012861</v>
      </c>
      <c r="W334" s="2">
        <v>672083.8698704883</v>
      </c>
      <c r="X334" s="21">
        <f t="shared" ref="X334:X336" ca="1" si="870">W334/W$646</f>
        <v>7.6891439382049068E-3</v>
      </c>
      <c r="Y334" s="22">
        <f t="shared" ref="Y334:Y336" ca="1" si="871">X334*Y$676</f>
        <v>139171.38623033089</v>
      </c>
      <c r="Z334" s="2">
        <v>2422395.1406498561</v>
      </c>
      <c r="AA334" s="21">
        <f t="shared" ref="AA334:AA336" ca="1" si="872">Z334/Z$646</f>
        <v>2.0870895780322689E-2</v>
      </c>
      <c r="AB334" s="22">
        <f t="shared" ref="AB334:AB336" ca="1" si="873">AA334*AB$676</f>
        <v>384557.09613925859</v>
      </c>
      <c r="AC334" s="2">
        <v>1289659.691289135</v>
      </c>
      <c r="AD334" s="21">
        <f t="shared" ref="AD334:AD336" ca="1" si="874">AC334/AC$646</f>
        <v>1.2395114503339249E-2</v>
      </c>
      <c r="AE334" s="22">
        <f t="shared" ref="AE334:AE336" ca="1" si="875">AD334*AE$676</f>
        <v>232725.76541579107</v>
      </c>
      <c r="AF334" s="2">
        <v>672437.47829257033</v>
      </c>
      <c r="AG334" s="21">
        <f t="shared" ref="AG334:AG336" ca="1" si="876">AF334/AF$646</f>
        <v>7.1434275387141687E-3</v>
      </c>
      <c r="AH334" s="22">
        <f t="shared" ref="AH334:AH336" ca="1" si="877">AG334*AH$676</f>
        <v>136536.36801268879</v>
      </c>
      <c r="AI334" s="2">
        <v>679952.74031353625</v>
      </c>
      <c r="AJ334" s="21">
        <f t="shared" ref="AJ334:AJ336" ca="1" si="878">AI334/AI$646</f>
        <v>5.5035141240595865E-3</v>
      </c>
      <c r="AK334" s="22">
        <f t="shared" ref="AK334:AK336" ca="1" si="879">AJ334*AK$676</f>
        <v>107085.22798822916</v>
      </c>
      <c r="AL334" s="2">
        <v>9260639.5838510077</v>
      </c>
    </row>
    <row r="335" spans="1:38" ht="12.75" x14ac:dyDescent="0.2">
      <c r="A335" s="8" t="s">
        <v>16</v>
      </c>
      <c r="B335" s="8" t="s">
        <v>17</v>
      </c>
      <c r="C335" s="8" t="s">
        <v>18</v>
      </c>
      <c r="D335" s="8" t="s">
        <v>31</v>
      </c>
      <c r="E335" s="8" t="s">
        <v>127</v>
      </c>
      <c r="F335" s="8" t="s">
        <v>24</v>
      </c>
      <c r="G335" s="8" t="s">
        <v>695</v>
      </c>
      <c r="H335" s="20">
        <v>172000</v>
      </c>
      <c r="I335" s="21">
        <f t="shared" si="860"/>
        <v>2.0947739240685334E-3</v>
      </c>
      <c r="J335" s="22">
        <f t="shared" si="861"/>
        <v>4507.1993659828195</v>
      </c>
      <c r="K335" s="2">
        <v>172000</v>
      </c>
      <c r="L335" s="21">
        <f t="shared" ca="1" si="862"/>
        <v>2.7234030967747225E-3</v>
      </c>
      <c r="M335" s="22">
        <f t="shared" ca="1" si="863"/>
        <v>10588.627461521308</v>
      </c>
      <c r="N335" s="2">
        <v>160000</v>
      </c>
      <c r="O335" s="21">
        <f t="shared" ca="1" si="864"/>
        <v>1.7068522020449715E-3</v>
      </c>
      <c r="P335" s="22">
        <f t="shared" ca="1" si="865"/>
        <v>28997.885562068357</v>
      </c>
      <c r="Q335" s="2">
        <v>160000</v>
      </c>
      <c r="R335" s="21">
        <f t="shared" ca="1" si="866"/>
        <v>1.4385571908515512E-3</v>
      </c>
      <c r="S335" s="22">
        <f t="shared" ca="1" si="867"/>
        <v>25001.909603207379</v>
      </c>
      <c r="T335" s="2">
        <v>160000</v>
      </c>
      <c r="U335" s="21">
        <f t="shared" ca="1" si="868"/>
        <v>1.9070981927941189E-3</v>
      </c>
      <c r="V335" s="22">
        <f t="shared" ca="1" si="869"/>
        <v>33841.129124177751</v>
      </c>
      <c r="W335" s="2">
        <v>160000</v>
      </c>
      <c r="X335" s="21">
        <f t="shared" ca="1" si="870"/>
        <v>1.8305200961746915E-3</v>
      </c>
      <c r="Y335" s="22">
        <f t="shared" ca="1" si="871"/>
        <v>33131.90926772861</v>
      </c>
      <c r="Z335" s="2">
        <v>160000</v>
      </c>
      <c r="AA335" s="21">
        <f t="shared" ca="1" si="872"/>
        <v>1.3785295672099904E-3</v>
      </c>
      <c r="AB335" s="22">
        <f t="shared" ca="1" si="873"/>
        <v>25400.12335302776</v>
      </c>
      <c r="AC335" s="2">
        <v>160000</v>
      </c>
      <c r="AD335" s="21">
        <f t="shared" ca="1" si="874"/>
        <v>1.53778421852657E-3</v>
      </c>
      <c r="AE335" s="22">
        <f t="shared" ca="1" si="875"/>
        <v>28872.828016595293</v>
      </c>
      <c r="AF335" s="2">
        <v>160000</v>
      </c>
      <c r="AG335" s="21">
        <f t="shared" ca="1" si="876"/>
        <v>1.6997095538107149E-3</v>
      </c>
      <c r="AH335" s="22">
        <f t="shared" ca="1" si="877"/>
        <v>32487.509377824008</v>
      </c>
      <c r="AI335" s="2">
        <v>160000</v>
      </c>
      <c r="AJ335" s="21">
        <f t="shared" ca="1" si="878"/>
        <v>1.2950345040796418E-3</v>
      </c>
      <c r="AK335" s="22">
        <f t="shared" ca="1" si="879"/>
        <v>25198.275501053344</v>
      </c>
      <c r="AL335" s="2">
        <v>1600000</v>
      </c>
    </row>
    <row r="336" spans="1:38" ht="12.75" x14ac:dyDescent="0.2">
      <c r="A336" s="8" t="s">
        <v>16</v>
      </c>
      <c r="B336" s="8" t="s">
        <v>17</v>
      </c>
      <c r="C336" s="8" t="s">
        <v>18</v>
      </c>
      <c r="D336" s="8" t="s">
        <v>31</v>
      </c>
      <c r="E336" s="8" t="s">
        <v>127</v>
      </c>
      <c r="F336" s="8" t="s">
        <v>24</v>
      </c>
      <c r="G336" s="8" t="s">
        <v>696</v>
      </c>
      <c r="H336" s="20">
        <v>425000</v>
      </c>
      <c r="I336" s="21">
        <f t="shared" si="860"/>
        <v>5.176040219355387E-3</v>
      </c>
      <c r="J336" s="22">
        <f t="shared" si="861"/>
        <v>11136.975177573824</v>
      </c>
      <c r="K336" s="2">
        <v>425000</v>
      </c>
      <c r="L336" s="21">
        <f t="shared" ca="1" si="862"/>
        <v>6.7293390472631222E-3</v>
      </c>
      <c r="M336" s="22">
        <f t="shared" ca="1" si="863"/>
        <v>26163.759715968346</v>
      </c>
      <c r="N336" s="2">
        <v>0</v>
      </c>
      <c r="O336" s="21">
        <f t="shared" ca="1" si="864"/>
        <v>0</v>
      </c>
      <c r="P336" s="22">
        <f t="shared" ca="1" si="865"/>
        <v>0</v>
      </c>
      <c r="Q336" s="2">
        <v>0</v>
      </c>
      <c r="R336" s="21">
        <f t="shared" ca="1" si="866"/>
        <v>0</v>
      </c>
      <c r="S336" s="22">
        <f t="shared" ca="1" si="867"/>
        <v>0</v>
      </c>
      <c r="T336" s="2">
        <v>0</v>
      </c>
      <c r="U336" s="21">
        <f t="shared" ca="1" si="868"/>
        <v>0</v>
      </c>
      <c r="V336" s="22">
        <f t="shared" ca="1" si="869"/>
        <v>0</v>
      </c>
      <c r="W336" s="2">
        <v>0</v>
      </c>
      <c r="X336" s="21">
        <f t="shared" ca="1" si="870"/>
        <v>0</v>
      </c>
      <c r="Y336" s="22">
        <f t="shared" ca="1" si="871"/>
        <v>0</v>
      </c>
      <c r="Z336" s="2">
        <v>0</v>
      </c>
      <c r="AA336" s="21">
        <f t="shared" ca="1" si="872"/>
        <v>0</v>
      </c>
      <c r="AB336" s="22">
        <f t="shared" ca="1" si="873"/>
        <v>0</v>
      </c>
      <c r="AC336" s="2">
        <v>0</v>
      </c>
      <c r="AD336" s="21">
        <f t="shared" ca="1" si="874"/>
        <v>0</v>
      </c>
      <c r="AE336" s="22">
        <f t="shared" ca="1" si="875"/>
        <v>0</v>
      </c>
      <c r="AF336" s="2">
        <v>75859.380484910478</v>
      </c>
      <c r="AG336" s="21">
        <f t="shared" ca="1" si="876"/>
        <v>8.0586821097727781E-4</v>
      </c>
      <c r="AH336" s="22">
        <f t="shared" ca="1" si="877"/>
        <v>15403.014593121554</v>
      </c>
      <c r="AI336" s="2">
        <v>0</v>
      </c>
      <c r="AJ336" s="21">
        <f t="shared" ca="1" si="878"/>
        <v>0</v>
      </c>
      <c r="AK336" s="22">
        <f t="shared" ca="1" si="879"/>
        <v>0</v>
      </c>
      <c r="AL336" s="2">
        <v>75859.380484910478</v>
      </c>
    </row>
    <row r="337" spans="1:38" ht="12.75" x14ac:dyDescent="0.2">
      <c r="A337" s="8" t="s">
        <v>16</v>
      </c>
      <c r="B337" s="8" t="s">
        <v>17</v>
      </c>
      <c r="C337" s="8" t="s">
        <v>18</v>
      </c>
      <c r="D337" s="8" t="s">
        <v>31</v>
      </c>
      <c r="E337" s="8" t="s">
        <v>127</v>
      </c>
      <c r="F337" s="23" t="s">
        <v>37</v>
      </c>
      <c r="G337" s="8" t="s">
        <v>697</v>
      </c>
      <c r="H337" s="20">
        <v>0</v>
      </c>
      <c r="I337" s="21">
        <f t="shared" ref="I337:I338" si="880">H337/H$649</f>
        <v>0</v>
      </c>
      <c r="J337" s="22">
        <f t="shared" ref="J337:J338" si="881">I337*J$679</f>
        <v>0</v>
      </c>
      <c r="K337" s="2">
        <v>0</v>
      </c>
      <c r="L337" s="21">
        <f t="shared" ref="L337:L338" ca="1" si="882">K337/K$649</f>
        <v>0</v>
      </c>
      <c r="M337" s="22">
        <f t="shared" ref="M337:M338" ca="1" si="883">L337*M$679</f>
        <v>0</v>
      </c>
      <c r="N337" s="2">
        <v>0</v>
      </c>
      <c r="O337" s="21">
        <f t="shared" ref="O337:O338" ca="1" si="884">N337/N$649</f>
        <v>0</v>
      </c>
      <c r="P337" s="22">
        <f t="shared" ref="P337:P338" ca="1" si="885">O337*P$679</f>
        <v>0</v>
      </c>
      <c r="Q337" s="2">
        <v>0</v>
      </c>
      <c r="R337" s="21">
        <f t="shared" ref="R337:R338" ca="1" si="886">Q337/Q$649</f>
        <v>0</v>
      </c>
      <c r="S337" s="22">
        <f t="shared" ref="S337:S338" ca="1" si="887">R337*S$679</f>
        <v>0</v>
      </c>
      <c r="T337" s="2">
        <v>0</v>
      </c>
      <c r="U337" s="21">
        <f t="shared" ref="U337:U338" ca="1" si="888">T337/T$649</f>
        <v>0</v>
      </c>
      <c r="V337" s="22">
        <f t="shared" ref="V337:V338" ca="1" si="889">U337*V$679</f>
        <v>0</v>
      </c>
      <c r="W337" s="2">
        <v>26156.077557577479</v>
      </c>
      <c r="X337" s="21">
        <f t="shared" ref="X337:X338" ca="1" si="890">W337/W$649</f>
        <v>2.9410583628193326E-4</v>
      </c>
      <c r="Y337" s="22">
        <f t="shared" ref="Y337:Y338" ca="1" si="891">X337*Y$679</f>
        <v>77614.607738746985</v>
      </c>
      <c r="Z337" s="2">
        <v>0</v>
      </c>
      <c r="AA337" s="21">
        <f t="shared" ref="AA337:AA338" ca="1" si="892">Z337/Z$649</f>
        <v>0</v>
      </c>
      <c r="AB337" s="22">
        <f t="shared" ref="AB337:AB338" ca="1" si="893">AA337*AB$679</f>
        <v>0</v>
      </c>
      <c r="AC337" s="2">
        <v>0</v>
      </c>
      <c r="AD337" s="21">
        <f t="shared" ref="AD337:AD338" ca="1" si="894">AC337/AC$649</f>
        <v>0</v>
      </c>
      <c r="AE337" s="22">
        <f t="shared" ref="AE337:AE338" ca="1" si="895">AD337*AE$679</f>
        <v>0</v>
      </c>
      <c r="AF337" s="2">
        <v>87974.646716491945</v>
      </c>
      <c r="AG337" s="21">
        <f t="shared" ref="AG337:AG338" ca="1" si="896">AF337/AF$649</f>
        <v>8.679060555917326E-4</v>
      </c>
      <c r="AH337" s="22">
        <f t="shared" ref="AH337:AH338" ca="1" si="897">AG337*AH$679</f>
        <v>241870.15487110344</v>
      </c>
      <c r="AI337" s="2">
        <v>0</v>
      </c>
      <c r="AJ337" s="21">
        <f t="shared" ref="AJ337:AJ338" ca="1" si="898">AI337/AI$649</f>
        <v>0</v>
      </c>
      <c r="AK337" s="22">
        <f t="shared" ref="AK337:AK338" ca="1" si="899">AJ337*AK$679</f>
        <v>0</v>
      </c>
      <c r="AL337" s="2">
        <v>124681.40601929426</v>
      </c>
    </row>
    <row r="338" spans="1:38" ht="12.75" x14ac:dyDescent="0.2">
      <c r="A338" s="8" t="s">
        <v>16</v>
      </c>
      <c r="B338" s="8" t="s">
        <v>17</v>
      </c>
      <c r="C338" s="8" t="s">
        <v>18</v>
      </c>
      <c r="D338" s="8" t="s">
        <v>31</v>
      </c>
      <c r="E338" s="8" t="s">
        <v>127</v>
      </c>
      <c r="F338" s="23" t="s">
        <v>37</v>
      </c>
      <c r="G338" s="8" t="s">
        <v>698</v>
      </c>
      <c r="H338" s="20">
        <v>610000</v>
      </c>
      <c r="I338" s="21">
        <f t="shared" si="880"/>
        <v>8.6095716330490107E-3</v>
      </c>
      <c r="J338" s="22">
        <f t="shared" si="881"/>
        <v>414581.06789902697</v>
      </c>
      <c r="K338" s="2">
        <v>610000</v>
      </c>
      <c r="L338" s="21">
        <f t="shared" ca="1" si="882"/>
        <v>7.2725168848717797E-3</v>
      </c>
      <c r="M338" s="22">
        <f t="shared" ca="1" si="883"/>
        <v>664216.1084176373</v>
      </c>
      <c r="N338" s="2">
        <v>0</v>
      </c>
      <c r="O338" s="21">
        <f t="shared" ca="1" si="884"/>
        <v>0</v>
      </c>
      <c r="P338" s="22">
        <f t="shared" ca="1" si="885"/>
        <v>0</v>
      </c>
      <c r="Q338" s="2">
        <v>0</v>
      </c>
      <c r="R338" s="21">
        <f t="shared" ca="1" si="886"/>
        <v>0</v>
      </c>
      <c r="S338" s="22">
        <f t="shared" ca="1" si="887"/>
        <v>0</v>
      </c>
      <c r="T338" s="2">
        <v>0</v>
      </c>
      <c r="U338" s="21">
        <f t="shared" ca="1" si="888"/>
        <v>0</v>
      </c>
      <c r="V338" s="22">
        <f t="shared" ca="1" si="889"/>
        <v>0</v>
      </c>
      <c r="W338" s="2">
        <v>0</v>
      </c>
      <c r="X338" s="21">
        <f t="shared" ca="1" si="890"/>
        <v>0</v>
      </c>
      <c r="Y338" s="22">
        <f t="shared" ca="1" si="891"/>
        <v>0</v>
      </c>
      <c r="Z338" s="2">
        <v>171684.29086251196</v>
      </c>
      <c r="AA338" s="21">
        <f t="shared" ca="1" si="892"/>
        <v>1.7775548423369545E-3</v>
      </c>
      <c r="AB338" s="22">
        <f t="shared" ca="1" si="893"/>
        <v>477540.94101828657</v>
      </c>
      <c r="AC338" s="2">
        <v>0</v>
      </c>
      <c r="AD338" s="21">
        <f t="shared" ca="1" si="894"/>
        <v>0</v>
      </c>
      <c r="AE338" s="22">
        <f t="shared" ca="1" si="895"/>
        <v>0</v>
      </c>
      <c r="AF338" s="2">
        <v>23542.566357386007</v>
      </c>
      <c r="AG338" s="21">
        <f t="shared" ca="1" si="896"/>
        <v>2.3225709529237749E-4</v>
      </c>
      <c r="AH338" s="22">
        <f t="shared" ca="1" si="897"/>
        <v>64725.968031159209</v>
      </c>
      <c r="AI338" s="2">
        <v>0</v>
      </c>
      <c r="AJ338" s="21">
        <f t="shared" ca="1" si="898"/>
        <v>0</v>
      </c>
      <c r="AK338" s="22">
        <f t="shared" ca="1" si="899"/>
        <v>0</v>
      </c>
      <c r="AL338" s="2">
        <v>195226.85721989797</v>
      </c>
    </row>
    <row r="339" spans="1:38" ht="12.75" x14ac:dyDescent="0.2">
      <c r="A339" s="8" t="s">
        <v>16</v>
      </c>
      <c r="B339" s="8" t="s">
        <v>17</v>
      </c>
      <c r="C339" s="8" t="s">
        <v>18</v>
      </c>
      <c r="D339" s="8" t="s">
        <v>31</v>
      </c>
      <c r="E339" s="8" t="s">
        <v>127</v>
      </c>
      <c r="F339" s="8" t="s">
        <v>25</v>
      </c>
      <c r="G339" s="8" t="s">
        <v>699</v>
      </c>
      <c r="H339" s="20">
        <v>0</v>
      </c>
      <c r="I339" s="21">
        <f>H339/H$652</f>
        <v>0</v>
      </c>
      <c r="J339" s="22">
        <f>I339*J$682</f>
        <v>0</v>
      </c>
      <c r="K339" s="2">
        <v>0</v>
      </c>
      <c r="L339" s="21">
        <f ca="1">K339/K$652</f>
        <v>0</v>
      </c>
      <c r="M339" s="22">
        <f ca="1">L339*M$682</f>
        <v>0</v>
      </c>
      <c r="N339" s="2">
        <v>0</v>
      </c>
      <c r="O339" s="21">
        <f ca="1">N339/N$652</f>
        <v>0</v>
      </c>
      <c r="P339" s="22">
        <f ca="1">O339*P$682</f>
        <v>0</v>
      </c>
      <c r="Q339" s="2">
        <v>0</v>
      </c>
      <c r="R339" s="21">
        <f ca="1">Q339/Q$652</f>
        <v>0</v>
      </c>
      <c r="S339" s="22">
        <f ca="1">R339*S$682</f>
        <v>0</v>
      </c>
      <c r="T339" s="2">
        <v>0</v>
      </c>
      <c r="U339" s="21">
        <f ca="1">T339/T$652</f>
        <v>0</v>
      </c>
      <c r="V339" s="22">
        <f ca="1">U339*V$682</f>
        <v>0</v>
      </c>
      <c r="W339" s="2">
        <v>0</v>
      </c>
      <c r="X339" s="21">
        <f ca="1">W339/W$652</f>
        <v>0</v>
      </c>
      <c r="Y339" s="22">
        <f ca="1">X339*Y$682</f>
        <v>0</v>
      </c>
      <c r="Z339" s="2">
        <v>0</v>
      </c>
      <c r="AA339" s="21">
        <f ca="1">Z339/Z$652</f>
        <v>0</v>
      </c>
      <c r="AB339" s="22">
        <f ca="1">AA339*AB$682</f>
        <v>0</v>
      </c>
      <c r="AC339" s="2">
        <v>0</v>
      </c>
      <c r="AD339" s="21">
        <f ca="1">AC339/AC$652</f>
        <v>0</v>
      </c>
      <c r="AE339" s="22">
        <f ca="1">AD339*AE$682</f>
        <v>0</v>
      </c>
      <c r="AF339" s="2">
        <v>0</v>
      </c>
      <c r="AG339" s="21">
        <f ca="1">AF339/AF$652</f>
        <v>0</v>
      </c>
      <c r="AH339" s="22">
        <f ca="1">AG339*AH$682</f>
        <v>0</v>
      </c>
      <c r="AI339" s="2">
        <v>0</v>
      </c>
      <c r="AJ339" s="21">
        <f ca="1">AI339/AI$652</f>
        <v>0</v>
      </c>
      <c r="AK339" s="22">
        <f ca="1">AJ339*AK$682</f>
        <v>0</v>
      </c>
      <c r="AL339" s="2">
        <v>0</v>
      </c>
    </row>
    <row r="340" spans="1:38" ht="12.75" x14ac:dyDescent="0.2">
      <c r="A340" s="8" t="s">
        <v>16</v>
      </c>
      <c r="B340" s="8" t="s">
        <v>17</v>
      </c>
      <c r="C340" s="8" t="s">
        <v>18</v>
      </c>
      <c r="D340" s="8" t="s">
        <v>31</v>
      </c>
      <c r="E340" s="8" t="s">
        <v>127</v>
      </c>
      <c r="F340" s="8" t="s">
        <v>26</v>
      </c>
      <c r="G340" s="8" t="s">
        <v>700</v>
      </c>
      <c r="H340" s="20">
        <v>500000</v>
      </c>
      <c r="I340" s="21">
        <f>H340/H$655</f>
        <v>1.2606470200206735E-2</v>
      </c>
      <c r="J340" s="22">
        <f>I340*J$685</f>
        <v>30425.438485854549</v>
      </c>
      <c r="K340" s="2">
        <v>500000</v>
      </c>
      <c r="L340" s="21">
        <f ca="1">K340/K$655</f>
        <v>1.2594117199280169E-2</v>
      </c>
      <c r="M340" s="22">
        <f ca="1">L340*M$685</f>
        <v>34848.048231580222</v>
      </c>
      <c r="N340" s="2">
        <v>0</v>
      </c>
      <c r="O340" s="21">
        <f ca="1">N340/N$655</f>
        <v>0</v>
      </c>
      <c r="P340" s="22">
        <f ca="1">O340*P$685</f>
        <v>0</v>
      </c>
      <c r="Q340" s="2">
        <v>0</v>
      </c>
      <c r="R340" s="21">
        <f ca="1">Q340/Q$655</f>
        <v>0</v>
      </c>
      <c r="S340" s="22">
        <f ca="1">R340*S$685</f>
        <v>0</v>
      </c>
      <c r="T340" s="2">
        <v>0</v>
      </c>
      <c r="U340" s="21">
        <f ca="1">T340/T$655</f>
        <v>0</v>
      </c>
      <c r="V340" s="22">
        <f ca="1">U340*V$685</f>
        <v>0</v>
      </c>
      <c r="W340" s="2">
        <v>0</v>
      </c>
      <c r="X340" s="21">
        <f ca="1">W340/W$655</f>
        <v>0</v>
      </c>
      <c r="Y340" s="22">
        <f ca="1">X340*Y$685</f>
        <v>0</v>
      </c>
      <c r="Z340" s="2">
        <v>0</v>
      </c>
      <c r="AA340" s="21">
        <f ca="1">Z340/Z$655</f>
        <v>0</v>
      </c>
      <c r="AB340" s="22">
        <f ca="1">AA340*AB$685</f>
        <v>0</v>
      </c>
      <c r="AC340" s="2">
        <v>0</v>
      </c>
      <c r="AD340" s="21">
        <f ca="1">AC340/AC$655</f>
        <v>0</v>
      </c>
      <c r="AE340" s="22">
        <f ca="1">AD340*AE$685</f>
        <v>0</v>
      </c>
      <c r="AF340" s="2">
        <v>0</v>
      </c>
      <c r="AG340" s="21">
        <f ca="1">AF340/AF$655</f>
        <v>0</v>
      </c>
      <c r="AH340" s="22">
        <f ca="1">AG340*AH$685</f>
        <v>0</v>
      </c>
      <c r="AI340" s="2">
        <v>0</v>
      </c>
      <c r="AJ340" s="21">
        <f ca="1">AI340/AI$655</f>
        <v>0</v>
      </c>
      <c r="AK340" s="22">
        <f ca="1">AJ340*AK$685</f>
        <v>0</v>
      </c>
      <c r="AL340" s="2">
        <v>1056927.766576238</v>
      </c>
    </row>
    <row r="341" spans="1:38" ht="12.75" x14ac:dyDescent="0.2">
      <c r="A341" s="8" t="s">
        <v>16</v>
      </c>
      <c r="B341" s="8" t="s">
        <v>17</v>
      </c>
      <c r="C341" s="8" t="s">
        <v>18</v>
      </c>
      <c r="D341" s="8" t="s">
        <v>31</v>
      </c>
      <c r="E341" s="8" t="s">
        <v>127</v>
      </c>
      <c r="F341" s="8" t="s">
        <v>27</v>
      </c>
      <c r="G341" s="8" t="s">
        <v>701</v>
      </c>
      <c r="H341" s="20">
        <v>528463.88328811899</v>
      </c>
      <c r="I341" s="21">
        <f>H341/H$657</f>
        <v>1.0361377761792676E-2</v>
      </c>
      <c r="J341" s="22">
        <f>I341*J$687</f>
        <v>107478.37465689795</v>
      </c>
      <c r="K341" s="2">
        <v>0</v>
      </c>
      <c r="L341" s="21">
        <f ca="1">K341/K$657</f>
        <v>0</v>
      </c>
      <c r="M341" s="22">
        <f ca="1">L341*M$687</f>
        <v>0</v>
      </c>
      <c r="N341" s="2">
        <v>0</v>
      </c>
      <c r="O341" s="21">
        <f ca="1">N341/N$657</f>
        <v>0</v>
      </c>
      <c r="P341" s="22">
        <f ca="1">O341*P$687</f>
        <v>0</v>
      </c>
      <c r="Q341" s="2">
        <v>0</v>
      </c>
      <c r="R341" s="21">
        <f ca="1">Q341/Q$657</f>
        <v>0</v>
      </c>
      <c r="S341" s="22">
        <f ca="1">R341*S$687</f>
        <v>0</v>
      </c>
      <c r="T341" s="2">
        <v>0</v>
      </c>
      <c r="U341" s="21">
        <f ca="1">T341/T$657</f>
        <v>0</v>
      </c>
      <c r="V341" s="22">
        <f ca="1">U341*V$687</f>
        <v>0</v>
      </c>
      <c r="W341" s="2">
        <v>0</v>
      </c>
      <c r="X341" s="21">
        <f ca="1">W341/W$657</f>
        <v>0</v>
      </c>
      <c r="Y341" s="22">
        <f ca="1">X341*Y$687</f>
        <v>0</v>
      </c>
      <c r="Z341" s="2">
        <v>0</v>
      </c>
      <c r="AA341" s="21">
        <f ca="1">Z341/Z$657</f>
        <v>0</v>
      </c>
      <c r="AB341" s="22">
        <f ca="1">AA341*AB$687</f>
        <v>0</v>
      </c>
      <c r="AC341" s="2">
        <v>0</v>
      </c>
      <c r="AD341" s="21">
        <f ca="1">AC341/AC$657</f>
        <v>0</v>
      </c>
      <c r="AE341" s="22">
        <f ca="1">AD341*AE$687</f>
        <v>0</v>
      </c>
      <c r="AF341" s="2">
        <v>0</v>
      </c>
      <c r="AG341" s="21">
        <f ca="1">AF341/AF$657</f>
        <v>0</v>
      </c>
      <c r="AH341" s="22">
        <f ca="1">AG341*AH$687</f>
        <v>0</v>
      </c>
      <c r="AI341" s="2">
        <v>0</v>
      </c>
      <c r="AJ341" s="21">
        <f ca="1">AI341/AI$657</f>
        <v>0</v>
      </c>
      <c r="AK341" s="22">
        <f ca="1">AJ341*AK$687</f>
        <v>0</v>
      </c>
      <c r="AL341" s="2">
        <v>0</v>
      </c>
    </row>
    <row r="342" spans="1:38" ht="12.75" x14ac:dyDescent="0.2">
      <c r="A342" s="8" t="s">
        <v>16</v>
      </c>
      <c r="B342" s="8" t="s">
        <v>17</v>
      </c>
      <c r="C342" s="8" t="s">
        <v>18</v>
      </c>
      <c r="D342" s="8" t="s">
        <v>31</v>
      </c>
      <c r="E342" s="8" t="s">
        <v>127</v>
      </c>
      <c r="F342" s="8" t="s">
        <v>28</v>
      </c>
      <c r="G342" s="8" t="s">
        <v>702</v>
      </c>
      <c r="H342" s="20">
        <v>49367.206718393318</v>
      </c>
      <c r="I342" s="21">
        <f>H342/H$669</f>
        <v>5.8103471203126526E-3</v>
      </c>
      <c r="J342" s="22">
        <f>I342*J$699</f>
        <v>64756.12110408242</v>
      </c>
      <c r="K342" s="2">
        <v>271193.54981591512</v>
      </c>
      <c r="L342" s="21">
        <f ca="1">K342/K$669</f>
        <v>3.7383536578150224E-2</v>
      </c>
      <c r="M342" s="22">
        <f ca="1">L342*M$699</f>
        <v>177187.60814079992</v>
      </c>
      <c r="N342" s="2">
        <v>18000</v>
      </c>
      <c r="O342" s="21">
        <f ca="1">N342/N$669</f>
        <v>6.3819750938043178E-4</v>
      </c>
      <c r="P342" s="22">
        <f ca="1">O342*P$699</f>
        <v>3103.5262797871251</v>
      </c>
      <c r="Q342" s="2">
        <v>18000</v>
      </c>
      <c r="R342" s="21">
        <f ca="1">Q342/Q$669</f>
        <v>4.7618061263539119E-4</v>
      </c>
      <c r="S342" s="22">
        <f ca="1">R342*S$699</f>
        <v>2368.90511170126</v>
      </c>
      <c r="T342" s="2">
        <v>18000</v>
      </c>
      <c r="U342" s="21">
        <f ca="1">T342/T$669</f>
        <v>6.3053427639042008E-4</v>
      </c>
      <c r="V342" s="22">
        <f ca="1">U342*V$699</f>
        <v>3202.6567723312969</v>
      </c>
      <c r="W342" s="2">
        <v>18000</v>
      </c>
      <c r="X342" s="21">
        <f ca="1">W342/W$669</f>
        <v>6.4530493302417352E-4</v>
      </c>
      <c r="Y342" s="22">
        <f ca="1">X342*Y$699</f>
        <v>3343.2346121033597</v>
      </c>
      <c r="Z342" s="2">
        <v>18000</v>
      </c>
      <c r="AA342" s="21">
        <f ca="1">Z342/Z$669</f>
        <v>6.118441410082017E-4</v>
      </c>
      <c r="AB342" s="22">
        <f ca="1">AA342*AB$699</f>
        <v>3226.9367533337218</v>
      </c>
      <c r="AC342" s="2">
        <v>18000</v>
      </c>
      <c r="AD342" s="21">
        <f ca="1">AC342/AC$669</f>
        <v>5.7076389520443604E-4</v>
      </c>
      <c r="AE342" s="22">
        <f ca="1">AD342*AE$699</f>
        <v>3067.4700033008235</v>
      </c>
      <c r="AF342" s="2">
        <v>18000</v>
      </c>
      <c r="AG342" s="21">
        <f ca="1">AF342/AF$669</f>
        <v>4.4843820287470933E-4</v>
      </c>
      <c r="AH342" s="22">
        <f ca="1">AG342*AH$699</f>
        <v>2453.433058627124</v>
      </c>
      <c r="AI342" s="2">
        <v>18000</v>
      </c>
      <c r="AJ342" s="21">
        <f ca="1">AI342/AI$669</f>
        <v>4.1144750238512396E-4</v>
      </c>
      <c r="AK342" s="22">
        <f ca="1">AJ342*AK$699</f>
        <v>2291.5736392486201</v>
      </c>
      <c r="AL342" s="2">
        <v>180000</v>
      </c>
    </row>
    <row r="343" spans="1:38" ht="12.75" x14ac:dyDescent="0.2">
      <c r="A343" s="8" t="s">
        <v>16</v>
      </c>
      <c r="B343" s="8" t="s">
        <v>17</v>
      </c>
      <c r="C343" s="8" t="s">
        <v>18</v>
      </c>
      <c r="D343" s="8" t="s">
        <v>31</v>
      </c>
      <c r="E343" s="8" t="s">
        <v>127</v>
      </c>
      <c r="F343" s="8" t="s">
        <v>34</v>
      </c>
      <c r="G343" s="8" t="s">
        <v>703</v>
      </c>
      <c r="H343" s="20">
        <v>0</v>
      </c>
      <c r="I343" s="21">
        <f>H343/H$653</f>
        <v>0</v>
      </c>
      <c r="J343" s="22">
        <f>I343*J$683</f>
        <v>0</v>
      </c>
      <c r="K343" s="2">
        <v>0</v>
      </c>
      <c r="L343" s="21">
        <f ca="1">K343/K$653</f>
        <v>0</v>
      </c>
      <c r="M343" s="22">
        <f ca="1">L343*M$683</f>
        <v>0</v>
      </c>
      <c r="N343" s="2">
        <v>0</v>
      </c>
      <c r="O343" s="21">
        <f ca="1">N343/N$653</f>
        <v>0</v>
      </c>
      <c r="P343" s="22">
        <f ca="1">O343*P$683</f>
        <v>0</v>
      </c>
      <c r="Q343" s="2">
        <v>0</v>
      </c>
      <c r="R343" s="21">
        <f ca="1">Q343/Q$653</f>
        <v>0</v>
      </c>
      <c r="S343" s="22">
        <f ca="1">R343*S$683</f>
        <v>0</v>
      </c>
      <c r="T343" s="2">
        <v>0</v>
      </c>
      <c r="U343" s="21">
        <f ca="1">T343/T$653</f>
        <v>0</v>
      </c>
      <c r="V343" s="22">
        <f ca="1">U343*V$683</f>
        <v>0</v>
      </c>
      <c r="W343" s="2">
        <v>587177.25129255559</v>
      </c>
      <c r="X343" s="21">
        <f ca="1">W343/W$653</f>
        <v>5.2794974755643737E-2</v>
      </c>
      <c r="Y343" s="22">
        <f ca="1">X343*Y$683</f>
        <v>88913.22071140405</v>
      </c>
      <c r="Z343" s="2">
        <v>0</v>
      </c>
      <c r="AA343" s="21">
        <f ca="1">Z343/Z$653</f>
        <v>0</v>
      </c>
      <c r="AB343" s="22">
        <f ca="1">AA343*AB$683</f>
        <v>0</v>
      </c>
      <c r="AC343" s="2">
        <v>0</v>
      </c>
      <c r="AD343" s="21">
        <f ca="1">AC343/AC$653</f>
        <v>0</v>
      </c>
      <c r="AE343" s="22">
        <f ca="1">AD343*AE$683</f>
        <v>0</v>
      </c>
      <c r="AF343" s="2">
        <v>0</v>
      </c>
      <c r="AG343" s="21">
        <f ca="1">AF343/AF$653</f>
        <v>0</v>
      </c>
      <c r="AH343" s="22">
        <f ca="1">AG343*AH$683</f>
        <v>0</v>
      </c>
      <c r="AI343" s="2">
        <v>0</v>
      </c>
      <c r="AJ343" s="21">
        <f ca="1">AI343/AI$653</f>
        <v>0</v>
      </c>
      <c r="AK343" s="22">
        <f ca="1">AJ343*AK$683</f>
        <v>0</v>
      </c>
      <c r="AL343" s="2">
        <v>587177.25129255559</v>
      </c>
    </row>
    <row r="344" spans="1:38" ht="12.75" x14ac:dyDescent="0.2">
      <c r="A344" s="8" t="s">
        <v>16</v>
      </c>
      <c r="B344" s="8" t="s">
        <v>17</v>
      </c>
      <c r="C344" s="8" t="s">
        <v>18</v>
      </c>
      <c r="D344" s="8" t="s">
        <v>31</v>
      </c>
      <c r="E344" s="8" t="s">
        <v>127</v>
      </c>
      <c r="F344" s="8" t="s">
        <v>55</v>
      </c>
      <c r="G344" s="8" t="s">
        <v>704</v>
      </c>
      <c r="H344" s="20">
        <v>0</v>
      </c>
      <c r="I344" s="21">
        <f>H344/H$654</f>
        <v>0</v>
      </c>
      <c r="J344" s="22">
        <f>I344*J$684</f>
        <v>0</v>
      </c>
      <c r="K344" s="2">
        <v>0</v>
      </c>
      <c r="L344" s="21">
        <f ca="1">K344/K$654</f>
        <v>0</v>
      </c>
      <c r="M344" s="22">
        <f ca="1">L344*M$684</f>
        <v>0</v>
      </c>
      <c r="N344" s="2">
        <v>40000</v>
      </c>
      <c r="O344" s="21">
        <f ca="1">N344/N$654</f>
        <v>1.4637100389047388E-2</v>
      </c>
      <c r="P344" s="22">
        <f ca="1">O344*P$684</f>
        <v>44749.533070123987</v>
      </c>
      <c r="Q344" s="2">
        <v>40000</v>
      </c>
      <c r="R344" s="21">
        <f ca="1">Q344/Q$654</f>
        <v>1.3032276548980941E-2</v>
      </c>
      <c r="S344" s="22">
        <f ca="1">R344*S$684</f>
        <v>40759.549653020949</v>
      </c>
      <c r="T344" s="2">
        <v>40000</v>
      </c>
      <c r="U344" s="21">
        <f ca="1">T344/T$654</f>
        <v>7.1566343291345931E-3</v>
      </c>
      <c r="V344" s="22">
        <f ca="1">U344*V$684</f>
        <v>22853.023122221362</v>
      </c>
      <c r="W344" s="2">
        <v>53078.038778788738</v>
      </c>
      <c r="X344" s="21">
        <f ca="1">W344/W$654</f>
        <v>2.3033500067020974E-2</v>
      </c>
      <c r="Y344" s="22">
        <f ca="1">X344*Y$684</f>
        <v>75023.088640850983</v>
      </c>
      <c r="Z344" s="2">
        <v>40000</v>
      </c>
      <c r="AA344" s="21">
        <f ca="1">Z344/Z$654</f>
        <v>2.0334364569915823E-2</v>
      </c>
      <c r="AB344" s="22">
        <f ca="1">AA344*AB$684</f>
        <v>67423.825083931006</v>
      </c>
      <c r="AC344" s="2">
        <v>161326.12045710452</v>
      </c>
      <c r="AD344" s="21">
        <f ca="1">AC344/AC$654</f>
        <v>6.288681431138364E-2</v>
      </c>
      <c r="AE344" s="22">
        <f ca="1">AD344*AE$684</f>
        <v>212479.26783549652</v>
      </c>
      <c r="AF344" s="2">
        <v>137339.7095838142</v>
      </c>
      <c r="AG344" s="21">
        <f ca="1">AF344/AF$654</f>
        <v>5.002543649685548E-2</v>
      </c>
      <c r="AH344" s="22">
        <f ca="1">AG344*AH$684</f>
        <v>172066.22523078637</v>
      </c>
      <c r="AI344" s="2">
        <v>70985.593427796121</v>
      </c>
      <c r="AJ344" s="21">
        <f ca="1">AI344/AI$654</f>
        <v>3.3950707884867169E-2</v>
      </c>
      <c r="AK344" s="22">
        <f ca="1">AJ344*AK$684</f>
        <v>118877.96331818112</v>
      </c>
      <c r="AL344" s="2">
        <v>662729.46224750357</v>
      </c>
    </row>
    <row r="345" spans="1:38" ht="12.75" x14ac:dyDescent="0.2">
      <c r="A345" s="8" t="s">
        <v>16</v>
      </c>
      <c r="B345" s="8" t="s">
        <v>17</v>
      </c>
      <c r="C345" s="8" t="s">
        <v>18</v>
      </c>
      <c r="D345" s="8" t="s">
        <v>31</v>
      </c>
      <c r="E345" s="8" t="s">
        <v>128</v>
      </c>
      <c r="F345" s="8" t="s">
        <v>21</v>
      </c>
      <c r="G345" s="8" t="s">
        <v>705</v>
      </c>
      <c r="H345" s="20">
        <v>100000</v>
      </c>
      <c r="I345" s="21">
        <f>H345/H$645</f>
        <v>6.618496646318299E-3</v>
      </c>
      <c r="J345" s="22">
        <f>I345*J$675</f>
        <v>934.53172646014377</v>
      </c>
      <c r="K345" s="2">
        <v>100000</v>
      </c>
      <c r="L345" s="21">
        <f ca="1">K345/K$645</f>
        <v>6.5364027641787491E-3</v>
      </c>
      <c r="M345" s="22">
        <f ca="1">L345*M$675</f>
        <v>2820.1963366325631</v>
      </c>
      <c r="N345" s="2">
        <v>500000</v>
      </c>
      <c r="O345" s="21">
        <f ca="1">N345/N$645</f>
        <v>2.3015683136120336E-2</v>
      </c>
      <c r="P345" s="22">
        <f ca="1">O345*P$675</f>
        <v>10188.535658704153</v>
      </c>
      <c r="Q345" s="2">
        <v>500000</v>
      </c>
      <c r="R345" s="21">
        <f ca="1">Q345/Q$645</f>
        <v>1.980416665711596E-2</v>
      </c>
      <c r="S345" s="22">
        <f ca="1">R345*S$675</f>
        <v>8968.5060004665374</v>
      </c>
      <c r="T345" s="2">
        <v>500000</v>
      </c>
      <c r="U345" s="21">
        <f ca="1">T345/T$645</f>
        <v>2.4223451051999859E-2</v>
      </c>
      <c r="V345" s="22">
        <f ca="1">U345*V$675</f>
        <v>11200.187373532754</v>
      </c>
      <c r="W345" s="2">
        <v>587988.51110618946</v>
      </c>
      <c r="X345" s="21">
        <f ca="1">W345/W$645</f>
        <v>2.8445957452314388E-2</v>
      </c>
      <c r="Y345" s="22">
        <f ca="1">X345*Y$675</f>
        <v>13415.597115788154</v>
      </c>
      <c r="Z345" s="2">
        <v>559889.8689055274</v>
      </c>
      <c r="AA345" s="21">
        <f ca="1">Z345/Z$645</f>
        <v>2.7214507034755281E-2</v>
      </c>
      <c r="AB345" s="22">
        <f ca="1">AA345*AB$675</f>
        <v>13065.850835878922</v>
      </c>
      <c r="AC345" s="2">
        <v>508766.10924739036</v>
      </c>
      <c r="AD345" s="21">
        <f ca="1">AC345/AC$645</f>
        <v>2.1423221959979193E-2</v>
      </c>
      <c r="AE345" s="22">
        <f ca="1">AD345*AE$675</f>
        <v>10480.842603823336</v>
      </c>
      <c r="AF345" s="2">
        <v>733463.78304407792</v>
      </c>
      <c r="AG345" s="21">
        <f ca="1">AF345/AF$645</f>
        <v>3.3625736868610562E-2</v>
      </c>
      <c r="AH345" s="22">
        <f ca="1">AG345*AH$675</f>
        <v>16746.767633283704</v>
      </c>
      <c r="AI345" s="2">
        <v>1267740.6996582453</v>
      </c>
      <c r="AJ345" s="21">
        <f ca="1">AI345/AI$645</f>
        <v>4.972261619098757E-2</v>
      </c>
      <c r="AK345" s="22">
        <f ca="1">AJ345*AK$675</f>
        <v>25209.308730595916</v>
      </c>
      <c r="AL345" s="2">
        <v>6157848.9719614303</v>
      </c>
    </row>
    <row r="346" spans="1:38" ht="12.75" x14ac:dyDescent="0.2">
      <c r="A346" s="8" t="s">
        <v>16</v>
      </c>
      <c r="B346" s="8" t="s">
        <v>17</v>
      </c>
      <c r="C346" s="8" t="s">
        <v>18</v>
      </c>
      <c r="D346" s="8" t="s">
        <v>31</v>
      </c>
      <c r="E346" s="8" t="s">
        <v>128</v>
      </c>
      <c r="F346" s="8" t="s">
        <v>24</v>
      </c>
      <c r="G346" s="8" t="s">
        <v>706</v>
      </c>
      <c r="H346" s="20">
        <v>0</v>
      </c>
      <c r="I346" s="21">
        <f>H346/H$646</f>
        <v>0</v>
      </c>
      <c r="J346" s="22">
        <f>I346*J$676</f>
        <v>0</v>
      </c>
      <c r="K346" s="2">
        <v>0</v>
      </c>
      <c r="L346" s="21">
        <f ca="1">K346/K$646</f>
        <v>0</v>
      </c>
      <c r="M346" s="22">
        <f ca="1">L346*M$676</f>
        <v>0</v>
      </c>
      <c r="N346" s="2">
        <v>1167051.173993336</v>
      </c>
      <c r="O346" s="21">
        <f ca="1">N346/N$646</f>
        <v>1.2449899163935593E-2</v>
      </c>
      <c r="P346" s="22">
        <f ca="1">O346*P$676</f>
        <v>211512.60242835179</v>
      </c>
      <c r="Q346" s="2">
        <v>0</v>
      </c>
      <c r="R346" s="21">
        <f ca="1">Q346/Q$646</f>
        <v>0</v>
      </c>
      <c r="S346" s="22">
        <f ca="1">R346*S$676</f>
        <v>0</v>
      </c>
      <c r="T346" s="2">
        <v>0</v>
      </c>
      <c r="U346" s="21">
        <f ca="1">T346/T$646</f>
        <v>0</v>
      </c>
      <c r="V346" s="22">
        <f ca="1">U346*V$676</f>
        <v>0</v>
      </c>
      <c r="W346" s="2">
        <v>0</v>
      </c>
      <c r="X346" s="21">
        <f ca="1">W346/W$646</f>
        <v>0</v>
      </c>
      <c r="Y346" s="22">
        <f ca="1">X346*Y$676</f>
        <v>0</v>
      </c>
      <c r="Z346" s="2">
        <v>1216355.5981857616</v>
      </c>
      <c r="AA346" s="21">
        <f ca="1">Z346/Z$646</f>
        <v>1.0479888477127918E-2</v>
      </c>
      <c r="AB346" s="22">
        <f ca="1">AA346*AB$676</f>
        <v>193097.38896915133</v>
      </c>
      <c r="AC346" s="2">
        <v>1031772.3786150211</v>
      </c>
      <c r="AD346" s="21">
        <f ca="1">AC346/AC$646</f>
        <v>9.9165205059112537E-3</v>
      </c>
      <c r="AE346" s="22">
        <f ca="1">AD346*AE$676</f>
        <v>186188.66525015593</v>
      </c>
      <c r="AF346" s="2">
        <v>-330380.68121531699</v>
      </c>
      <c r="AG346" s="21">
        <f ca="1">AF346/AF$646</f>
        <v>-3.5096950016010407E-3</v>
      </c>
      <c r="AH346" s="22">
        <f ca="1">AG346*AH$676</f>
        <v>-67082.784245215589</v>
      </c>
      <c r="AI346" s="2">
        <v>1467324.0678396781</v>
      </c>
      <c r="AJ346" s="21">
        <f ca="1">AI346/AI$646</f>
        <v>1.1876470603243001E-2</v>
      </c>
      <c r="AK346" s="22">
        <f ca="1">AJ346*AK$676</f>
        <v>231087.72569219058</v>
      </c>
      <c r="AL346" s="2">
        <v>5080586.420706599</v>
      </c>
    </row>
    <row r="347" spans="1:38" ht="12.75" x14ac:dyDescent="0.2">
      <c r="A347" s="8" t="s">
        <v>16</v>
      </c>
      <c r="B347" s="8" t="s">
        <v>17</v>
      </c>
      <c r="C347" s="8" t="s">
        <v>18</v>
      </c>
      <c r="D347" s="8" t="s">
        <v>31</v>
      </c>
      <c r="E347" s="8" t="s">
        <v>128</v>
      </c>
      <c r="F347" s="8" t="s">
        <v>25</v>
      </c>
      <c r="G347" s="8" t="s">
        <v>707</v>
      </c>
      <c r="H347" s="20">
        <v>0</v>
      </c>
      <c r="I347" s="21">
        <f>H347/H$652</f>
        <v>0</v>
      </c>
      <c r="J347" s="22">
        <f>I347*J$682</f>
        <v>0</v>
      </c>
      <c r="K347" s="2">
        <v>0</v>
      </c>
      <c r="L347" s="21">
        <f ca="1">K347/K$652</f>
        <v>0</v>
      </c>
      <c r="M347" s="22">
        <f ca="1">L347*M$682</f>
        <v>0</v>
      </c>
      <c r="N347" s="2">
        <v>0</v>
      </c>
      <c r="O347" s="21">
        <f ca="1">N347/N$652</f>
        <v>0</v>
      </c>
      <c r="P347" s="22">
        <f ca="1">O347*P$682</f>
        <v>0</v>
      </c>
      <c r="Q347" s="2">
        <v>0</v>
      </c>
      <c r="R347" s="21">
        <f ca="1">Q347/Q$652</f>
        <v>0</v>
      </c>
      <c r="S347" s="22">
        <f ca="1">R347*S$682</f>
        <v>0</v>
      </c>
      <c r="T347" s="2">
        <v>0</v>
      </c>
      <c r="U347" s="21">
        <f ca="1">T347/T$652</f>
        <v>0</v>
      </c>
      <c r="V347" s="22">
        <f ca="1">U347*V$682</f>
        <v>0</v>
      </c>
      <c r="W347" s="2">
        <v>0</v>
      </c>
      <c r="X347" s="21">
        <f ca="1">W347/W$652</f>
        <v>0</v>
      </c>
      <c r="Y347" s="22">
        <f ca="1">X347*Y$682</f>
        <v>0</v>
      </c>
      <c r="Z347" s="2">
        <v>0</v>
      </c>
      <c r="AA347" s="21">
        <f ca="1">Z347/Z$652</f>
        <v>0</v>
      </c>
      <c r="AB347" s="22">
        <f ca="1">AA347*AB$682</f>
        <v>0</v>
      </c>
      <c r="AC347" s="2">
        <v>0</v>
      </c>
      <c r="AD347" s="21">
        <f ca="1">AC347/AC$652</f>
        <v>0</v>
      </c>
      <c r="AE347" s="22">
        <f ca="1">AD347*AE$682</f>
        <v>0</v>
      </c>
      <c r="AF347" s="2">
        <v>0</v>
      </c>
      <c r="AG347" s="21">
        <f ca="1">AF347/AF$652</f>
        <v>0</v>
      </c>
      <c r="AH347" s="22">
        <f ca="1">AG347*AH$682</f>
        <v>0</v>
      </c>
      <c r="AI347" s="2">
        <v>0</v>
      </c>
      <c r="AJ347" s="21">
        <f ca="1">AI347/AI$652</f>
        <v>0</v>
      </c>
      <c r="AK347" s="22">
        <f ca="1">AJ347*AK$682</f>
        <v>0</v>
      </c>
      <c r="AL347" s="2">
        <v>320560.75653430843</v>
      </c>
    </row>
    <row r="348" spans="1:38" ht="12.75" x14ac:dyDescent="0.2">
      <c r="A348" s="8" t="s">
        <v>16</v>
      </c>
      <c r="B348" s="8" t="s">
        <v>17</v>
      </c>
      <c r="C348" s="8" t="s">
        <v>18</v>
      </c>
      <c r="D348" s="8" t="s">
        <v>31</v>
      </c>
      <c r="E348" s="8" t="s">
        <v>128</v>
      </c>
      <c r="F348" s="8" t="s">
        <v>26</v>
      </c>
      <c r="G348" s="8" t="s">
        <v>708</v>
      </c>
      <c r="H348" s="20">
        <v>299903.25376600755</v>
      </c>
      <c r="I348" s="21">
        <f>H348/H$655</f>
        <v>7.5614428630924246E-3</v>
      </c>
      <c r="J348" s="22">
        <f>I348*J$685</f>
        <v>18249.375998330579</v>
      </c>
      <c r="K348" s="2">
        <v>5642108.946780799</v>
      </c>
      <c r="L348" s="21">
        <f ca="1">K348/K$655</f>
        <v>0.14211476265372916</v>
      </c>
      <c r="M348" s="22">
        <f ca="1">L348*M$685</f>
        <v>393232.96941049513</v>
      </c>
      <c r="N348" s="2">
        <v>0</v>
      </c>
      <c r="O348" s="21">
        <f ca="1">N348/N$655</f>
        <v>0</v>
      </c>
      <c r="P348" s="22">
        <f ca="1">O348*P$685</f>
        <v>0</v>
      </c>
      <c r="Q348" s="2">
        <v>0</v>
      </c>
      <c r="R348" s="21">
        <f ca="1">Q348/Q$655</f>
        <v>0</v>
      </c>
      <c r="S348" s="22">
        <f ca="1">R348*S$685</f>
        <v>0</v>
      </c>
      <c r="T348" s="2">
        <v>0</v>
      </c>
      <c r="U348" s="21">
        <f ca="1">T348/T$655</f>
        <v>0</v>
      </c>
      <c r="V348" s="22">
        <f ca="1">U348*V$685</f>
        <v>0</v>
      </c>
      <c r="W348" s="2">
        <v>0</v>
      </c>
      <c r="X348" s="21">
        <f ca="1">W348/W$655</f>
        <v>0</v>
      </c>
      <c r="Y348" s="22">
        <f ca="1">X348*Y$685</f>
        <v>0</v>
      </c>
      <c r="Z348" s="2">
        <v>0</v>
      </c>
      <c r="AA348" s="21">
        <f ca="1">Z348/Z$655</f>
        <v>0</v>
      </c>
      <c r="AB348" s="22">
        <f ca="1">AA348*AB$685</f>
        <v>0</v>
      </c>
      <c r="AC348" s="2">
        <v>0</v>
      </c>
      <c r="AD348" s="21">
        <f ca="1">AC348/AC$655</f>
        <v>0</v>
      </c>
      <c r="AE348" s="22">
        <f ca="1">AD348*AE$685</f>
        <v>0</v>
      </c>
      <c r="AF348" s="2">
        <v>0</v>
      </c>
      <c r="AG348" s="21">
        <f ca="1">AF348/AF$655</f>
        <v>0</v>
      </c>
      <c r="AH348" s="22">
        <f ca="1">AG348*AH$685</f>
        <v>0</v>
      </c>
      <c r="AI348" s="2">
        <v>0</v>
      </c>
      <c r="AJ348" s="21">
        <f ca="1">AI348/AI$655</f>
        <v>0</v>
      </c>
      <c r="AK348" s="22">
        <f ca="1">AJ348*AK$685</f>
        <v>0</v>
      </c>
      <c r="AL348" s="2">
        <v>0</v>
      </c>
    </row>
    <row r="349" spans="1:38" ht="12.75" x14ac:dyDescent="0.2">
      <c r="A349" s="8" t="s">
        <v>16</v>
      </c>
      <c r="B349" s="8" t="s">
        <v>17</v>
      </c>
      <c r="C349" s="8" t="s">
        <v>18</v>
      </c>
      <c r="D349" s="8" t="s">
        <v>31</v>
      </c>
      <c r="E349" s="8" t="s">
        <v>128</v>
      </c>
      <c r="F349" s="8" t="s">
        <v>27</v>
      </c>
      <c r="G349" s="8" t="s">
        <v>709</v>
      </c>
      <c r="H349" s="20">
        <v>400000</v>
      </c>
      <c r="I349" s="21">
        <f>H349/H$657</f>
        <v>7.8426383254983148E-3</v>
      </c>
      <c r="J349" s="22">
        <f>I349*J$687</f>
        <v>81351.538340265834</v>
      </c>
      <c r="K349" s="2">
        <v>400000</v>
      </c>
      <c r="L349" s="21">
        <f ca="1">K349/K$657</f>
        <v>1.0241093090410953E-2</v>
      </c>
      <c r="M349" s="22">
        <f ca="1">L349*M$687</f>
        <v>160852.23043810105</v>
      </c>
      <c r="N349" s="2">
        <v>0</v>
      </c>
      <c r="O349" s="21">
        <f ca="1">N349/N$657</f>
        <v>0</v>
      </c>
      <c r="P349" s="22">
        <f ca="1">O349*P$687</f>
        <v>0</v>
      </c>
      <c r="Q349" s="2">
        <v>0</v>
      </c>
      <c r="R349" s="21">
        <f ca="1">Q349/Q$657</f>
        <v>0</v>
      </c>
      <c r="S349" s="22">
        <f ca="1">R349*S$687</f>
        <v>0</v>
      </c>
      <c r="T349" s="2">
        <v>0</v>
      </c>
      <c r="U349" s="21">
        <f ca="1">T349/T$657</f>
        <v>0</v>
      </c>
      <c r="V349" s="22">
        <f ca="1">U349*V$687</f>
        <v>0</v>
      </c>
      <c r="W349" s="2">
        <v>0</v>
      </c>
      <c r="X349" s="21">
        <f ca="1">W349/W$657</f>
        <v>0</v>
      </c>
      <c r="Y349" s="22">
        <f ca="1">X349*Y$687</f>
        <v>0</v>
      </c>
      <c r="Z349" s="2">
        <v>0</v>
      </c>
      <c r="AA349" s="21">
        <f ca="1">Z349/Z$657</f>
        <v>0</v>
      </c>
      <c r="AB349" s="22">
        <f ca="1">AA349*AB$687</f>
        <v>0</v>
      </c>
      <c r="AC349" s="2">
        <v>0</v>
      </c>
      <c r="AD349" s="21">
        <f ca="1">AC349/AC$657</f>
        <v>0</v>
      </c>
      <c r="AE349" s="22">
        <f ca="1">AD349*AE$687</f>
        <v>0</v>
      </c>
      <c r="AF349" s="2">
        <v>0</v>
      </c>
      <c r="AG349" s="21">
        <f ca="1">AF349/AF$657</f>
        <v>0</v>
      </c>
      <c r="AH349" s="22">
        <f ca="1">AG349*AH$687</f>
        <v>0</v>
      </c>
      <c r="AI349" s="2">
        <v>0</v>
      </c>
      <c r="AJ349" s="21">
        <f ca="1">AI349/AI$657</f>
        <v>0</v>
      </c>
      <c r="AK349" s="22">
        <f ca="1">AJ349*AK$687</f>
        <v>0</v>
      </c>
      <c r="AL349" s="2">
        <v>0</v>
      </c>
    </row>
    <row r="350" spans="1:38" ht="12.75" x14ac:dyDescent="0.2">
      <c r="A350" s="8" t="s">
        <v>16</v>
      </c>
      <c r="B350" s="8" t="s">
        <v>17</v>
      </c>
      <c r="C350" s="8" t="s">
        <v>18</v>
      </c>
      <c r="D350" s="8" t="s">
        <v>31</v>
      </c>
      <c r="E350" s="8" t="s">
        <v>128</v>
      </c>
      <c r="F350" s="8" t="s">
        <v>28</v>
      </c>
      <c r="G350" s="8" t="s">
        <v>710</v>
      </c>
      <c r="H350" s="20">
        <v>0</v>
      </c>
      <c r="I350" s="21">
        <f>H350/H$669</f>
        <v>0</v>
      </c>
      <c r="J350" s="22">
        <f>I350*J$699</f>
        <v>0</v>
      </c>
      <c r="K350" s="2">
        <v>0</v>
      </c>
      <c r="L350" s="21">
        <f ca="1">K350/K$669</f>
        <v>0</v>
      </c>
      <c r="M350" s="22">
        <f ca="1">L350*M$699</f>
        <v>0</v>
      </c>
      <c r="N350" s="2">
        <v>100000</v>
      </c>
      <c r="O350" s="21">
        <f ca="1">N350/N$669</f>
        <v>3.545541718780177E-3</v>
      </c>
      <c r="P350" s="22">
        <f ca="1">O350*P$699</f>
        <v>17241.812665484031</v>
      </c>
      <c r="Q350" s="2">
        <v>100000</v>
      </c>
      <c r="R350" s="21">
        <f ca="1">Q350/Q$669</f>
        <v>2.6454478479743956E-3</v>
      </c>
      <c r="S350" s="22">
        <f ca="1">R350*S$699</f>
        <v>13160.58395389589</v>
      </c>
      <c r="T350" s="2">
        <v>100000</v>
      </c>
      <c r="U350" s="21">
        <f ca="1">T350/T$669</f>
        <v>3.5029682021690007E-3</v>
      </c>
      <c r="V350" s="22">
        <f ca="1">U350*V$699</f>
        <v>17792.537624062763</v>
      </c>
      <c r="W350" s="2">
        <v>100000</v>
      </c>
      <c r="X350" s="21">
        <f ca="1">W350/W$669</f>
        <v>3.585027405689853E-3</v>
      </c>
      <c r="Y350" s="22">
        <f ca="1">X350*Y$699</f>
        <v>18573.525622796446</v>
      </c>
      <c r="Z350" s="2">
        <v>100000</v>
      </c>
      <c r="AA350" s="21">
        <f ca="1">Z350/Z$669</f>
        <v>3.3991341167122317E-3</v>
      </c>
      <c r="AB350" s="22">
        <f ca="1">AA350*AB$699</f>
        <v>17927.426407409566</v>
      </c>
      <c r="AC350" s="2">
        <v>100000</v>
      </c>
      <c r="AD350" s="21">
        <f ca="1">AC350/AC$669</f>
        <v>3.1709105289135335E-3</v>
      </c>
      <c r="AE350" s="22">
        <f ca="1">AD350*AE$699</f>
        <v>17041.500018337909</v>
      </c>
      <c r="AF350" s="2">
        <v>100000</v>
      </c>
      <c r="AG350" s="21">
        <f ca="1">AF350/AF$669</f>
        <v>2.4913233493039405E-3</v>
      </c>
      <c r="AH350" s="22">
        <f ca="1">AG350*AH$699</f>
        <v>13630.183659039578</v>
      </c>
      <c r="AI350" s="2">
        <v>100000</v>
      </c>
      <c r="AJ350" s="21">
        <f ca="1">AI350/AI$669</f>
        <v>2.2858194576951332E-3</v>
      </c>
      <c r="AK350" s="22">
        <f ca="1">AJ350*AK$699</f>
        <v>12730.964662492333</v>
      </c>
      <c r="AL350" s="2">
        <v>1000000</v>
      </c>
    </row>
    <row r="351" spans="1:38" ht="12.75" x14ac:dyDescent="0.2">
      <c r="A351" s="8" t="s">
        <v>16</v>
      </c>
      <c r="B351" s="8" t="s">
        <v>17</v>
      </c>
      <c r="C351" s="8" t="s">
        <v>18</v>
      </c>
      <c r="D351" s="8" t="s">
        <v>31</v>
      </c>
      <c r="E351" s="8" t="s">
        <v>128</v>
      </c>
      <c r="F351" s="8" t="s">
        <v>34</v>
      </c>
      <c r="G351" s="8" t="s">
        <v>711</v>
      </c>
      <c r="H351" s="20">
        <v>150000</v>
      </c>
      <c r="I351" s="21">
        <f>H351/H$653</f>
        <v>6.704144337028084E-2</v>
      </c>
      <c r="J351" s="22">
        <f>I351*J$683</f>
        <v>141267.45006078121</v>
      </c>
      <c r="K351" s="2">
        <v>150000</v>
      </c>
      <c r="L351" s="21">
        <f ca="1">K351/K$653</f>
        <v>4.4978189912051693E-2</v>
      </c>
      <c r="M351" s="22">
        <f ca="1">L351*M$683</f>
        <v>69298.976674055928</v>
      </c>
      <c r="N351" s="2">
        <v>0</v>
      </c>
      <c r="O351" s="21">
        <f ca="1">N351/N$653</f>
        <v>0</v>
      </c>
      <c r="P351" s="22">
        <f ca="1">O351*P$683</f>
        <v>0</v>
      </c>
      <c r="Q351" s="2">
        <v>0</v>
      </c>
      <c r="R351" s="21">
        <f ca="1">Q351/Q$653</f>
        <v>0</v>
      </c>
      <c r="S351" s="22">
        <f ca="1">R351*S$683</f>
        <v>0</v>
      </c>
      <c r="T351" s="2">
        <v>0</v>
      </c>
      <c r="U351" s="21">
        <f ca="1">T351/T$653</f>
        <v>0</v>
      </c>
      <c r="V351" s="22">
        <f ca="1">U351*V$683</f>
        <v>0</v>
      </c>
      <c r="W351" s="2">
        <v>0</v>
      </c>
      <c r="X351" s="21">
        <f ca="1">W351/W$653</f>
        <v>0</v>
      </c>
      <c r="Y351" s="22">
        <f ca="1">X351*Y$683</f>
        <v>0</v>
      </c>
      <c r="Z351" s="2">
        <v>0</v>
      </c>
      <c r="AA351" s="21">
        <f ca="1">Z351/Z$653</f>
        <v>0</v>
      </c>
      <c r="AB351" s="22">
        <f ca="1">AA351*AB$683</f>
        <v>0</v>
      </c>
      <c r="AC351" s="2">
        <v>0</v>
      </c>
      <c r="AD351" s="21">
        <f ca="1">AC351/AC$653</f>
        <v>0</v>
      </c>
      <c r="AE351" s="22">
        <f ca="1">AD351*AE$683</f>
        <v>0</v>
      </c>
      <c r="AF351" s="2">
        <v>0</v>
      </c>
      <c r="AG351" s="21">
        <f ca="1">AF351/AF$653</f>
        <v>0</v>
      </c>
      <c r="AH351" s="22">
        <f ca="1">AG351*AH$683</f>
        <v>0</v>
      </c>
      <c r="AI351" s="2">
        <v>0</v>
      </c>
      <c r="AJ351" s="21">
        <f ca="1">AI351/AI$653</f>
        <v>0</v>
      </c>
      <c r="AK351" s="22">
        <f ca="1">AJ351*AK$683</f>
        <v>0</v>
      </c>
      <c r="AL351" s="2">
        <v>0</v>
      </c>
    </row>
    <row r="352" spans="1:38" ht="12.75" x14ac:dyDescent="0.2">
      <c r="A352" s="8" t="s">
        <v>16</v>
      </c>
      <c r="B352" s="8" t="s">
        <v>17</v>
      </c>
      <c r="C352" s="8" t="s">
        <v>18</v>
      </c>
      <c r="D352" s="8" t="s">
        <v>31</v>
      </c>
      <c r="E352" s="8" t="s">
        <v>129</v>
      </c>
      <c r="F352" s="8" t="s">
        <v>21</v>
      </c>
      <c r="G352" s="8" t="s">
        <v>712</v>
      </c>
      <c r="H352" s="20">
        <v>0</v>
      </c>
      <c r="I352" s="21">
        <f t="shared" ref="I352:I353" si="900">H352/H$645</f>
        <v>0</v>
      </c>
      <c r="J352" s="22">
        <f t="shared" ref="J352:J353" si="901">I352*J$675</f>
        <v>0</v>
      </c>
      <c r="K352" s="2">
        <v>0</v>
      </c>
      <c r="L352" s="21">
        <f t="shared" ref="L352:L353" ca="1" si="902">K352/K$645</f>
        <v>0</v>
      </c>
      <c r="M352" s="22">
        <f t="shared" ref="M352:M353" ca="1" si="903">L352*M$675</f>
        <v>0</v>
      </c>
      <c r="N352" s="2">
        <v>150000</v>
      </c>
      <c r="O352" s="21">
        <f t="shared" ref="O352:O353" ca="1" si="904">N352/N$645</f>
        <v>6.9047049408361011E-3</v>
      </c>
      <c r="P352" s="22">
        <f t="shared" ref="P352:P353" ca="1" si="905">O352*P$675</f>
        <v>3056.5606976112463</v>
      </c>
      <c r="Q352" s="2">
        <v>150000</v>
      </c>
      <c r="R352" s="21">
        <f t="shared" ref="R352:R353" ca="1" si="906">Q352/Q$645</f>
        <v>5.9412499971347879E-3</v>
      </c>
      <c r="S352" s="22">
        <f t="shared" ref="S352:S353" ca="1" si="907">R352*S$675</f>
        <v>2690.5518001399614</v>
      </c>
      <c r="T352" s="2">
        <v>150000</v>
      </c>
      <c r="U352" s="21">
        <f t="shared" ref="U352:U353" ca="1" si="908">T352/T$645</f>
        <v>7.2670353155999574E-3</v>
      </c>
      <c r="V352" s="22">
        <f t="shared" ref="V352:V353" ca="1" si="909">U352*V$675</f>
        <v>3360.0562120598261</v>
      </c>
      <c r="W352" s="2">
        <v>150000</v>
      </c>
      <c r="X352" s="21">
        <f t="shared" ref="X352:X353" ca="1" si="910">W352/W$645</f>
        <v>7.2567635884922361E-3</v>
      </c>
      <c r="Y352" s="22">
        <f t="shared" ref="Y352:Y353" ca="1" si="911">X352*Y$675</f>
        <v>3422.4130733139427</v>
      </c>
      <c r="Z352" s="2">
        <v>150000</v>
      </c>
      <c r="AA352" s="21">
        <f t="shared" ref="AA352:AA353" ca="1" si="912">Z352/Z$645</f>
        <v>7.2910339727938443E-3</v>
      </c>
      <c r="AB352" s="22">
        <f t="shared" ref="AB352:AB353" ca="1" si="913">AA352*AB$675</f>
        <v>3500.4698856455584</v>
      </c>
      <c r="AC352" s="2">
        <v>150000</v>
      </c>
      <c r="AD352" s="21">
        <f t="shared" ref="AD352:AD353" ca="1" si="914">AC352/AC$645</f>
        <v>6.3162290797052776E-3</v>
      </c>
      <c r="AE352" s="22">
        <f t="shared" ref="AE352:AE353" ca="1" si="915">AD352*AE$675</f>
        <v>3090.076878153543</v>
      </c>
      <c r="AF352" s="2">
        <v>150000</v>
      </c>
      <c r="AG352" s="21">
        <f t="shared" ref="AG352:AG353" ca="1" si="916">AF352/AF$645</f>
        <v>6.8767683516126263E-3</v>
      </c>
      <c r="AH352" s="22">
        <f t="shared" ref="AH352:AH353" ca="1" si="917">AG352*AH$675</f>
        <v>3424.86596211608</v>
      </c>
      <c r="AI352" s="2">
        <v>150000</v>
      </c>
      <c r="AJ352" s="21">
        <f t="shared" ref="AJ352:AJ353" ca="1" si="918">AI352/AI$645</f>
        <v>5.8832160477759786E-3</v>
      </c>
      <c r="AK352" s="22">
        <f t="shared" ref="AK352:AK353" ca="1" si="919">AJ352*AK$675</f>
        <v>2982.7837116918058</v>
      </c>
      <c r="AL352" s="2">
        <v>1500000</v>
      </c>
    </row>
    <row r="353" spans="1:38" ht="12.75" x14ac:dyDescent="0.2">
      <c r="A353" s="8" t="s">
        <v>16</v>
      </c>
      <c r="B353" s="8" t="s">
        <v>17</v>
      </c>
      <c r="C353" s="8" t="s">
        <v>18</v>
      </c>
      <c r="D353" s="8" t="s">
        <v>130</v>
      </c>
      <c r="E353" s="8" t="s">
        <v>131</v>
      </c>
      <c r="F353" s="8" t="s">
        <v>21</v>
      </c>
      <c r="G353" s="8" t="s">
        <v>713</v>
      </c>
      <c r="H353" s="20">
        <v>200000</v>
      </c>
      <c r="I353" s="21">
        <f t="shared" si="900"/>
        <v>1.3236993292636598E-2</v>
      </c>
      <c r="J353" s="22">
        <f t="shared" si="901"/>
        <v>1869.0634529202875</v>
      </c>
      <c r="K353" s="2">
        <v>200000</v>
      </c>
      <c r="L353" s="21">
        <f t="shared" ca="1" si="902"/>
        <v>1.3072805528357498E-2</v>
      </c>
      <c r="M353" s="22">
        <f t="shared" ca="1" si="903"/>
        <v>5640.3926732651262</v>
      </c>
      <c r="N353" s="2">
        <v>200000</v>
      </c>
      <c r="O353" s="21">
        <f t="shared" ca="1" si="904"/>
        <v>9.2062732544481354E-3</v>
      </c>
      <c r="P353" s="22">
        <f t="shared" ca="1" si="905"/>
        <v>4075.4142634816617</v>
      </c>
      <c r="Q353" s="2">
        <v>200000</v>
      </c>
      <c r="R353" s="21">
        <f t="shared" ca="1" si="906"/>
        <v>7.9216666628463828E-3</v>
      </c>
      <c r="S353" s="22">
        <f t="shared" ca="1" si="907"/>
        <v>3587.4024001866146</v>
      </c>
      <c r="T353" s="2">
        <v>200000</v>
      </c>
      <c r="U353" s="21">
        <f t="shared" ca="1" si="908"/>
        <v>9.6893804207999444E-3</v>
      </c>
      <c r="V353" s="22">
        <f t="shared" ca="1" si="909"/>
        <v>4480.0749494131014</v>
      </c>
      <c r="W353" s="2">
        <v>200000</v>
      </c>
      <c r="X353" s="21">
        <f t="shared" ca="1" si="910"/>
        <v>9.6756847846563142E-3</v>
      </c>
      <c r="Y353" s="22">
        <f t="shared" ca="1" si="911"/>
        <v>4563.217431085257</v>
      </c>
      <c r="Z353" s="2">
        <v>200000</v>
      </c>
      <c r="AA353" s="21">
        <f t="shared" ca="1" si="912"/>
        <v>9.7213786303917919E-3</v>
      </c>
      <c r="AB353" s="22">
        <f t="shared" ca="1" si="913"/>
        <v>4667.2931808607445</v>
      </c>
      <c r="AC353" s="2">
        <v>200000</v>
      </c>
      <c r="AD353" s="21">
        <f t="shared" ca="1" si="914"/>
        <v>8.4216387729403701E-3</v>
      </c>
      <c r="AE353" s="22">
        <f t="shared" ca="1" si="915"/>
        <v>4120.102504204724</v>
      </c>
      <c r="AF353" s="2">
        <v>200000</v>
      </c>
      <c r="AG353" s="21">
        <f t="shared" ca="1" si="916"/>
        <v>9.1690244688168339E-3</v>
      </c>
      <c r="AH353" s="22">
        <f t="shared" ca="1" si="917"/>
        <v>4566.4879494881061</v>
      </c>
      <c r="AI353" s="2">
        <v>200000</v>
      </c>
      <c r="AJ353" s="21">
        <f t="shared" ca="1" si="918"/>
        <v>7.8442880637013043E-3</v>
      </c>
      <c r="AK353" s="22">
        <f t="shared" ca="1" si="919"/>
        <v>3977.0449489224075</v>
      </c>
      <c r="AL353" s="2">
        <v>2000000</v>
      </c>
    </row>
    <row r="354" spans="1:38" ht="12.75" x14ac:dyDescent="0.2">
      <c r="A354" s="8" t="s">
        <v>16</v>
      </c>
      <c r="B354" s="8" t="s">
        <v>17</v>
      </c>
      <c r="C354" s="8" t="s">
        <v>18</v>
      </c>
      <c r="D354" s="8" t="s">
        <v>130</v>
      </c>
      <c r="E354" s="8" t="s">
        <v>131</v>
      </c>
      <c r="F354" s="8" t="s">
        <v>24</v>
      </c>
      <c r="G354" s="8" t="s">
        <v>714</v>
      </c>
      <c r="H354" s="20">
        <v>25756.008511754699</v>
      </c>
      <c r="I354" s="21">
        <f>H354/H$646</f>
        <v>3.1368031987506355E-4</v>
      </c>
      <c r="J354" s="22">
        <f>I354*J$676</f>
        <v>674.9271234559817</v>
      </c>
      <c r="K354" s="2">
        <v>17809.550785939533</v>
      </c>
      <c r="L354" s="21">
        <f ca="1">K354/K$646</f>
        <v>2.8199177768950241E-4</v>
      </c>
      <c r="M354" s="22">
        <f ca="1">L354*M$676</f>
        <v>1096.3877821474287</v>
      </c>
      <c r="N354" s="2">
        <v>27716.800774611664</v>
      </c>
      <c r="O354" s="21">
        <f ca="1">N354/N$646</f>
        <v>2.9567801522367308E-4</v>
      </c>
      <c r="P354" s="22">
        <f ca="1">O354*P$676</f>
        <v>5023.3038563052287</v>
      </c>
      <c r="Q354" s="2">
        <v>18407.958398685689</v>
      </c>
      <c r="R354" s="21">
        <f ca="1">Q354/Q$646</f>
        <v>1.6550563077078438E-4</v>
      </c>
      <c r="S354" s="22">
        <f ca="1">R354*S$676</f>
        <v>2876.4631991471351</v>
      </c>
      <c r="T354" s="2">
        <v>27376.154741919687</v>
      </c>
      <c r="U354" s="21">
        <f ca="1">T354/T$646</f>
        <v>3.263063452122949E-4</v>
      </c>
      <c r="V354" s="22">
        <f ca="1">U354*V$676</f>
        <v>5790.2499221548451</v>
      </c>
      <c r="W354" s="2">
        <v>0</v>
      </c>
      <c r="X354" s="21">
        <f ca="1">W354/W$646</f>
        <v>0</v>
      </c>
      <c r="Y354" s="22">
        <f ca="1">X354*Y$676</f>
        <v>0</v>
      </c>
      <c r="Z354" s="2">
        <v>26690.918242230058</v>
      </c>
      <c r="AA354" s="21">
        <f ca="1">Z354/Z$646</f>
        <v>2.299638748306165E-4</v>
      </c>
      <c r="AB354" s="22">
        <f ca="1">AA354*AB$676</f>
        <v>4237.2038484888899</v>
      </c>
      <c r="AC354" s="2">
        <v>0</v>
      </c>
      <c r="AD354" s="21">
        <f ca="1">AC354/AC$646</f>
        <v>0</v>
      </c>
      <c r="AE354" s="22">
        <f ca="1">AD354*AE$676</f>
        <v>0</v>
      </c>
      <c r="AF354" s="2">
        <v>10162.541144271627</v>
      </c>
      <c r="AG354" s="21">
        <f ca="1">AF354/AF$646</f>
        <v>1.07958551711956E-4</v>
      </c>
      <c r="AH354" s="22">
        <f ca="1">AG354*AH$676</f>
        <v>2063.4728170440426</v>
      </c>
      <c r="AI354" s="2">
        <v>50425.51578182185</v>
      </c>
      <c r="AJ354" s="21">
        <f ca="1">AI354/AI$646</f>
        <v>4.081423926466988E-4</v>
      </c>
      <c r="AK354" s="22">
        <f ca="1">AJ354*AK$676</f>
        <v>7941.4752434566262</v>
      </c>
      <c r="AL354" s="2">
        <v>204345.4483812348</v>
      </c>
    </row>
    <row r="355" spans="1:38" ht="12.75" x14ac:dyDescent="0.2">
      <c r="A355" s="8" t="s">
        <v>16</v>
      </c>
      <c r="B355" s="8" t="s">
        <v>17</v>
      </c>
      <c r="C355" s="8" t="s">
        <v>18</v>
      </c>
      <c r="D355" s="8" t="s">
        <v>130</v>
      </c>
      <c r="E355" s="8" t="s">
        <v>131</v>
      </c>
      <c r="F355" s="8" t="s">
        <v>25</v>
      </c>
      <c r="G355" s="8" t="s">
        <v>715</v>
      </c>
      <c r="H355" s="20">
        <v>0</v>
      </c>
      <c r="I355" s="21">
        <f>H355/H$652</f>
        <v>0</v>
      </c>
      <c r="J355" s="22">
        <f>I355*J$682</f>
        <v>0</v>
      </c>
      <c r="K355" s="2">
        <v>0</v>
      </c>
      <c r="L355" s="21">
        <f ca="1">K355/K$652</f>
        <v>0</v>
      </c>
      <c r="M355" s="22">
        <f ca="1">L355*M$682</f>
        <v>0</v>
      </c>
      <c r="N355" s="2">
        <v>0</v>
      </c>
      <c r="O355" s="21">
        <f ca="1">N355/N$652</f>
        <v>0</v>
      </c>
      <c r="P355" s="22">
        <f ca="1">O355*P$682</f>
        <v>0</v>
      </c>
      <c r="Q355" s="2">
        <v>0</v>
      </c>
      <c r="R355" s="21">
        <f ca="1">Q355/Q$652</f>
        <v>0</v>
      </c>
      <c r="S355" s="22">
        <f ca="1">R355*S$682</f>
        <v>0</v>
      </c>
      <c r="T355" s="2">
        <v>105352.58886413084</v>
      </c>
      <c r="U355" s="21">
        <f ca="1">T355/T$652</f>
        <v>2.4012134815980636E-3</v>
      </c>
      <c r="V355" s="22">
        <f ca="1">U355*V$682</f>
        <v>92811.717801960709</v>
      </c>
      <c r="W355" s="2">
        <v>0</v>
      </c>
      <c r="X355" s="21">
        <f ca="1">W355/W$652</f>
        <v>0</v>
      </c>
      <c r="Y355" s="22">
        <f ca="1">X355*Y$682</f>
        <v>0</v>
      </c>
      <c r="Z355" s="2">
        <v>0</v>
      </c>
      <c r="AA355" s="21">
        <f ca="1">Z355/Z$652</f>
        <v>0</v>
      </c>
      <c r="AB355" s="22">
        <f ca="1">AA355*AB$682</f>
        <v>0</v>
      </c>
      <c r="AC355" s="2">
        <v>0</v>
      </c>
      <c r="AD355" s="21">
        <f ca="1">AC355/AC$652</f>
        <v>0</v>
      </c>
      <c r="AE355" s="22">
        <f ca="1">AD355*AE$682</f>
        <v>0</v>
      </c>
      <c r="AF355" s="2">
        <v>0</v>
      </c>
      <c r="AG355" s="21">
        <f ca="1">AF355/AF$652</f>
        <v>0</v>
      </c>
      <c r="AH355" s="22">
        <f ca="1">AG355*AH$682</f>
        <v>0</v>
      </c>
      <c r="AI355" s="2">
        <v>0</v>
      </c>
      <c r="AJ355" s="21">
        <f ca="1">AI355/AI$652</f>
        <v>0</v>
      </c>
      <c r="AK355" s="22">
        <f ca="1">AJ355*AK$682</f>
        <v>0</v>
      </c>
      <c r="AL355" s="2">
        <v>105352.58886413084</v>
      </c>
    </row>
    <row r="356" spans="1:38" ht="12.75" x14ac:dyDescent="0.2">
      <c r="A356" s="8" t="s">
        <v>16</v>
      </c>
      <c r="B356" s="8" t="s">
        <v>17</v>
      </c>
      <c r="C356" s="8" t="s">
        <v>18</v>
      </c>
      <c r="D356" s="8" t="s">
        <v>130</v>
      </c>
      <c r="E356" s="8" t="s">
        <v>131</v>
      </c>
      <c r="F356" s="8" t="s">
        <v>26</v>
      </c>
      <c r="G356" s="8" t="s">
        <v>716</v>
      </c>
      <c r="H356" s="20">
        <v>0</v>
      </c>
      <c r="I356" s="21">
        <f>H356/H$655</f>
        <v>0</v>
      </c>
      <c r="J356" s="22">
        <f>I356*J$685</f>
        <v>0</v>
      </c>
      <c r="K356" s="2">
        <v>9231.8465270717352</v>
      </c>
      <c r="L356" s="21">
        <f ca="1">K356/K$655</f>
        <v>2.3253391425541808E-4</v>
      </c>
      <c r="M356" s="22">
        <f ca="1">L356*M$685</f>
        <v>643.42366608388443</v>
      </c>
      <c r="N356" s="2">
        <v>0</v>
      </c>
      <c r="O356" s="21">
        <f ca="1">N356/N$655</f>
        <v>0</v>
      </c>
      <c r="P356" s="22">
        <f ca="1">O356*P$685</f>
        <v>0</v>
      </c>
      <c r="Q356" s="2">
        <v>9339.400506689848</v>
      </c>
      <c r="R356" s="21">
        <f ca="1">Q356/Q$655</f>
        <v>6.7084995942722265E-5</v>
      </c>
      <c r="S356" s="22">
        <f ca="1">R356*S$685</f>
        <v>194.83147603025861</v>
      </c>
      <c r="T356" s="2">
        <v>0</v>
      </c>
      <c r="U356" s="21">
        <f ca="1">T356/T$655</f>
        <v>0</v>
      </c>
      <c r="V356" s="22">
        <f ca="1">U356*V$685</f>
        <v>0</v>
      </c>
      <c r="W356" s="2">
        <v>0</v>
      </c>
      <c r="X356" s="21">
        <f ca="1">W356/W$655</f>
        <v>0</v>
      </c>
      <c r="Y356" s="22">
        <f ca="1">X356*Y$685</f>
        <v>0</v>
      </c>
      <c r="Z356" s="2">
        <v>0</v>
      </c>
      <c r="AA356" s="21">
        <f ca="1">Z356/Z$655</f>
        <v>0</v>
      </c>
      <c r="AB356" s="22">
        <f ca="1">AA356*AB$685</f>
        <v>0</v>
      </c>
      <c r="AC356" s="2">
        <v>0</v>
      </c>
      <c r="AD356" s="21">
        <f ca="1">AC356/AC$655</f>
        <v>0</v>
      </c>
      <c r="AE356" s="22">
        <f ca="1">AD356*AE$685</f>
        <v>0</v>
      </c>
      <c r="AF356" s="2">
        <v>19618.805297821673</v>
      </c>
      <c r="AG356" s="21">
        <f ca="1">AF356/AF$655</f>
        <v>1.6287856754068676E-4</v>
      </c>
      <c r="AH356" s="22">
        <f ca="1">AG356*AH$685</f>
        <v>520.22751556725461</v>
      </c>
      <c r="AI356" s="2">
        <v>0</v>
      </c>
      <c r="AJ356" s="21">
        <f ca="1">AI356/AI$655</f>
        <v>0</v>
      </c>
      <c r="AK356" s="22">
        <f ca="1">AJ356*AK$685</f>
        <v>0</v>
      </c>
      <c r="AL356" s="2">
        <v>38190.052331583254</v>
      </c>
    </row>
    <row r="357" spans="1:38" ht="12.75" x14ac:dyDescent="0.2">
      <c r="A357" s="8" t="s">
        <v>16</v>
      </c>
      <c r="B357" s="8" t="s">
        <v>17</v>
      </c>
      <c r="C357" s="8" t="s">
        <v>18</v>
      </c>
      <c r="D357" s="8" t="s">
        <v>130</v>
      </c>
      <c r="E357" s="8" t="s">
        <v>131</v>
      </c>
      <c r="F357" s="8" t="s">
        <v>27</v>
      </c>
      <c r="G357" s="8" t="s">
        <v>717</v>
      </c>
      <c r="H357" s="20">
        <v>0</v>
      </c>
      <c r="I357" s="21">
        <f>H357/H$657</f>
        <v>0</v>
      </c>
      <c r="J357" s="22">
        <f>I357*J$687</f>
        <v>0</v>
      </c>
      <c r="K357" s="2">
        <v>296737.92408444866</v>
      </c>
      <c r="L357" s="21">
        <f ca="1">K357/K$657</f>
        <v>7.5973017600103427E-3</v>
      </c>
      <c r="M357" s="22">
        <f ca="1">L357*M$687</f>
        <v>119327.39236138869</v>
      </c>
      <c r="N357" s="2">
        <v>0</v>
      </c>
      <c r="O357" s="21">
        <f ca="1">N357/N$657</f>
        <v>0</v>
      </c>
      <c r="P357" s="22">
        <f ca="1">O357*P$687</f>
        <v>0</v>
      </c>
      <c r="Q357" s="2">
        <v>0</v>
      </c>
      <c r="R357" s="21">
        <f ca="1">Q357/Q$657</f>
        <v>0</v>
      </c>
      <c r="S357" s="22">
        <f ca="1">R357*S$687</f>
        <v>0</v>
      </c>
      <c r="T357" s="2">
        <v>0</v>
      </c>
      <c r="U357" s="21">
        <f ca="1">T357/T$657</f>
        <v>0</v>
      </c>
      <c r="V357" s="22">
        <f ca="1">U357*V$687</f>
        <v>0</v>
      </c>
      <c r="W357" s="2">
        <v>0</v>
      </c>
      <c r="X357" s="21">
        <f ca="1">W357/W$657</f>
        <v>0</v>
      </c>
      <c r="Y357" s="22">
        <f ca="1">X357*Y$687</f>
        <v>0</v>
      </c>
      <c r="Z357" s="2">
        <v>0</v>
      </c>
      <c r="AA357" s="21">
        <f ca="1">Z357/Z$657</f>
        <v>0</v>
      </c>
      <c r="AB357" s="22">
        <f ca="1">AA357*AB$687</f>
        <v>0</v>
      </c>
      <c r="AC357" s="2">
        <v>0</v>
      </c>
      <c r="AD357" s="21">
        <f ca="1">AC357/AC$657</f>
        <v>0</v>
      </c>
      <c r="AE357" s="22">
        <f ca="1">AD357*AE$687</f>
        <v>0</v>
      </c>
      <c r="AF357" s="2">
        <v>0</v>
      </c>
      <c r="AG357" s="21">
        <f ca="1">AF357/AF$657</f>
        <v>0</v>
      </c>
      <c r="AH357" s="22">
        <f ca="1">AG357*AH$687</f>
        <v>0</v>
      </c>
      <c r="AI357" s="2">
        <v>0</v>
      </c>
      <c r="AJ357" s="21">
        <f ca="1">AI357/AI$657</f>
        <v>0</v>
      </c>
      <c r="AK357" s="22">
        <f ca="1">AJ357*AK$687</f>
        <v>0</v>
      </c>
      <c r="AL357" s="2">
        <v>296737.92408444866</v>
      </c>
    </row>
    <row r="358" spans="1:38" ht="12.75" x14ac:dyDescent="0.2">
      <c r="A358" s="8" t="s">
        <v>16</v>
      </c>
      <c r="B358" s="8" t="s">
        <v>17</v>
      </c>
      <c r="C358" s="8" t="s">
        <v>18</v>
      </c>
      <c r="D358" s="8" t="s">
        <v>130</v>
      </c>
      <c r="E358" s="8" t="s">
        <v>131</v>
      </c>
      <c r="F358" s="8" t="s">
        <v>28</v>
      </c>
      <c r="G358" s="8" t="s">
        <v>718</v>
      </c>
      <c r="H358" s="20">
        <v>0</v>
      </c>
      <c r="I358" s="21">
        <f>H358/H$669</f>
        <v>0</v>
      </c>
      <c r="J358" s="22">
        <f>I358*J$699</f>
        <v>0</v>
      </c>
      <c r="K358" s="2">
        <v>32924.708032840092</v>
      </c>
      <c r="L358" s="21">
        <f ca="1">K358/K$669</f>
        <v>4.5386109953798083E-3</v>
      </c>
      <c r="M358" s="22">
        <f ca="1">L358*M$699</f>
        <v>21511.758922854569</v>
      </c>
      <c r="N358" s="2">
        <v>0</v>
      </c>
      <c r="O358" s="21">
        <f ca="1">N358/N$669</f>
        <v>0</v>
      </c>
      <c r="P358" s="22">
        <f ca="1">O358*P$699</f>
        <v>0</v>
      </c>
      <c r="Q358" s="2">
        <v>0</v>
      </c>
      <c r="R358" s="21">
        <f ca="1">Q358/Q$669</f>
        <v>0</v>
      </c>
      <c r="S358" s="22">
        <f ca="1">R358*S$699</f>
        <v>0</v>
      </c>
      <c r="T358" s="2">
        <v>0</v>
      </c>
      <c r="U358" s="21">
        <f ca="1">T358/T$669</f>
        <v>0</v>
      </c>
      <c r="V358" s="22">
        <f ca="1">U358*V$699</f>
        <v>0</v>
      </c>
      <c r="W358" s="2">
        <v>0</v>
      </c>
      <c r="X358" s="21">
        <f ca="1">W358/W$669</f>
        <v>0</v>
      </c>
      <c r="Y358" s="22">
        <f ca="1">X358*Y$699</f>
        <v>0</v>
      </c>
      <c r="Z358" s="2">
        <v>0</v>
      </c>
      <c r="AA358" s="21">
        <f ca="1">Z358/Z$669</f>
        <v>0</v>
      </c>
      <c r="AB358" s="22">
        <f ca="1">AA358*AB$699</f>
        <v>0</v>
      </c>
      <c r="AC358" s="2">
        <v>0</v>
      </c>
      <c r="AD358" s="21">
        <f ca="1">AC358/AC$669</f>
        <v>0</v>
      </c>
      <c r="AE358" s="22">
        <f ca="1">AD358*AE$699</f>
        <v>0</v>
      </c>
      <c r="AF358" s="2">
        <v>49727.11874900847</v>
      </c>
      <c r="AG358" s="21">
        <f ca="1">AF358/AF$669</f>
        <v>1.2388633203301456E-3</v>
      </c>
      <c r="AH358" s="22">
        <f ca="1">AG358*AH$699</f>
        <v>6777.8976138385588</v>
      </c>
      <c r="AI358" s="2">
        <v>28403.460642146445</v>
      </c>
      <c r="AJ358" s="21">
        <f ca="1">AI358/AI$669</f>
        <v>6.4925183001696249E-4</v>
      </c>
      <c r="AK358" s="22">
        <f ca="1">AJ358*AK$699</f>
        <v>3616.0345372765819</v>
      </c>
      <c r="AL358" s="2">
        <v>111055.287423995</v>
      </c>
    </row>
    <row r="359" spans="1:38" ht="12.75" x14ac:dyDescent="0.2">
      <c r="A359" s="8" t="s">
        <v>16</v>
      </c>
      <c r="B359" s="8" t="s">
        <v>17</v>
      </c>
      <c r="C359" s="8" t="s">
        <v>18</v>
      </c>
      <c r="D359" s="8" t="s">
        <v>130</v>
      </c>
      <c r="E359" s="8" t="s">
        <v>131</v>
      </c>
      <c r="F359" s="8" t="s">
        <v>34</v>
      </c>
      <c r="G359" s="8" t="s">
        <v>719</v>
      </c>
      <c r="H359" s="20">
        <v>184600</v>
      </c>
      <c r="I359" s="21">
        <f>H359/H$653</f>
        <v>8.2505669641025611E-2</v>
      </c>
      <c r="J359" s="22">
        <f>I359*J$683</f>
        <v>173853.14187480137</v>
      </c>
      <c r="K359" s="2">
        <v>184600</v>
      </c>
      <c r="L359" s="21">
        <f ca="1">K359/K$653</f>
        <v>5.5353159051764952E-2</v>
      </c>
      <c r="M359" s="22">
        <f ca="1">L359*M$683</f>
        <v>85283.94062687151</v>
      </c>
      <c r="N359" s="2">
        <v>184600</v>
      </c>
      <c r="O359" s="21">
        <f ca="1">N359/N$653</f>
        <v>1.6529125144691126E-2</v>
      </c>
      <c r="P359" s="22">
        <f ca="1">O359*P$683</f>
        <v>26128.957058357748</v>
      </c>
      <c r="Q359" s="2">
        <v>184600</v>
      </c>
      <c r="R359" s="21">
        <f ca="1">Q359/Q$653</f>
        <v>1.4110835567395865E-2</v>
      </c>
      <c r="S359" s="22">
        <f ca="1">R359*S$683</f>
        <v>22819.208341452071</v>
      </c>
      <c r="T359" s="2">
        <v>184600</v>
      </c>
      <c r="U359" s="21">
        <f ca="1">T359/T$653</f>
        <v>1.3998605363906074E-2</v>
      </c>
      <c r="V359" s="22">
        <f ca="1">U359*V$683</f>
        <v>23113.108375243559</v>
      </c>
      <c r="W359" s="2">
        <v>184600</v>
      </c>
      <c r="X359" s="21">
        <f ca="1">W359/W$653</f>
        <v>1.6597973300971777E-2</v>
      </c>
      <c r="Y359" s="22">
        <f ca="1">X359*Y$683</f>
        <v>27953.025269957834</v>
      </c>
      <c r="Z359" s="2">
        <v>184600</v>
      </c>
      <c r="AA359" s="21">
        <f ca="1">Z359/Z$653</f>
        <v>1.6519113368683495E-2</v>
      </c>
      <c r="AB359" s="22">
        <f ca="1">AA359*AB$683</f>
        <v>28320.979331656759</v>
      </c>
      <c r="AC359" s="2">
        <v>184600</v>
      </c>
      <c r="AD359" s="21">
        <f ca="1">AC359/AC$653</f>
        <v>1.42206988318205E-2</v>
      </c>
      <c r="AE359" s="22">
        <f ca="1">AD359*AE$683</f>
        <v>24843.721837501191</v>
      </c>
      <c r="AF359" s="2">
        <v>184600</v>
      </c>
      <c r="AG359" s="21">
        <f ca="1">AF359/AF$653</f>
        <v>1.5438664978141258E-2</v>
      </c>
      <c r="AH359" s="22">
        <f ca="1">AG359*AH$683</f>
        <v>27457.009829135957</v>
      </c>
      <c r="AI359" s="2">
        <v>184600</v>
      </c>
      <c r="AJ359" s="21">
        <f ca="1">AI359/AI$653</f>
        <v>1.3579425051497406E-2</v>
      </c>
      <c r="AK359" s="22">
        <f ca="1">AJ359*AK$683</f>
        <v>24585.138278128245</v>
      </c>
      <c r="AL359" s="2">
        <v>1846000</v>
      </c>
    </row>
    <row r="360" spans="1:38" ht="12.75" x14ac:dyDescent="0.2">
      <c r="A360" s="8" t="s">
        <v>16</v>
      </c>
      <c r="B360" s="8" t="s">
        <v>17</v>
      </c>
      <c r="C360" s="8" t="s">
        <v>18</v>
      </c>
      <c r="D360" s="8" t="s">
        <v>31</v>
      </c>
      <c r="E360" s="8" t="s">
        <v>129</v>
      </c>
      <c r="F360" s="8" t="s">
        <v>24</v>
      </c>
      <c r="G360" s="8" t="s">
        <v>720</v>
      </c>
      <c r="H360" s="20">
        <v>0</v>
      </c>
      <c r="I360" s="21">
        <f>H360/H$646</f>
        <v>0</v>
      </c>
      <c r="J360" s="22">
        <f>I360*J$676</f>
        <v>0</v>
      </c>
      <c r="K360" s="2">
        <v>10550.681745224842</v>
      </c>
      <c r="L360" s="21">
        <f ca="1">K360/K$646</f>
        <v>1.6705674033738293E-4</v>
      </c>
      <c r="M360" s="22">
        <f ca="1">L360*M$676</f>
        <v>649.51882828639134</v>
      </c>
      <c r="N360" s="2">
        <v>3163876.4239274086</v>
      </c>
      <c r="O360" s="21">
        <f ca="1">N360/N$646</f>
        <v>3.3751684007366674E-2</v>
      </c>
      <c r="P360" s="22">
        <f ca="1">O360*P$676</f>
        <v>573410.79045983171</v>
      </c>
      <c r="Q360" s="2">
        <v>3315591.1303943805</v>
      </c>
      <c r="R360" s="21">
        <f ca="1">Q360/Q$646</f>
        <v>2.9810421640952867E-2</v>
      </c>
      <c r="S360" s="22">
        <f ca="1">R360*S$676</f>
        <v>518100.68577072793</v>
      </c>
      <c r="T360" s="2">
        <v>3124000</v>
      </c>
      <c r="U360" s="21">
        <f ca="1">T360/T$646</f>
        <v>3.7236092214305169E-2</v>
      </c>
      <c r="V360" s="22">
        <f ca="1">U360*V$676</f>
        <v>660748.04614957061</v>
      </c>
      <c r="W360" s="2">
        <v>3157095.445072853</v>
      </c>
      <c r="X360" s="21">
        <f ca="1">W360/W$646</f>
        <v>3.6119541610921492E-2</v>
      </c>
      <c r="Y360" s="22">
        <f ca="1">X360*Y$676</f>
        <v>653753.7489732065</v>
      </c>
      <c r="Z360" s="2">
        <v>3221507.4674789552</v>
      </c>
      <c r="AA360" s="21">
        <f ca="1">Z360/Z$646</f>
        <v>2.7755895593171979E-2</v>
      </c>
      <c r="AB360" s="22">
        <f ca="1">AA360*AB$676</f>
        <v>511416.79410415958</v>
      </c>
      <c r="AC360" s="2">
        <v>3124000</v>
      </c>
      <c r="AD360" s="21">
        <f ca="1">AC360/AC$646</f>
        <v>3.0025236866731277E-2</v>
      </c>
      <c r="AE360" s="22">
        <f ca="1">AD360*AE$676</f>
        <v>563741.96702402306</v>
      </c>
      <c r="AF360" s="2">
        <v>3287252.0026442339</v>
      </c>
      <c r="AG360" s="21">
        <f ca="1">AF360/AF$646</f>
        <v>3.4921085216736314E-2</v>
      </c>
      <c r="AH360" s="22">
        <f ca="1">AG360*AH$676</f>
        <v>667466.43914484559</v>
      </c>
      <c r="AI360" s="2">
        <v>3233839.1259345561</v>
      </c>
      <c r="AJ360" s="21">
        <f ca="1">AI360/AI$646</f>
        <v>2.6174582804550001E-2</v>
      </c>
      <c r="AK360" s="22">
        <f ca="1">AJ360*AK$676</f>
        <v>509294.80763365299</v>
      </c>
      <c r="AL360" s="2">
        <v>31951392.510616697</v>
      </c>
    </row>
    <row r="361" spans="1:38" ht="12.75" x14ac:dyDescent="0.2">
      <c r="A361" s="8" t="s">
        <v>16</v>
      </c>
      <c r="B361" s="8" t="s">
        <v>17</v>
      </c>
      <c r="C361" s="8" t="s">
        <v>18</v>
      </c>
      <c r="D361" s="8" t="s">
        <v>31</v>
      </c>
      <c r="E361" s="8" t="s">
        <v>129</v>
      </c>
      <c r="F361" s="8" t="s">
        <v>25</v>
      </c>
      <c r="G361" s="8" t="s">
        <v>721</v>
      </c>
      <c r="H361" s="20">
        <v>0</v>
      </c>
      <c r="I361" s="21">
        <f>H361/H$652</f>
        <v>0</v>
      </c>
      <c r="J361" s="22">
        <f>I361*J$682</f>
        <v>0</v>
      </c>
      <c r="K361" s="2">
        <v>0</v>
      </c>
      <c r="L361" s="21">
        <f ca="1">K361/K$652</f>
        <v>0</v>
      </c>
      <c r="M361" s="22">
        <f ca="1">L361*M$682</f>
        <v>0</v>
      </c>
      <c r="N361" s="2">
        <v>2667498.3920284184</v>
      </c>
      <c r="O361" s="21">
        <f ca="1">N361/N$652</f>
        <v>5.3451962299558613E-2</v>
      </c>
      <c r="P361" s="22">
        <f ca="1">O361*P$682</f>
        <v>1978036.5648055882</v>
      </c>
      <c r="Q361" s="2">
        <v>1860000</v>
      </c>
      <c r="R361" s="21">
        <f ca="1">Q361/Q$652</f>
        <v>3.7473910175022732E-2</v>
      </c>
      <c r="S361" s="22">
        <f ca="1">R361*S$682</f>
        <v>1418650.1461420278</v>
      </c>
      <c r="T361" s="2">
        <v>2611211.6221439983</v>
      </c>
      <c r="U361" s="21">
        <f ca="1">T361/T$652</f>
        <v>5.9515163490514625E-2</v>
      </c>
      <c r="V361" s="22">
        <f ca="1">U361*V$682</f>
        <v>2300380.4539457457</v>
      </c>
      <c r="W361" s="2">
        <v>1860000</v>
      </c>
      <c r="X361" s="21">
        <f ca="1">W361/W$652</f>
        <v>4.0375369603925883E-2</v>
      </c>
      <c r="Y361" s="22">
        <f ca="1">X361*Y$682</f>
        <v>1591800.8071318092</v>
      </c>
      <c r="Z361" s="2">
        <v>1860000</v>
      </c>
      <c r="AA361" s="21">
        <f ca="1">Z361/Z$652</f>
        <v>4.0257070875468134E-2</v>
      </c>
      <c r="AB361" s="22">
        <f ca="1">AA361*AB$682</f>
        <v>1615705.3380713018</v>
      </c>
      <c r="AC361" s="2">
        <v>2002581.2949876746</v>
      </c>
      <c r="AD361" s="21">
        <f ca="1">AC361/AC$652</f>
        <v>3.2147578476825492E-2</v>
      </c>
      <c r="AE361" s="22">
        <f ca="1">AD361*AE$682</f>
        <v>1314747.7515689589</v>
      </c>
      <c r="AF361" s="2">
        <v>1860000</v>
      </c>
      <c r="AG361" s="21">
        <f ca="1">AF361/AF$652</f>
        <v>2.7789590493107356E-2</v>
      </c>
      <c r="AH361" s="22">
        <f ca="1">AG361*AH$682</f>
        <v>1156975.3246933676</v>
      </c>
      <c r="AI361" s="2">
        <v>2271527.4127129172</v>
      </c>
      <c r="AJ361" s="21">
        <f ca="1">AI361/AI$652</f>
        <v>3.0325039044024407E-2</v>
      </c>
      <c r="AK361" s="22">
        <f ca="1">AJ361*AK$682</f>
        <v>1285260.3098213931</v>
      </c>
      <c r="AL361" s="2">
        <v>20712818.721873008</v>
      </c>
    </row>
    <row r="362" spans="1:38" ht="12.75" x14ac:dyDescent="0.2">
      <c r="A362" s="8" t="s">
        <v>16</v>
      </c>
      <c r="B362" s="8" t="s">
        <v>17</v>
      </c>
      <c r="C362" s="8" t="s">
        <v>18</v>
      </c>
      <c r="D362" s="8" t="s">
        <v>31</v>
      </c>
      <c r="E362" s="8" t="s">
        <v>129</v>
      </c>
      <c r="F362" s="8" t="s">
        <v>26</v>
      </c>
      <c r="G362" s="8" t="s">
        <v>722</v>
      </c>
      <c r="H362" s="20">
        <v>0</v>
      </c>
      <c r="I362" s="21">
        <f>H362/H$655</f>
        <v>0</v>
      </c>
      <c r="J362" s="22">
        <f>I362*J$685</f>
        <v>0</v>
      </c>
      <c r="K362" s="2">
        <v>0</v>
      </c>
      <c r="L362" s="21">
        <f ca="1">K362/K$655</f>
        <v>0</v>
      </c>
      <c r="M362" s="22">
        <f ca="1">L362*M$685</f>
        <v>0</v>
      </c>
      <c r="N362" s="2">
        <v>0</v>
      </c>
      <c r="O362" s="21">
        <f ca="1">N362/N$655</f>
        <v>0</v>
      </c>
      <c r="P362" s="22">
        <f ca="1">O362*P$685</f>
        <v>0</v>
      </c>
      <c r="Q362" s="2">
        <v>0</v>
      </c>
      <c r="R362" s="21">
        <f ca="1">Q362/Q$655</f>
        <v>0</v>
      </c>
      <c r="S362" s="22">
        <f ca="1">R362*S$685</f>
        <v>0</v>
      </c>
      <c r="T362" s="2">
        <v>37260.096458342319</v>
      </c>
      <c r="U362" s="21">
        <f ca="1">T362/T$655</f>
        <v>3.7507646912104329E-4</v>
      </c>
      <c r="V362" s="22">
        <f ca="1">U362*V$685</f>
        <v>1112.1907628453687</v>
      </c>
      <c r="W362" s="2">
        <v>0</v>
      </c>
      <c r="X362" s="21">
        <f ca="1">W362/W$655</f>
        <v>0</v>
      </c>
      <c r="Y362" s="22">
        <f ca="1">X362*Y$685</f>
        <v>0</v>
      </c>
      <c r="Z362" s="2">
        <v>0</v>
      </c>
      <c r="AA362" s="21">
        <f ca="1">Z362/Z$655</f>
        <v>0</v>
      </c>
      <c r="AB362" s="22">
        <f ca="1">AA362*AB$685</f>
        <v>0</v>
      </c>
      <c r="AC362" s="2">
        <v>160790.69542181617</v>
      </c>
      <c r="AD362" s="21">
        <f ca="1">AC362/AC$655</f>
        <v>1.4272197101395274E-3</v>
      </c>
      <c r="AE362" s="22">
        <f ca="1">AD362*AE$685</f>
        <v>4477.8798185626392</v>
      </c>
      <c r="AF362" s="2">
        <v>0</v>
      </c>
      <c r="AG362" s="21">
        <f ca="1">AF362/AF$655</f>
        <v>0</v>
      </c>
      <c r="AH362" s="22">
        <f ca="1">AG362*AH$685</f>
        <v>0</v>
      </c>
      <c r="AI362" s="2">
        <v>0</v>
      </c>
      <c r="AJ362" s="21">
        <f ca="1">AI362/AI$655</f>
        <v>0</v>
      </c>
      <c r="AK362" s="22">
        <f ca="1">AJ362*AK$685</f>
        <v>0</v>
      </c>
      <c r="AL362" s="2">
        <v>198050.79188015847</v>
      </c>
    </row>
    <row r="363" spans="1:38" ht="12.75" x14ac:dyDescent="0.2">
      <c r="A363" s="8" t="s">
        <v>16</v>
      </c>
      <c r="B363" s="8" t="s">
        <v>17</v>
      </c>
      <c r="C363" s="8" t="s">
        <v>18</v>
      </c>
      <c r="D363" s="8" t="s">
        <v>31</v>
      </c>
      <c r="E363" s="8" t="s">
        <v>129</v>
      </c>
      <c r="F363" s="8" t="s">
        <v>27</v>
      </c>
      <c r="G363" s="8" t="s">
        <v>723</v>
      </c>
      <c r="H363" s="20">
        <v>1056927.766576238</v>
      </c>
      <c r="I363" s="21">
        <f>H363/H$657</f>
        <v>2.0722755523585351E-2</v>
      </c>
      <c r="J363" s="22">
        <f>I363*J$687</f>
        <v>214956.74931379591</v>
      </c>
      <c r="K363" s="2">
        <v>0</v>
      </c>
      <c r="L363" s="21">
        <f ca="1">K363/K$657</f>
        <v>0</v>
      </c>
      <c r="M363" s="22">
        <f ca="1">L363*M$687</f>
        <v>0</v>
      </c>
      <c r="N363" s="2">
        <v>1818885.3360834685</v>
      </c>
      <c r="O363" s="21">
        <f ca="1">N363/N$657</f>
        <v>3.2885674543539856E-2</v>
      </c>
      <c r="P363" s="22">
        <f ca="1">O363*P$687</f>
        <v>529949.99040863884</v>
      </c>
      <c r="Q363" s="2">
        <v>1938348.7468547898</v>
      </c>
      <c r="R363" s="21">
        <f ca="1">Q363/Q$657</f>
        <v>3.5094909990469096E-2</v>
      </c>
      <c r="S363" s="22">
        <f ca="1">R363*S$687</f>
        <v>578559.32927215984</v>
      </c>
      <c r="T363" s="2">
        <v>1812000</v>
      </c>
      <c r="U363" s="21">
        <f ca="1">T363/T$657</f>
        <v>4.6839174633706487E-2</v>
      </c>
      <c r="V363" s="22">
        <f ca="1">U363*V$687</f>
        <v>788385.70996647107</v>
      </c>
      <c r="W363" s="2">
        <v>1812000</v>
      </c>
      <c r="X363" s="21">
        <f ca="1">W363/W$657</f>
        <v>4.6240711313693693E-2</v>
      </c>
      <c r="Y363" s="22">
        <f ca="1">X363*Y$687</f>
        <v>793878.76963244251</v>
      </c>
      <c r="Z363" s="2">
        <v>1814435.5213354914</v>
      </c>
      <c r="AA363" s="21">
        <f ca="1">Z363/Z$657</f>
        <v>3.7407368577962063E-2</v>
      </c>
      <c r="AB363" s="22">
        <f ca="1">AA363*AB$687</f>
        <v>653784.4978464467</v>
      </c>
      <c r="AC363" s="2">
        <v>2508404.0102407252</v>
      </c>
      <c r="AD363" s="21">
        <f ca="1">AC363/AC$657</f>
        <v>4.5667846224876546E-2</v>
      </c>
      <c r="AE363" s="22">
        <f ca="1">AD363*AE$687</f>
        <v>813321.35207126173</v>
      </c>
      <c r="AF363" s="2">
        <v>1812000</v>
      </c>
      <c r="AG363" s="21">
        <f ca="1">AF363/AF$657</f>
        <v>3.6256319900167429E-2</v>
      </c>
      <c r="AH363" s="22">
        <f ca="1">AG363*AH$687</f>
        <v>657329.52854188147</v>
      </c>
      <c r="AI363" s="2">
        <v>2101100.3894483191</v>
      </c>
      <c r="AJ363" s="21">
        <f ca="1">AI363/AI$657</f>
        <v>3.7862208888195102E-2</v>
      </c>
      <c r="AK363" s="22">
        <f ca="1">AJ363*AK$687</f>
        <v>698800.40341841185</v>
      </c>
      <c r="AL363" s="2">
        <v>19264426.414827473</v>
      </c>
    </row>
    <row r="364" spans="1:38" ht="12.75" x14ac:dyDescent="0.2">
      <c r="A364" s="8" t="s">
        <v>16</v>
      </c>
      <c r="B364" s="8" t="s">
        <v>17</v>
      </c>
      <c r="C364" s="8" t="s">
        <v>18</v>
      </c>
      <c r="D364" s="8" t="s">
        <v>31</v>
      </c>
      <c r="E364" s="8" t="s">
        <v>129</v>
      </c>
      <c r="F364" s="8" t="s">
        <v>28</v>
      </c>
      <c r="G364" s="8" t="s">
        <v>724</v>
      </c>
      <c r="H364" s="20">
        <v>0</v>
      </c>
      <c r="I364" s="21">
        <f>H364/H$669</f>
        <v>0</v>
      </c>
      <c r="J364" s="22">
        <f>I364*J$699</f>
        <v>0</v>
      </c>
      <c r="K364" s="2">
        <v>0</v>
      </c>
      <c r="L364" s="21">
        <f ca="1">K364/K$669</f>
        <v>0</v>
      </c>
      <c r="M364" s="22">
        <f ca="1">L364*M$699</f>
        <v>0</v>
      </c>
      <c r="N364" s="2">
        <v>3664000</v>
      </c>
      <c r="O364" s="21">
        <f ca="1">N364/N$669</f>
        <v>0.12990864857610568</v>
      </c>
      <c r="P364" s="22">
        <f ca="1">O364*P$699</f>
        <v>631740.01606333477</v>
      </c>
      <c r="Q364" s="2">
        <v>3664000</v>
      </c>
      <c r="R364" s="21">
        <f ca="1">Q364/Q$669</f>
        <v>9.6929209149781856E-2</v>
      </c>
      <c r="S364" s="22">
        <f ca="1">R364*S$699</f>
        <v>482203.79607074539</v>
      </c>
      <c r="T364" s="2">
        <v>3664000</v>
      </c>
      <c r="U364" s="21">
        <f ca="1">T364/T$669</f>
        <v>0.12834875492747219</v>
      </c>
      <c r="V364" s="22">
        <f ca="1">U364*V$699</f>
        <v>651918.57854565966</v>
      </c>
      <c r="W364" s="2">
        <v>3664000</v>
      </c>
      <c r="X364" s="21">
        <f ca="1">W364/W$669</f>
        <v>0.13135540414447622</v>
      </c>
      <c r="Y364" s="22">
        <f ca="1">X364*Y$699</f>
        <v>680533.97881926177</v>
      </c>
      <c r="Z364" s="2">
        <v>3664000</v>
      </c>
      <c r="AA364" s="21">
        <f ca="1">Z364/Z$669</f>
        <v>0.12454427403633617</v>
      </c>
      <c r="AB364" s="22">
        <f ca="1">AA364*AB$699</f>
        <v>656860.90356748644</v>
      </c>
      <c r="AC364" s="2">
        <v>3664000</v>
      </c>
      <c r="AD364" s="21">
        <f ca="1">AC364/AC$669</f>
        <v>0.11618216177939188</v>
      </c>
      <c r="AE364" s="22">
        <f ca="1">AD364*AE$699</f>
        <v>624400.56067190098</v>
      </c>
      <c r="AF364" s="2">
        <v>3664000</v>
      </c>
      <c r="AG364" s="21">
        <f ca="1">AF364/AF$669</f>
        <v>9.1282087518496383E-2</v>
      </c>
      <c r="AH364" s="22">
        <f ca="1">AG364*AH$699</f>
        <v>499409.92926721013</v>
      </c>
      <c r="AI364" s="2">
        <v>3664000</v>
      </c>
      <c r="AJ364" s="21">
        <f ca="1">AI364/AI$669</f>
        <v>8.3752424929949679E-2</v>
      </c>
      <c r="AK364" s="22">
        <f ca="1">AJ364*AK$699</f>
        <v>466462.54523371911</v>
      </c>
      <c r="AL364" s="2">
        <v>36640000</v>
      </c>
    </row>
    <row r="365" spans="1:38" ht="12.75" x14ac:dyDescent="0.2">
      <c r="A365" s="8" t="s">
        <v>16</v>
      </c>
      <c r="B365" s="8" t="s">
        <v>17</v>
      </c>
      <c r="C365" s="8" t="s">
        <v>18</v>
      </c>
      <c r="D365" s="8" t="s">
        <v>31</v>
      </c>
      <c r="E365" s="8" t="s">
        <v>129</v>
      </c>
      <c r="F365" s="8" t="s">
        <v>34</v>
      </c>
      <c r="G365" s="8" t="s">
        <v>725</v>
      </c>
      <c r="H365" s="20">
        <v>18000</v>
      </c>
      <c r="I365" s="21">
        <f>H365/H$653</f>
        <v>8.0449732044337013E-3</v>
      </c>
      <c r="J365" s="22">
        <f>I365*J$683</f>
        <v>16952.094007293745</v>
      </c>
      <c r="K365" s="2">
        <v>18000</v>
      </c>
      <c r="L365" s="21">
        <f ca="1">K365/K$653</f>
        <v>5.3973827894462038E-3</v>
      </c>
      <c r="M365" s="22">
        <f ca="1">L365*M$683</f>
        <v>8315.8772008867127</v>
      </c>
      <c r="N365" s="2">
        <v>521037.24325836787</v>
      </c>
      <c r="O365" s="21">
        <f ca="1">N365/N$653</f>
        <v>4.6653790893079278E-2</v>
      </c>
      <c r="P365" s="22">
        <f ca="1">O365*P$683</f>
        <v>73749.51113165218</v>
      </c>
      <c r="Q365" s="2">
        <v>952225.42330184754</v>
      </c>
      <c r="R365" s="21">
        <f ca="1">Q365/Q$653</f>
        <v>7.278817102549455E-2</v>
      </c>
      <c r="S365" s="22">
        <f ca="1">R365*S$683</f>
        <v>117708.72330635021</v>
      </c>
      <c r="T365" s="2">
        <v>400000</v>
      </c>
      <c r="U365" s="21">
        <f ca="1">T365/T$653</f>
        <v>3.0332839358409698E-2</v>
      </c>
      <c r="V365" s="22">
        <f ca="1">U365*V$683</f>
        <v>50082.575027613348</v>
      </c>
      <c r="W365" s="2">
        <v>400000</v>
      </c>
      <c r="X365" s="21">
        <f ca="1">W365/W$653</f>
        <v>3.5965272591488143E-2</v>
      </c>
      <c r="Y365" s="22">
        <f ca="1">X365*Y$683</f>
        <v>60569.935579540266</v>
      </c>
      <c r="Z365" s="2">
        <v>594176.26385147672</v>
      </c>
      <c r="AA365" s="21">
        <f ca="1">Z365/Z$653</f>
        <v>5.3170449965023514E-2</v>
      </c>
      <c r="AB365" s="22">
        <f ca="1">AA365*AB$683</f>
        <v>91157.387258389514</v>
      </c>
      <c r="AC365" s="2">
        <v>1264874.3718460691</v>
      </c>
      <c r="AD365" s="21">
        <f ca="1">AC365/AC$653</f>
        <v>9.743985645780652E-2</v>
      </c>
      <c r="AE365" s="22">
        <f ca="1">AD365*AE$683</f>
        <v>170228.53225096309</v>
      </c>
      <c r="AF365" s="2">
        <v>400000</v>
      </c>
      <c r="AG365" s="21">
        <f ca="1">AF365/AF$653</f>
        <v>3.3453228555018977E-2</v>
      </c>
      <c r="AH365" s="22">
        <f ca="1">AG365*AH$683</f>
        <v>59495.145891952234</v>
      </c>
      <c r="AI365" s="2">
        <v>400000</v>
      </c>
      <c r="AJ365" s="21">
        <f ca="1">AI365/AI$653</f>
        <v>2.9424539656549092E-2</v>
      </c>
      <c r="AK365" s="22">
        <f ca="1">AJ365*AK$683</f>
        <v>53272.238955857523</v>
      </c>
      <c r="AL365" s="2">
        <v>6260777.1855458803</v>
      </c>
    </row>
    <row r="366" spans="1:38" ht="12.75" x14ac:dyDescent="0.2">
      <c r="A366" s="8" t="s">
        <v>16</v>
      </c>
      <c r="B366" s="8" t="s">
        <v>17</v>
      </c>
      <c r="C366" s="8" t="s">
        <v>18</v>
      </c>
      <c r="D366" s="8" t="s">
        <v>31</v>
      </c>
      <c r="E366" s="8" t="s">
        <v>32</v>
      </c>
      <c r="F366" s="8" t="s">
        <v>21</v>
      </c>
      <c r="G366" s="8" t="s">
        <v>726</v>
      </c>
      <c r="H366" s="20">
        <v>600000</v>
      </c>
      <c r="I366" s="21">
        <f>H366/H$645</f>
        <v>3.9710979877909794E-2</v>
      </c>
      <c r="J366" s="22">
        <f>I366*J$675</f>
        <v>5607.1903587608631</v>
      </c>
      <c r="K366" s="2">
        <v>600000</v>
      </c>
      <c r="L366" s="21">
        <f ca="1">K366/K$645</f>
        <v>3.9218416585072496E-2</v>
      </c>
      <c r="M366" s="22">
        <f ca="1">L366*M$675</f>
        <v>16921.178019795378</v>
      </c>
      <c r="N366" s="2">
        <v>460000</v>
      </c>
      <c r="O366" s="21">
        <f ca="1">N366/N$645</f>
        <v>2.1174428485230708E-2</v>
      </c>
      <c r="P366" s="22">
        <f ca="1">O366*P$675</f>
        <v>9373.452806007821</v>
      </c>
      <c r="Q366" s="2">
        <v>460000</v>
      </c>
      <c r="R366" s="21">
        <f ca="1">Q366/Q$645</f>
        <v>1.8219833324546682E-2</v>
      </c>
      <c r="S366" s="22">
        <f ca="1">R366*S$675</f>
        <v>8251.0255204292152</v>
      </c>
      <c r="T366" s="2">
        <v>460000</v>
      </c>
      <c r="U366" s="21">
        <f ca="1">T366/T$645</f>
        <v>2.228557496783987E-2</v>
      </c>
      <c r="V366" s="22">
        <f ca="1">U366*V$675</f>
        <v>10304.172383650133</v>
      </c>
      <c r="W366" s="2">
        <v>460000</v>
      </c>
      <c r="X366" s="21">
        <f ca="1">W366/W$645</f>
        <v>2.2254075004709523E-2</v>
      </c>
      <c r="Y366" s="22">
        <f ca="1">X366*Y$675</f>
        <v>10495.400091496091</v>
      </c>
      <c r="Z366" s="2">
        <v>460000</v>
      </c>
      <c r="AA366" s="21">
        <f ca="1">Z366/Z$645</f>
        <v>2.2359170849901123E-2</v>
      </c>
      <c r="AB366" s="22">
        <f ca="1">AA366*AB$675</f>
        <v>10734.774315979714</v>
      </c>
      <c r="AC366" s="2">
        <v>460000</v>
      </c>
      <c r="AD366" s="21">
        <f ca="1">AC366/AC$645</f>
        <v>1.9369769177762852E-2</v>
      </c>
      <c r="AE366" s="22">
        <f ca="1">AD366*AE$675</f>
        <v>9476.2357596708662</v>
      </c>
      <c r="AF366" s="2">
        <v>460000</v>
      </c>
      <c r="AG366" s="21">
        <f ca="1">AF366/AF$645</f>
        <v>2.108875627827872E-2</v>
      </c>
      <c r="AH366" s="22">
        <f ca="1">AG366*AH$675</f>
        <v>10502.922283822645</v>
      </c>
      <c r="AI366" s="2">
        <v>460000</v>
      </c>
      <c r="AJ366" s="21">
        <f ca="1">AI366/AI$645</f>
        <v>1.8041862546513E-2</v>
      </c>
      <c r="AK366" s="22">
        <f ca="1">AJ366*AK$675</f>
        <v>9147.2033825215385</v>
      </c>
      <c r="AL366" s="2">
        <v>4600000</v>
      </c>
    </row>
    <row r="367" spans="1:38" ht="12.75" x14ac:dyDescent="0.2">
      <c r="A367" s="8" t="s">
        <v>16</v>
      </c>
      <c r="B367" s="8" t="s">
        <v>17</v>
      </c>
      <c r="C367" s="8" t="s">
        <v>18</v>
      </c>
      <c r="D367" s="8" t="s">
        <v>31</v>
      </c>
      <c r="E367" s="8" t="s">
        <v>32</v>
      </c>
      <c r="F367" s="8" t="s">
        <v>24</v>
      </c>
      <c r="G367" s="8" t="s">
        <v>727</v>
      </c>
      <c r="H367" s="20">
        <v>9282069.2776657622</v>
      </c>
      <c r="I367" s="21">
        <f>H367/H$646</f>
        <v>0.11304556211774351</v>
      </c>
      <c r="J367" s="22">
        <f>I367*J$676</f>
        <v>243233.35327502165</v>
      </c>
      <c r="K367" s="2">
        <v>9320358.8751385659</v>
      </c>
      <c r="L367" s="21">
        <f ca="1">K367/K$646</f>
        <v>0.14757612920700081</v>
      </c>
      <c r="M367" s="22">
        <f ca="1">L367*M$676</f>
        <v>573777.95311933756</v>
      </c>
      <c r="N367" s="2">
        <v>0</v>
      </c>
      <c r="O367" s="21">
        <f ca="1">N367/N$646</f>
        <v>0</v>
      </c>
      <c r="P367" s="22">
        <f ca="1">O367*P$676</f>
        <v>0</v>
      </c>
      <c r="Q367" s="2">
        <v>21347.201158148222</v>
      </c>
      <c r="R367" s="21">
        <f ca="1">Q367/Q$646</f>
        <v>1.9193231081630427E-4</v>
      </c>
      <c r="S367" s="22">
        <f ca="1">R367*S$676</f>
        <v>3335.7549602344106</v>
      </c>
      <c r="T367" s="2">
        <v>0</v>
      </c>
      <c r="U367" s="21">
        <f ca="1">T367/T$646</f>
        <v>0</v>
      </c>
      <c r="V367" s="22">
        <f ca="1">U367*V$676</f>
        <v>0</v>
      </c>
      <c r="W367" s="2">
        <v>0</v>
      </c>
      <c r="X367" s="21">
        <f ca="1">W367/W$646</f>
        <v>0</v>
      </c>
      <c r="Y367" s="22">
        <f ca="1">X367*Y$676</f>
        <v>0</v>
      </c>
      <c r="Z367" s="2">
        <v>0</v>
      </c>
      <c r="AA367" s="21">
        <f ca="1">Z367/Z$646</f>
        <v>0</v>
      </c>
      <c r="AB367" s="22">
        <f ca="1">AA367*AB$676</f>
        <v>0</v>
      </c>
      <c r="AC367" s="2">
        <v>0</v>
      </c>
      <c r="AD367" s="21">
        <f ca="1">AC367/AC$646</f>
        <v>0</v>
      </c>
      <c r="AE367" s="22">
        <f ca="1">AD367*AE$676</f>
        <v>0</v>
      </c>
      <c r="AF367" s="2">
        <v>0</v>
      </c>
      <c r="AG367" s="21">
        <f ca="1">AF367/AF$646</f>
        <v>0</v>
      </c>
      <c r="AH367" s="22">
        <f ca="1">AG367*AH$676</f>
        <v>0</v>
      </c>
      <c r="AI367" s="2">
        <v>23086.203703297349</v>
      </c>
      <c r="AJ367" s="21">
        <f ca="1">AI367/AI$646</f>
        <v>1.8685893977488295E-4</v>
      </c>
      <c r="AK367" s="22">
        <f ca="1">AJ367*AK$676</f>
        <v>3635.8282574320283</v>
      </c>
      <c r="AL367" s="2">
        <v>117074.8486773186</v>
      </c>
    </row>
    <row r="368" spans="1:38" ht="12.75" x14ac:dyDescent="0.2">
      <c r="A368" s="8" t="s">
        <v>16</v>
      </c>
      <c r="B368" s="8" t="s">
        <v>17</v>
      </c>
      <c r="C368" s="8" t="s">
        <v>18</v>
      </c>
      <c r="D368" s="8" t="s">
        <v>31</v>
      </c>
      <c r="E368" s="8" t="s">
        <v>32</v>
      </c>
      <c r="F368" s="23" t="s">
        <v>22</v>
      </c>
      <c r="G368" s="8" t="s">
        <v>728</v>
      </c>
      <c r="H368" s="20">
        <v>1570996.7647182026</v>
      </c>
      <c r="I368" s="21">
        <f>H368/H$650</f>
        <v>3.1425950057698139E-2</v>
      </c>
      <c r="J368" s="22">
        <f>I368*J$680</f>
        <v>538784.52628451004</v>
      </c>
      <c r="K368" s="2">
        <v>1592551.1649093288</v>
      </c>
      <c r="L368" s="21">
        <f ca="1">K368/K$650</f>
        <v>3.748957764108523E-2</v>
      </c>
      <c r="M368" s="22">
        <f ca="1">L368*M$680</f>
        <v>414123.44585053349</v>
      </c>
      <c r="N368" s="2">
        <v>11865000</v>
      </c>
      <c r="O368" s="21">
        <f ca="1">N368/N$650</f>
        <v>0.14974283929060758</v>
      </c>
      <c r="P368" s="22">
        <f ca="1">O368*P$680</f>
        <v>1697120.5632648976</v>
      </c>
      <c r="Q368" s="2">
        <v>11865000</v>
      </c>
      <c r="R368" s="21">
        <f ca="1">Q368/Q$650</f>
        <v>0.18844095072374439</v>
      </c>
      <c r="S368" s="22">
        <f ca="1">R368*S$680</f>
        <v>2184829.5067611528</v>
      </c>
      <c r="T368" s="2">
        <v>11865000</v>
      </c>
      <c r="U368" s="21">
        <f ca="1">T368/T$650</f>
        <v>0.416461087217737</v>
      </c>
      <c r="V368" s="22">
        <f ca="1">U368*V$680</f>
        <v>4929949.1125229085</v>
      </c>
      <c r="W368" s="2">
        <v>11865000</v>
      </c>
      <c r="X368" s="21">
        <f ca="1">W368/W$650</f>
        <v>0.29802372526916293</v>
      </c>
      <c r="Y368" s="22">
        <f ca="1">X368*Y$680</f>
        <v>3598479.3823986039</v>
      </c>
      <c r="Z368" s="2">
        <v>11874183.11323218</v>
      </c>
      <c r="AA368" s="21">
        <f ca="1">Z368/Z$650</f>
        <v>0.3633815274677461</v>
      </c>
      <c r="AB368" s="22">
        <f ca="1">AA368*AB$680</f>
        <v>4466617.9177390635</v>
      </c>
      <c r="AC368" s="2">
        <v>11865000</v>
      </c>
      <c r="AD368" s="21">
        <f ca="1">AC368/AC$650</f>
        <v>0.37179982650350396</v>
      </c>
      <c r="AE368" s="22">
        <f ca="1">AD368*AE$680</f>
        <v>4656925.868088305</v>
      </c>
      <c r="AF368" s="2">
        <v>11865000</v>
      </c>
      <c r="AG368" s="21">
        <f ca="1">AF368/AF$650</f>
        <v>0.33653222631772917</v>
      </c>
      <c r="AH368" s="22">
        <f ca="1">AG368*AH$680</f>
        <v>4291059.9136469709</v>
      </c>
      <c r="AI368" s="2">
        <v>11862814.108400973</v>
      </c>
      <c r="AJ368" s="21">
        <f ca="1">AI368/AI$650</f>
        <v>0.2502778848638762</v>
      </c>
      <c r="AK368" s="22">
        <f ca="1">AJ368*AK$680</f>
        <v>3248689.2669350025</v>
      </c>
      <c r="AL368" s="2">
        <v>118656997.22163315</v>
      </c>
    </row>
    <row r="369" spans="1:38" ht="12.75" x14ac:dyDescent="0.2">
      <c r="A369" s="8" t="s">
        <v>16</v>
      </c>
      <c r="B369" s="8" t="s">
        <v>17</v>
      </c>
      <c r="C369" s="8" t="s">
        <v>18</v>
      </c>
      <c r="D369" s="8" t="s">
        <v>31</v>
      </c>
      <c r="E369" s="8" t="s">
        <v>32</v>
      </c>
      <c r="F369" s="8" t="s">
        <v>25</v>
      </c>
      <c r="G369" s="8" t="s">
        <v>729</v>
      </c>
      <c r="H369" s="20">
        <v>0</v>
      </c>
      <c r="I369" s="21">
        <f>H369/H$652</f>
        <v>0</v>
      </c>
      <c r="J369" s="22">
        <f>I369*J$682</f>
        <v>0</v>
      </c>
      <c r="K369" s="2">
        <v>0</v>
      </c>
      <c r="L369" s="21">
        <f ca="1">K369/K$652</f>
        <v>0</v>
      </c>
      <c r="M369" s="22">
        <f ca="1">L369*M$682</f>
        <v>0</v>
      </c>
      <c r="N369" s="2">
        <v>6750000</v>
      </c>
      <c r="O369" s="21">
        <f ca="1">N369/N$652</f>
        <v>0.13525809297589142</v>
      </c>
      <c r="P369" s="22">
        <f ca="1">O369*P$682</f>
        <v>5005343.9028635332</v>
      </c>
      <c r="Q369" s="2">
        <v>6750000</v>
      </c>
      <c r="R369" s="21">
        <f ca="1">Q369/Q$652</f>
        <v>0.13599402886096959</v>
      </c>
      <c r="S369" s="22">
        <f ca="1">R369*S$682</f>
        <v>5148327.143257359</v>
      </c>
      <c r="T369" s="2">
        <v>6750000</v>
      </c>
      <c r="U369" s="21">
        <f ca="1">T369/T$652</f>
        <v>0.1538471068963479</v>
      </c>
      <c r="V369" s="22">
        <f ca="1">U369*V$682</f>
        <v>5946499.2926863963</v>
      </c>
      <c r="W369" s="2">
        <v>6750000</v>
      </c>
      <c r="X369" s="21">
        <f ca="1">W369/W$652</f>
        <v>0.14652351872392458</v>
      </c>
      <c r="Y369" s="22">
        <f ca="1">X369*Y$682</f>
        <v>5776696.4774944689</v>
      </c>
      <c r="Z369" s="2">
        <v>6750000</v>
      </c>
      <c r="AA369" s="21">
        <f ca="1">Z369/Z$652</f>
        <v>0.1460942088222634</v>
      </c>
      <c r="AB369" s="22">
        <f ca="1">AA369*AB$682</f>
        <v>5863446.791387789</v>
      </c>
      <c r="AC369" s="2">
        <v>6750000</v>
      </c>
      <c r="AD369" s="21">
        <f ca="1">AC369/AC$652</f>
        <v>0.10835822508764002</v>
      </c>
      <c r="AE369" s="22">
        <f ca="1">AD369*AE$682</f>
        <v>4431554.0873685703</v>
      </c>
      <c r="AF369" s="2">
        <v>6750000</v>
      </c>
      <c r="AG369" s="21">
        <f ca="1">AF369/AF$652</f>
        <v>0.1008493203378896</v>
      </c>
      <c r="AH369" s="22">
        <f ca="1">AG369*AH$682</f>
        <v>4198700.775096898</v>
      </c>
      <c r="AI369" s="2">
        <v>6750000</v>
      </c>
      <c r="AJ369" s="21">
        <f ca="1">AI369/AI$652</f>
        <v>9.0112940042707118E-2</v>
      </c>
      <c r="AK369" s="22">
        <f ca="1">AJ369*AK$682</f>
        <v>3819239.4433546024</v>
      </c>
      <c r="AL369" s="2">
        <v>67500000</v>
      </c>
    </row>
    <row r="370" spans="1:38" ht="12.75" x14ac:dyDescent="0.2">
      <c r="A370" s="8" t="s">
        <v>16</v>
      </c>
      <c r="B370" s="8" t="s">
        <v>17</v>
      </c>
      <c r="C370" s="8" t="s">
        <v>18</v>
      </c>
      <c r="D370" s="8" t="s">
        <v>31</v>
      </c>
      <c r="E370" s="8" t="s">
        <v>32</v>
      </c>
      <c r="F370" s="8" t="s">
        <v>26</v>
      </c>
      <c r="G370" s="8" t="s">
        <v>730</v>
      </c>
      <c r="H370" s="20">
        <v>10662276.711228788</v>
      </c>
      <c r="I370" s="21">
        <f>H370/H$655</f>
        <v>0.26882734725292795</v>
      </c>
      <c r="J370" s="22">
        <f>I370*J$685</f>
        <v>648808.8883933021</v>
      </c>
      <c r="K370" s="2">
        <v>316617.32374872913</v>
      </c>
      <c r="L370" s="21">
        <f ca="1">K370/K$655</f>
        <v>7.9750313652278554E-3</v>
      </c>
      <c r="M370" s="22">
        <f ca="1">L370*M$685</f>
        <v>22066.991537899128</v>
      </c>
      <c r="N370" s="2">
        <v>0</v>
      </c>
      <c r="O370" s="21">
        <f ca="1">N370/N$655</f>
        <v>0</v>
      </c>
      <c r="P370" s="22">
        <f ca="1">O370*P$685</f>
        <v>0</v>
      </c>
      <c r="Q370" s="2">
        <v>0</v>
      </c>
      <c r="R370" s="21">
        <f ca="1">Q370/Q$655</f>
        <v>0</v>
      </c>
      <c r="S370" s="22">
        <f ca="1">R370*S$685</f>
        <v>0</v>
      </c>
      <c r="T370" s="2">
        <v>0</v>
      </c>
      <c r="U370" s="21">
        <f ca="1">T370/T$655</f>
        <v>0</v>
      </c>
      <c r="V370" s="22">
        <f ca="1">U370*V$685</f>
        <v>0</v>
      </c>
      <c r="W370" s="2">
        <v>0</v>
      </c>
      <c r="X370" s="21">
        <f ca="1">W370/W$655</f>
        <v>0</v>
      </c>
      <c r="Y370" s="22">
        <f ca="1">X370*Y$685</f>
        <v>0</v>
      </c>
      <c r="Z370" s="2">
        <v>0</v>
      </c>
      <c r="AA370" s="21">
        <f ca="1">Z370/Z$655</f>
        <v>0</v>
      </c>
      <c r="AB370" s="22">
        <f ca="1">AA370*AB$685</f>
        <v>0</v>
      </c>
      <c r="AC370" s="2">
        <v>0</v>
      </c>
      <c r="AD370" s="21">
        <f ca="1">AC370/AC$655</f>
        <v>0</v>
      </c>
      <c r="AE370" s="22">
        <f ca="1">AD370*AE$685</f>
        <v>0</v>
      </c>
      <c r="AF370" s="2">
        <v>0</v>
      </c>
      <c r="AG370" s="21">
        <f ca="1">AF370/AF$655</f>
        <v>0</v>
      </c>
      <c r="AH370" s="22">
        <f ca="1">AG370*AH$685</f>
        <v>0</v>
      </c>
      <c r="AI370" s="2">
        <v>0</v>
      </c>
      <c r="AJ370" s="21">
        <f ca="1">AI370/AI$655</f>
        <v>0</v>
      </c>
      <c r="AK370" s="22">
        <f ca="1">AJ370*AK$685</f>
        <v>0</v>
      </c>
      <c r="AL370" s="2">
        <v>0</v>
      </c>
    </row>
    <row r="371" spans="1:38" ht="12.75" x14ac:dyDescent="0.2">
      <c r="A371" s="8" t="s">
        <v>16</v>
      </c>
      <c r="B371" s="8" t="s">
        <v>17</v>
      </c>
      <c r="C371" s="8" t="s">
        <v>18</v>
      </c>
      <c r="D371" s="8" t="s">
        <v>31</v>
      </c>
      <c r="E371" s="8" t="s">
        <v>32</v>
      </c>
      <c r="F371" s="8" t="s">
        <v>27</v>
      </c>
      <c r="G371" s="8" t="s">
        <v>731</v>
      </c>
      <c r="H371" s="20">
        <v>1906927.766576238</v>
      </c>
      <c r="I371" s="21">
        <f>H371/H$657</f>
        <v>3.7388361965269269E-2</v>
      </c>
      <c r="J371" s="22">
        <f>I371*J$687</f>
        <v>387828.76828686078</v>
      </c>
      <c r="K371" s="2">
        <v>850000</v>
      </c>
      <c r="L371" s="21">
        <f ca="1">K371/K$657</f>
        <v>2.1762322817123272E-2</v>
      </c>
      <c r="M371" s="22">
        <f ca="1">L371*M$687</f>
        <v>341810.98968096473</v>
      </c>
      <c r="N371" s="2">
        <v>0</v>
      </c>
      <c r="O371" s="21">
        <f ca="1">N371/N$657</f>
        <v>0</v>
      </c>
      <c r="P371" s="22">
        <f ca="1">O371*P$687</f>
        <v>0</v>
      </c>
      <c r="Q371" s="2">
        <v>47434.841857479179</v>
      </c>
      <c r="R371" s="21">
        <f ca="1">Q371/Q$657</f>
        <v>8.58834875871323E-4</v>
      </c>
      <c r="S371" s="22">
        <f ca="1">R371*S$687</f>
        <v>14158.375954649648</v>
      </c>
      <c r="T371" s="2">
        <v>8787.5066199244611</v>
      </c>
      <c r="U371" s="21">
        <f ca="1">T371/T$657</f>
        <v>2.2715207349089056E-4</v>
      </c>
      <c r="V371" s="22">
        <f ca="1">U371*V$687</f>
        <v>3823.3690095939355</v>
      </c>
      <c r="W371" s="2">
        <v>0</v>
      </c>
      <c r="X371" s="21">
        <f ca="1">W371/W$657</f>
        <v>0</v>
      </c>
      <c r="Y371" s="22">
        <f ca="1">X371*Y$687</f>
        <v>0</v>
      </c>
      <c r="Z371" s="2">
        <v>30971.060848871504</v>
      </c>
      <c r="AA371" s="21">
        <f ca="1">Z371/Z$657</f>
        <v>6.3851587714260278E-4</v>
      </c>
      <c r="AB371" s="22">
        <f ca="1">AA371*AB$687</f>
        <v>11159.613679712153</v>
      </c>
      <c r="AC371" s="2">
        <v>0</v>
      </c>
      <c r="AD371" s="21">
        <f ca="1">AC371/AC$657</f>
        <v>0</v>
      </c>
      <c r="AE371" s="22">
        <f ca="1">AD371*AE$687</f>
        <v>0</v>
      </c>
      <c r="AF371" s="2">
        <v>9155.4424723167813</v>
      </c>
      <c r="AG371" s="21">
        <f ca="1">AF371/AF$657</f>
        <v>1.8319130855623455E-4</v>
      </c>
      <c r="AH371" s="22">
        <f ca="1">AG371*AH$687</f>
        <v>3321.2707968655122</v>
      </c>
      <c r="AI371" s="2">
        <v>0</v>
      </c>
      <c r="AJ371" s="21">
        <f ca="1">AI371/AI$657</f>
        <v>0</v>
      </c>
      <c r="AK371" s="22">
        <f ca="1">AJ371*AK$687</f>
        <v>0</v>
      </c>
      <c r="AL371" s="2">
        <v>96348.851798591917</v>
      </c>
    </row>
    <row r="372" spans="1:38" ht="12.75" x14ac:dyDescent="0.2">
      <c r="A372" s="8" t="s">
        <v>16</v>
      </c>
      <c r="B372" s="8" t="s">
        <v>17</v>
      </c>
      <c r="C372" s="8" t="s">
        <v>18</v>
      </c>
      <c r="D372" s="8" t="s">
        <v>31</v>
      </c>
      <c r="E372" s="8" t="s">
        <v>32</v>
      </c>
      <c r="F372" s="8" t="s">
        <v>28</v>
      </c>
      <c r="G372" s="8" t="s">
        <v>732</v>
      </c>
      <c r="H372" s="20">
        <v>2175749.4242133754</v>
      </c>
      <c r="I372" s="21">
        <f>H372/H$669</f>
        <v>0.25607807777364022</v>
      </c>
      <c r="J372" s="22">
        <f>I372*J$699</f>
        <v>2853981.4701325758</v>
      </c>
      <c r="K372" s="2">
        <v>761823.80293322273</v>
      </c>
      <c r="L372" s="21">
        <f ca="1">K372/K$669</f>
        <v>0.10501602277189669</v>
      </c>
      <c r="M372" s="22">
        <f ca="1">L372*M$699</f>
        <v>497746.85850048246</v>
      </c>
      <c r="N372" s="2">
        <v>0</v>
      </c>
      <c r="O372" s="21">
        <f ca="1">N372/N$669</f>
        <v>0</v>
      </c>
      <c r="P372" s="22">
        <f ca="1">O372*P$699</f>
        <v>0</v>
      </c>
      <c r="Q372" s="2">
        <v>0</v>
      </c>
      <c r="R372" s="21">
        <f ca="1">Q372/Q$669</f>
        <v>0</v>
      </c>
      <c r="S372" s="22">
        <f ca="1">R372*S$699</f>
        <v>0</v>
      </c>
      <c r="T372" s="2">
        <v>304090.46464389056</v>
      </c>
      <c r="U372" s="21">
        <f ca="1">T372/T$669</f>
        <v>1.0652192282303453E-2</v>
      </c>
      <c r="V372" s="22">
        <f ca="1">U372*V$699</f>
        <v>54105.410332951498</v>
      </c>
      <c r="W372" s="2">
        <v>0</v>
      </c>
      <c r="X372" s="21">
        <f ca="1">W372/W$669</f>
        <v>0</v>
      </c>
      <c r="Y372" s="22">
        <f ca="1">X372*Y$699</f>
        <v>0</v>
      </c>
      <c r="Z372" s="2">
        <v>0</v>
      </c>
      <c r="AA372" s="21">
        <f ca="1">Z372/Z$669</f>
        <v>0</v>
      </c>
      <c r="AB372" s="22">
        <f ca="1">AA372*AB$699</f>
        <v>0</v>
      </c>
      <c r="AC372" s="2">
        <v>0</v>
      </c>
      <c r="AD372" s="21">
        <f ca="1">AC372/AC$669</f>
        <v>0</v>
      </c>
      <c r="AE372" s="22">
        <f ca="1">AD372*AE$699</f>
        <v>0</v>
      </c>
      <c r="AF372" s="2">
        <v>0</v>
      </c>
      <c r="AG372" s="21">
        <f ca="1">AF372/AF$669</f>
        <v>0</v>
      </c>
      <c r="AH372" s="22">
        <f ca="1">AG372*AH$699</f>
        <v>0</v>
      </c>
      <c r="AI372" s="2">
        <v>0</v>
      </c>
      <c r="AJ372" s="21">
        <f ca="1">AI372/AI$669</f>
        <v>0</v>
      </c>
      <c r="AK372" s="22">
        <f ca="1">AJ372*AK$699</f>
        <v>0</v>
      </c>
      <c r="AL372" s="2">
        <v>832554.34793200949</v>
      </c>
    </row>
    <row r="373" spans="1:38" ht="12.75" x14ac:dyDescent="0.2">
      <c r="A373" s="8" t="s">
        <v>16</v>
      </c>
      <c r="B373" s="8" t="s">
        <v>17</v>
      </c>
      <c r="C373" s="8" t="s">
        <v>18</v>
      </c>
      <c r="D373" s="8" t="s">
        <v>31</v>
      </c>
      <c r="E373" s="8" t="s">
        <v>32</v>
      </c>
      <c r="F373" s="8" t="s">
        <v>48</v>
      </c>
      <c r="G373" s="8" t="s">
        <v>733</v>
      </c>
      <c r="H373" s="20">
        <v>0</v>
      </c>
      <c r="I373" s="21">
        <f>H373/H$663</f>
        <v>0</v>
      </c>
      <c r="J373" s="22">
        <f>I373*J$693</f>
        <v>0</v>
      </c>
      <c r="K373" s="2">
        <v>0</v>
      </c>
      <c r="L373" s="21">
        <f ca="1">K373/K$663</f>
        <v>0</v>
      </c>
      <c r="M373" s="22">
        <f ca="1">L373*M$693</f>
        <v>0</v>
      </c>
      <c r="N373" s="2">
        <v>195750</v>
      </c>
      <c r="O373" s="21">
        <f ca="1">N373/N$663</f>
        <v>1.0683769361005086E-2</v>
      </c>
      <c r="P373" s="22">
        <f ca="1">O373*P$693</f>
        <v>250530.58253811669</v>
      </c>
      <c r="Q373" s="2">
        <v>195750</v>
      </c>
      <c r="R373" s="21">
        <f ca="1">Q373/Q$663</f>
        <v>8.9892124904634232E-3</v>
      </c>
      <c r="S373" s="22">
        <f ca="1">R373*S$693</f>
        <v>215642.0861125192</v>
      </c>
      <c r="T373" s="2">
        <v>255846.92977151988</v>
      </c>
      <c r="U373" s="21">
        <f ca="1">T373/T$663</f>
        <v>1.207232944880038E-2</v>
      </c>
      <c r="V373" s="22">
        <f ca="1">U373*V$693</f>
        <v>295684.59503425343</v>
      </c>
      <c r="W373" s="2">
        <v>195750</v>
      </c>
      <c r="X373" s="21">
        <f ca="1">W373/W$663</f>
        <v>8.742850792874346E-3</v>
      </c>
      <c r="Y373" s="22">
        <f ca="1">X373*Y$693</f>
        <v>218419.22334086231</v>
      </c>
      <c r="Z373" s="2">
        <v>210340.07706784995</v>
      </c>
      <c r="AA373" s="21">
        <f ca="1">Z373/Z$663</f>
        <v>8.2873722896881132E-3</v>
      </c>
      <c r="AB373" s="22">
        <f ca="1">AA373*AB$693</f>
        <v>210766.90521641957</v>
      </c>
      <c r="AC373" s="2">
        <v>195750</v>
      </c>
      <c r="AD373" s="21">
        <f ca="1">AC373/AC$663</f>
        <v>1.2939305517277939E-2</v>
      </c>
      <c r="AE373" s="22">
        <f ca="1">AD373*AE$693</f>
        <v>335328.69686792162</v>
      </c>
      <c r="AF373" s="2">
        <v>241631.8198314319</v>
      </c>
      <c r="AG373" s="21">
        <f ca="1">AF373/AF$663</f>
        <v>9.0924418441079621E-3</v>
      </c>
      <c r="AH373" s="22">
        <f ca="1">AG373*AH$693</f>
        <v>239876.69898683199</v>
      </c>
      <c r="AI373" s="2">
        <v>195750</v>
      </c>
      <c r="AJ373" s="21">
        <f ca="1">AI373/AI$663</f>
        <v>8.1571875448722807E-3</v>
      </c>
      <c r="AK373" s="22">
        <f ca="1">AJ373*AK$693</f>
        <v>219076.48149101314</v>
      </c>
      <c r="AL373" s="2">
        <v>2078068.8266708017</v>
      </c>
    </row>
    <row r="374" spans="1:38" ht="12.75" x14ac:dyDescent="0.2">
      <c r="A374" s="8" t="s">
        <v>16</v>
      </c>
      <c r="B374" s="8" t="s">
        <v>17</v>
      </c>
      <c r="C374" s="8" t="s">
        <v>18</v>
      </c>
      <c r="D374" s="8" t="s">
        <v>31</v>
      </c>
      <c r="E374" s="8" t="s">
        <v>132</v>
      </c>
      <c r="F374" s="8" t="s">
        <v>21</v>
      </c>
      <c r="G374" s="8" t="s">
        <v>734</v>
      </c>
      <c r="H374" s="20">
        <v>450000</v>
      </c>
      <c r="I374" s="21">
        <f>H374/H$645</f>
        <v>2.9783234908432345E-2</v>
      </c>
      <c r="J374" s="22">
        <f>I374*J$675</f>
        <v>4205.3927690706469</v>
      </c>
      <c r="K374" s="2">
        <v>450000</v>
      </c>
      <c r="L374" s="21">
        <f ca="1">K374/K$645</f>
        <v>2.9413812438804372E-2</v>
      </c>
      <c r="M374" s="22">
        <f ca="1">L374*M$675</f>
        <v>12690.883514846535</v>
      </c>
      <c r="N374" s="2">
        <v>0</v>
      </c>
      <c r="O374" s="21">
        <f ca="1">N374/N$645</f>
        <v>0</v>
      </c>
      <c r="P374" s="22">
        <f ca="1">O374*P$675</f>
        <v>0</v>
      </c>
      <c r="Q374" s="2">
        <v>200130.0108576396</v>
      </c>
      <c r="R374" s="21">
        <f ca="1">Q374/Q$645</f>
        <v>7.9268161762302419E-3</v>
      </c>
      <c r="S374" s="22">
        <f ca="1">R374*S$675</f>
        <v>3589.7344065003481</v>
      </c>
      <c r="T374" s="2">
        <v>0</v>
      </c>
      <c r="U374" s="21">
        <f ca="1">T374/T$645</f>
        <v>0</v>
      </c>
      <c r="V374" s="22">
        <f ca="1">U374*V$675</f>
        <v>0</v>
      </c>
      <c r="W374" s="2">
        <v>0</v>
      </c>
      <c r="X374" s="21">
        <f ca="1">W374/W$645</f>
        <v>0</v>
      </c>
      <c r="Y374" s="22">
        <f ca="1">X374*Y$675</f>
        <v>0</v>
      </c>
      <c r="Z374" s="2">
        <v>0</v>
      </c>
      <c r="AA374" s="21">
        <f ca="1">Z374/Z$645</f>
        <v>0</v>
      </c>
      <c r="AB374" s="22">
        <f ca="1">AA374*AB$675</f>
        <v>0</v>
      </c>
      <c r="AC374" s="2">
        <v>2691684.0119038909</v>
      </c>
      <c r="AD374" s="21">
        <f ca="1">AC374/AC$645</f>
        <v>0.11334195219576748</v>
      </c>
      <c r="AE374" s="22">
        <f ca="1">AD374*AE$675</f>
        <v>55450.070189865197</v>
      </c>
      <c r="AF374" s="2">
        <v>0</v>
      </c>
      <c r="AG374" s="21">
        <f ca="1">AF374/AF$645</f>
        <v>0</v>
      </c>
      <c r="AH374" s="22">
        <f ca="1">AG374*AH$675</f>
        <v>0</v>
      </c>
      <c r="AI374" s="2">
        <v>0</v>
      </c>
      <c r="AJ374" s="21">
        <f ca="1">AI374/AI$645</f>
        <v>0</v>
      </c>
      <c r="AK374" s="22">
        <f ca="1">AJ374*AK$675</f>
        <v>0</v>
      </c>
      <c r="AL374" s="2">
        <v>2891814.0227615302</v>
      </c>
    </row>
    <row r="375" spans="1:38" ht="12.75" x14ac:dyDescent="0.2">
      <c r="A375" s="8" t="s">
        <v>16</v>
      </c>
      <c r="B375" s="8" t="s">
        <v>17</v>
      </c>
      <c r="C375" s="8" t="s">
        <v>18</v>
      </c>
      <c r="D375" s="8" t="s">
        <v>31</v>
      </c>
      <c r="E375" s="8" t="s">
        <v>132</v>
      </c>
      <c r="F375" s="8" t="s">
        <v>24</v>
      </c>
      <c r="G375" s="8" t="s">
        <v>735</v>
      </c>
      <c r="H375" s="20">
        <v>1000000</v>
      </c>
      <c r="I375" s="21">
        <f>H375/H$646</f>
        <v>1.2178918163189147E-2</v>
      </c>
      <c r="J375" s="22">
        <f>I375*J$676</f>
        <v>26204.647476644295</v>
      </c>
      <c r="K375" s="2">
        <v>1000000</v>
      </c>
      <c r="L375" s="21">
        <f ca="1">K375/K$646</f>
        <v>1.5833738934736757E-2</v>
      </c>
      <c r="M375" s="22">
        <f ca="1">L375*M$676</f>
        <v>61561.787566984342</v>
      </c>
      <c r="N375" s="2">
        <v>12789559.773013294</v>
      </c>
      <c r="O375" s="21">
        <f ca="1">N375/N$646</f>
        <v>0.13643680163595953</v>
      </c>
      <c r="P375" s="22">
        <f ca="1">O375*P$676</f>
        <v>2317938.6917942027</v>
      </c>
      <c r="Q375" s="2">
        <v>12476707.561721951</v>
      </c>
      <c r="R375" s="21">
        <f ca="1">Q375/Q$646</f>
        <v>0.11217785863166897</v>
      </c>
      <c r="S375" s="22">
        <f ca="1">R375*S$676</f>
        <v>1949634.4662739134</v>
      </c>
      <c r="T375" s="2">
        <v>10081609.853497589</v>
      </c>
      <c r="U375" s="21">
        <f ca="1">T375/T$646</f>
        <v>0.12016637457537896</v>
      </c>
      <c r="V375" s="22">
        <f ca="1">U375*V$676</f>
        <v>2132331.6301987167</v>
      </c>
      <c r="W375" s="2">
        <v>11529725.72425187</v>
      </c>
      <c r="X375" s="21">
        <f ca="1">W375/W$646</f>
        <v>0.13190871651015842</v>
      </c>
      <c r="Y375" s="22">
        <f ca="1">X375*Y$676</f>
        <v>2387511.4161106846</v>
      </c>
      <c r="Z375" s="2">
        <v>9969735.4909054246</v>
      </c>
      <c r="AA375" s="21">
        <f ca="1">Z375/Z$646</f>
        <v>8.5897344696724609E-2</v>
      </c>
      <c r="AB375" s="22">
        <f ca="1">AA375*AB$676</f>
        <v>1582703.1954128535</v>
      </c>
      <c r="AC375" s="2">
        <v>10947053.885080585</v>
      </c>
      <c r="AD375" s="21">
        <f ca="1">AC375/AC$646</f>
        <v>0.10521379189898063</v>
      </c>
      <c r="AE375" s="22">
        <f ca="1">AD375*AE$676</f>
        <v>1975452.5257020816</v>
      </c>
      <c r="AF375" s="2">
        <v>13401633.875358341</v>
      </c>
      <c r="AG375" s="21">
        <f ca="1">AF375/AF$646</f>
        <v>0.1423680320913743</v>
      </c>
      <c r="AH375" s="22">
        <f ca="1">AG375*AH$676</f>
        <v>2721160.6637741751</v>
      </c>
      <c r="AI375" s="2">
        <v>24009328.258548547</v>
      </c>
      <c r="AJ375" s="21">
        <f ca="1">AI375/AI$646</f>
        <v>0.19433067821621716</v>
      </c>
      <c r="AK375" s="22">
        <f ca="1">AJ375*AK$676</f>
        <v>3781210.4253383223</v>
      </c>
      <c r="AL375" s="2">
        <v>123931304.53807208</v>
      </c>
    </row>
    <row r="376" spans="1:38" ht="12.75" x14ac:dyDescent="0.2">
      <c r="A376" s="8" t="s">
        <v>16</v>
      </c>
      <c r="B376" s="8" t="s">
        <v>17</v>
      </c>
      <c r="C376" s="8" t="s">
        <v>18</v>
      </c>
      <c r="D376" s="8" t="s">
        <v>31</v>
      </c>
      <c r="E376" s="8" t="s">
        <v>132</v>
      </c>
      <c r="F376" s="23" t="s">
        <v>22</v>
      </c>
      <c r="G376" s="8" t="s">
        <v>736</v>
      </c>
      <c r="H376" s="20">
        <v>200000</v>
      </c>
      <c r="I376" s="21">
        <f>H376/H$650</f>
        <v>4.0007657257442111E-3</v>
      </c>
      <c r="J376" s="22">
        <f>I376*J$680</f>
        <v>68591.424041685328</v>
      </c>
      <c r="K376" s="2">
        <v>200000</v>
      </c>
      <c r="L376" s="21">
        <f ca="1">K376/K$650</f>
        <v>4.7081159421612281E-3</v>
      </c>
      <c r="M376" s="22">
        <f ca="1">L376*M$680</f>
        <v>52007.553035083991</v>
      </c>
      <c r="N376" s="2">
        <v>0</v>
      </c>
      <c r="O376" s="21">
        <f ca="1">N376/N$650</f>
        <v>0</v>
      </c>
      <c r="P376" s="22">
        <f ca="1">O376*P$680</f>
        <v>0</v>
      </c>
      <c r="Q376" s="2">
        <v>0</v>
      </c>
      <c r="R376" s="21">
        <f ca="1">Q376/Q$650</f>
        <v>0</v>
      </c>
      <c r="S376" s="22">
        <f ca="1">R376*S$680</f>
        <v>0</v>
      </c>
      <c r="T376" s="2">
        <v>0</v>
      </c>
      <c r="U376" s="21">
        <f ca="1">T376/T$650</f>
        <v>0</v>
      </c>
      <c r="V376" s="22">
        <f ca="1">U376*V$680</f>
        <v>0</v>
      </c>
      <c r="W376" s="2">
        <v>0</v>
      </c>
      <c r="X376" s="21">
        <f ca="1">W376/W$650</f>
        <v>0</v>
      </c>
      <c r="Y376" s="22">
        <f ca="1">X376*Y$680</f>
        <v>0</v>
      </c>
      <c r="Z376" s="2">
        <v>0</v>
      </c>
      <c r="AA376" s="21">
        <f ca="1">Z376/Z$650</f>
        <v>0</v>
      </c>
      <c r="AB376" s="22">
        <f ca="1">AA376*AB$680</f>
        <v>0</v>
      </c>
      <c r="AC376" s="2">
        <v>0</v>
      </c>
      <c r="AD376" s="21">
        <f ca="1">AC376/AC$650</f>
        <v>0</v>
      </c>
      <c r="AE376" s="22">
        <f ca="1">AD376*AE$680</f>
        <v>0</v>
      </c>
      <c r="AF376" s="2">
        <v>235425.6635738601</v>
      </c>
      <c r="AG376" s="21">
        <f ca="1">AF376/AF$650</f>
        <v>6.6774818958988506E-3</v>
      </c>
      <c r="AH376" s="22">
        <f ca="1">AG376*AH$680</f>
        <v>85143.331445893709</v>
      </c>
      <c r="AI376" s="2">
        <v>0</v>
      </c>
      <c r="AJ376" s="21">
        <f ca="1">AI376/AI$650</f>
        <v>0</v>
      </c>
      <c r="AK376" s="22">
        <f ca="1">AJ376*AK$680</f>
        <v>0</v>
      </c>
      <c r="AL376" s="2">
        <v>235425.6635738601</v>
      </c>
    </row>
    <row r="377" spans="1:38" ht="12.75" x14ac:dyDescent="0.2">
      <c r="A377" s="8" t="s">
        <v>16</v>
      </c>
      <c r="B377" s="8" t="s">
        <v>17</v>
      </c>
      <c r="C377" s="8" t="s">
        <v>18</v>
      </c>
      <c r="D377" s="8" t="s">
        <v>31</v>
      </c>
      <c r="E377" s="8" t="s">
        <v>132</v>
      </c>
      <c r="F377" s="8" t="s">
        <v>25</v>
      </c>
      <c r="G377" s="8" t="s">
        <v>737</v>
      </c>
      <c r="H377" s="20">
        <v>1000000</v>
      </c>
      <c r="I377" s="21">
        <f>H377/H$652</f>
        <v>7.1683581912794211E-2</v>
      </c>
      <c r="J377" s="22">
        <f>I377*J$682</f>
        <v>5159390.9699525535</v>
      </c>
      <c r="K377" s="2">
        <v>1000000</v>
      </c>
      <c r="L377" s="21">
        <f ca="1">K377/K$652</f>
        <v>4.4513402903548771E-2</v>
      </c>
      <c r="M377" s="22">
        <f ca="1">L377*M$682</f>
        <v>1605514.0008056962</v>
      </c>
      <c r="N377" s="2">
        <v>3238430.9202581686</v>
      </c>
      <c r="O377" s="21">
        <f ca="1">N377/N$652</f>
        <v>6.4892443038263845E-2</v>
      </c>
      <c r="P377" s="22">
        <f ca="1">O377*P$682</f>
        <v>2401401.5498605873</v>
      </c>
      <c r="Q377" s="2">
        <v>580000</v>
      </c>
      <c r="R377" s="21">
        <f ca="1">Q377/Q$652</f>
        <v>1.1685412850275904E-2</v>
      </c>
      <c r="S377" s="22">
        <f ca="1">R377*S$682</f>
        <v>442374.77675396565</v>
      </c>
      <c r="T377" s="2">
        <v>580000</v>
      </c>
      <c r="U377" s="21">
        <f ca="1">T377/T$652</f>
        <v>1.3219455111093598E-2</v>
      </c>
      <c r="V377" s="22">
        <f ca="1">U377*V$682</f>
        <v>510958.4577419422</v>
      </c>
      <c r="W377" s="2">
        <v>736135.76909370231</v>
      </c>
      <c r="X377" s="21">
        <f ca="1">W377/W$652</f>
        <v>1.5979437503133586E-2</v>
      </c>
      <c r="Y377" s="22">
        <f ca="1">X377*Y$682</f>
        <v>629990.05989352171</v>
      </c>
      <c r="Z377" s="2">
        <v>580000</v>
      </c>
      <c r="AA377" s="21">
        <f ca="1">Z377/Z$652</f>
        <v>1.2553280165468559E-2</v>
      </c>
      <c r="AB377" s="22">
        <f ca="1">AA377*AB$682</f>
        <v>503822.09466739523</v>
      </c>
      <c r="AC377" s="2">
        <v>7495192.8069022149</v>
      </c>
      <c r="AD377" s="21">
        <f ca="1">AC377/AC$652</f>
        <v>0.12032085766601046</v>
      </c>
      <c r="AE377" s="22">
        <f ca="1">AD377*AE$682</f>
        <v>4920792.9361545211</v>
      </c>
      <c r="AF377" s="2">
        <v>580000</v>
      </c>
      <c r="AG377" s="21">
        <f ca="1">AF377/AF$652</f>
        <v>8.6655712290334766E-3</v>
      </c>
      <c r="AH377" s="22">
        <f ca="1">AG377*AH$682</f>
        <v>360777.25178610382</v>
      </c>
      <c r="AI377" s="2">
        <v>580000</v>
      </c>
      <c r="AJ377" s="21">
        <f ca="1">AI377/AI$652</f>
        <v>7.7430378110770566E-3</v>
      </c>
      <c r="AK377" s="22">
        <f ca="1">AJ377*AK$682</f>
        <v>328171.68550306215</v>
      </c>
      <c r="AL377" s="2">
        <v>16190339.350364234</v>
      </c>
    </row>
    <row r="378" spans="1:38" ht="12.75" x14ac:dyDescent="0.2">
      <c r="A378" s="8" t="s">
        <v>16</v>
      </c>
      <c r="B378" s="8" t="s">
        <v>17</v>
      </c>
      <c r="C378" s="8" t="s">
        <v>18</v>
      </c>
      <c r="D378" s="8" t="s">
        <v>31</v>
      </c>
      <c r="E378" s="8" t="s">
        <v>132</v>
      </c>
      <c r="F378" s="8" t="s">
        <v>26</v>
      </c>
      <c r="G378" s="8" t="s">
        <v>738</v>
      </c>
      <c r="H378" s="20">
        <v>1000000</v>
      </c>
      <c r="I378" s="21">
        <f>H378/H$655</f>
        <v>2.5212940400413469E-2</v>
      </c>
      <c r="J378" s="22">
        <f>I378*J$685</f>
        <v>60850.876971709098</v>
      </c>
      <c r="K378" s="2">
        <v>1000000</v>
      </c>
      <c r="L378" s="21">
        <f ca="1">K378/K$655</f>
        <v>2.5188234398560338E-2</v>
      </c>
      <c r="M378" s="22">
        <f ca="1">L378*M$685</f>
        <v>69696.096463160444</v>
      </c>
      <c r="N378" s="2">
        <v>0</v>
      </c>
      <c r="O378" s="21">
        <f ca="1">N378/N$655</f>
        <v>0</v>
      </c>
      <c r="P378" s="22">
        <f ca="1">O378*P$685</f>
        <v>0</v>
      </c>
      <c r="Q378" s="2">
        <v>1334200.0723842639</v>
      </c>
      <c r="R378" s="21">
        <f ca="1">Q378/Q$655</f>
        <v>9.5835708489603218E-3</v>
      </c>
      <c r="S378" s="22">
        <f ca="1">R378*S$685</f>
        <v>27833.068004322653</v>
      </c>
      <c r="T378" s="2">
        <v>0</v>
      </c>
      <c r="U378" s="21">
        <f ca="1">T378/T$655</f>
        <v>0</v>
      </c>
      <c r="V378" s="22">
        <f ca="1">U378*V$685</f>
        <v>0</v>
      </c>
      <c r="W378" s="2">
        <v>1334493.7529376263</v>
      </c>
      <c r="X378" s="21">
        <f ca="1">W378/W$655</f>
        <v>1.2448086844686476E-2</v>
      </c>
      <c r="Y378" s="22">
        <f ca="1">X378*Y$685</f>
        <v>37649.762975172147</v>
      </c>
      <c r="Z378" s="2">
        <v>1330885.9756783873</v>
      </c>
      <c r="AA378" s="21">
        <f ca="1">Z378/Z$655</f>
        <v>1.1537747672941504E-2</v>
      </c>
      <c r="AB378" s="22">
        <f ca="1">AA378*AB$685</f>
        <v>35524.539096494402</v>
      </c>
      <c r="AC378" s="2">
        <v>1320197.1758118011</v>
      </c>
      <c r="AD378" s="21">
        <f ca="1">AC378/AC$655</f>
        <v>1.1718410854845341E-2</v>
      </c>
      <c r="AE378" s="22">
        <f ca="1">AD378*AE$685</f>
        <v>36766.333241997767</v>
      </c>
      <c r="AF378" s="2">
        <v>0</v>
      </c>
      <c r="AG378" s="21">
        <f ca="1">AF378/AF$655</f>
        <v>0</v>
      </c>
      <c r="AH378" s="22">
        <f ca="1">AG378*AH$685</f>
        <v>0</v>
      </c>
      <c r="AI378" s="2">
        <v>7488185.0783840632</v>
      </c>
      <c r="AJ378" s="21">
        <f ca="1">AI378/AI$655</f>
        <v>4.044121814527156E-2</v>
      </c>
      <c r="AK378" s="22">
        <f ca="1">AJ378*AK$685</f>
        <v>131492.62138552539</v>
      </c>
      <c r="AL378" s="2">
        <v>14129121.763416439</v>
      </c>
    </row>
    <row r="379" spans="1:38" ht="12.75" x14ac:dyDescent="0.2">
      <c r="A379" s="8" t="s">
        <v>16</v>
      </c>
      <c r="B379" s="8" t="s">
        <v>17</v>
      </c>
      <c r="C379" s="8" t="s">
        <v>18</v>
      </c>
      <c r="D379" s="8" t="s">
        <v>31</v>
      </c>
      <c r="E379" s="8" t="s">
        <v>132</v>
      </c>
      <c r="F379" s="8" t="s">
        <v>27</v>
      </c>
      <c r="G379" s="8" t="s">
        <v>739</v>
      </c>
      <c r="H379" s="20">
        <v>600000</v>
      </c>
      <c r="I379" s="21">
        <f>H379/H$657</f>
        <v>1.1763957488247472E-2</v>
      </c>
      <c r="J379" s="22">
        <f>I379*J$687</f>
        <v>122027.30751039875</v>
      </c>
      <c r="K379" s="2">
        <v>600000</v>
      </c>
      <c r="L379" s="21">
        <f ca="1">K379/K$657</f>
        <v>1.5361639635616429E-2</v>
      </c>
      <c r="M379" s="22">
        <f ca="1">L379*M$687</f>
        <v>241278.3456571516</v>
      </c>
      <c r="N379" s="2">
        <v>230000</v>
      </c>
      <c r="O379" s="21">
        <f ca="1">N379/N$657</f>
        <v>4.158428788755197E-3</v>
      </c>
      <c r="P379" s="22">
        <f ca="1">O379*P$687</f>
        <v>67012.744220833876</v>
      </c>
      <c r="Q379" s="2">
        <v>230000</v>
      </c>
      <c r="R379" s="21">
        <f ca="1">Q379/Q$657</f>
        <v>4.1642812269491918E-3</v>
      </c>
      <c r="S379" s="22">
        <f ca="1">R379*S$687</f>
        <v>68650.51810130509</v>
      </c>
      <c r="T379" s="2">
        <v>230000</v>
      </c>
      <c r="U379" s="21">
        <f ca="1">T379/T$657</f>
        <v>5.9453698486492783E-3</v>
      </c>
      <c r="V379" s="22">
        <f ca="1">U379*V$687</f>
        <v>100071.03382576619</v>
      </c>
      <c r="W379" s="2">
        <v>230000</v>
      </c>
      <c r="X379" s="21">
        <f ca="1">W379/W$657</f>
        <v>5.8694059614511863E-3</v>
      </c>
      <c r="Y379" s="22">
        <f ca="1">X379*Y$687</f>
        <v>100768.27649859923</v>
      </c>
      <c r="Z379" s="2">
        <v>599485.46222822438</v>
      </c>
      <c r="AA379" s="21">
        <f ca="1">Z379/Z$657</f>
        <v>1.2359311410633865E-2</v>
      </c>
      <c r="AB379" s="22">
        <f ca="1">AA379*AB$687</f>
        <v>216008.94453424643</v>
      </c>
      <c r="AC379" s="2">
        <v>230000</v>
      </c>
      <c r="AD379" s="21">
        <f ca="1">AC379/AC$657</f>
        <v>4.1873655873774498E-3</v>
      </c>
      <c r="AE379" s="22">
        <f ca="1">AD379*AE$687</f>
        <v>74574.873191355699</v>
      </c>
      <c r="AF379" s="2">
        <v>277327.09798011184</v>
      </c>
      <c r="AG379" s="21">
        <f ca="1">AF379/AF$657</f>
        <v>5.5490397248079528E-3</v>
      </c>
      <c r="AH379" s="22">
        <f ca="1">AG379*AH$687</f>
        <v>100604.46499291119</v>
      </c>
      <c r="AI379" s="2">
        <v>230000</v>
      </c>
      <c r="AJ379" s="21">
        <f ca="1">AI379/AI$657</f>
        <v>4.1446415830570533E-3</v>
      </c>
      <c r="AK379" s="22">
        <f ca="1">AJ379*AK$687</f>
        <v>76495.199179148054</v>
      </c>
      <c r="AL379" s="2">
        <v>4302204.2100726934</v>
      </c>
    </row>
    <row r="380" spans="1:38" ht="12.75" x14ac:dyDescent="0.2">
      <c r="A380" s="8" t="s">
        <v>16</v>
      </c>
      <c r="B380" s="8" t="s">
        <v>17</v>
      </c>
      <c r="C380" s="8" t="s">
        <v>18</v>
      </c>
      <c r="D380" s="8" t="s">
        <v>31</v>
      </c>
      <c r="E380" s="8" t="s">
        <v>132</v>
      </c>
      <c r="F380" s="8" t="s">
        <v>28</v>
      </c>
      <c r="G380" s="8" t="s">
        <v>740</v>
      </c>
      <c r="H380" s="20">
        <v>20000</v>
      </c>
      <c r="I380" s="21">
        <f>H380/H$669</f>
        <v>2.3539298682450365E-3</v>
      </c>
      <c r="J380" s="22">
        <f>I380*J$699</f>
        <v>26234.468347975409</v>
      </c>
      <c r="K380" s="2">
        <v>20000</v>
      </c>
      <c r="L380" s="21">
        <f ca="1">K380/K$669</f>
        <v>2.7569635489875029E-3</v>
      </c>
      <c r="M380" s="22">
        <f ca="1">L380*M$699</f>
        <v>13067.243543297694</v>
      </c>
      <c r="N380" s="2">
        <v>230000</v>
      </c>
      <c r="O380" s="21">
        <f ca="1">N380/N$669</f>
        <v>8.1547459531944068E-3</v>
      </c>
      <c r="P380" s="22">
        <f ca="1">O380*P$699</f>
        <v>39656.169130613271</v>
      </c>
      <c r="Q380" s="2">
        <v>230000</v>
      </c>
      <c r="R380" s="21">
        <f ca="1">Q380/Q$669</f>
        <v>6.0845300503411101E-3</v>
      </c>
      <c r="S380" s="22">
        <f ca="1">R380*S$699</f>
        <v>30269.343093960546</v>
      </c>
      <c r="T380" s="2">
        <v>230000</v>
      </c>
      <c r="U380" s="21">
        <f ca="1">T380/T$669</f>
        <v>8.0568268649887018E-3</v>
      </c>
      <c r="V380" s="22">
        <f ca="1">U380*V$699</f>
        <v>40922.836535344359</v>
      </c>
      <c r="W380" s="2">
        <v>230000</v>
      </c>
      <c r="X380" s="21">
        <f ca="1">W380/W$669</f>
        <v>8.2455630330866628E-3</v>
      </c>
      <c r="Y380" s="22">
        <f ca="1">X380*Y$699</f>
        <v>42719.108932431824</v>
      </c>
      <c r="Z380" s="2">
        <v>230000</v>
      </c>
      <c r="AA380" s="21">
        <f ca="1">Z380/Z$669</f>
        <v>7.8180084684381333E-3</v>
      </c>
      <c r="AB380" s="22">
        <f ca="1">AA380*AB$699</f>
        <v>41233.080737042001</v>
      </c>
      <c r="AC380" s="2">
        <v>230000</v>
      </c>
      <c r="AD380" s="21">
        <f ca="1">AC380/AC$669</f>
        <v>7.2930942165011269E-3</v>
      </c>
      <c r="AE380" s="22">
        <f ca="1">AD380*AE$699</f>
        <v>39195.450042177188</v>
      </c>
      <c r="AF380" s="2">
        <v>230000</v>
      </c>
      <c r="AG380" s="21">
        <f ca="1">AF380/AF$669</f>
        <v>5.7300437033990636E-3</v>
      </c>
      <c r="AH380" s="22">
        <f ca="1">AG380*AH$699</f>
        <v>31349.422415791028</v>
      </c>
      <c r="AI380" s="2">
        <v>230000</v>
      </c>
      <c r="AJ380" s="21">
        <f ca="1">AI380/AI$669</f>
        <v>5.2573847526988064E-3</v>
      </c>
      <c r="AK380" s="22">
        <f ca="1">AJ380*AK$699</f>
        <v>29281.218723732367</v>
      </c>
      <c r="AL380" s="2">
        <v>2300000</v>
      </c>
    </row>
    <row r="381" spans="1:38" ht="12.75" x14ac:dyDescent="0.2">
      <c r="A381" s="8" t="s">
        <v>16</v>
      </c>
      <c r="B381" s="8" t="s">
        <v>17</v>
      </c>
      <c r="C381" s="8" t="s">
        <v>18</v>
      </c>
      <c r="D381" s="8" t="s">
        <v>31</v>
      </c>
      <c r="E381" s="8" t="s">
        <v>133</v>
      </c>
      <c r="F381" s="8" t="s">
        <v>24</v>
      </c>
      <c r="G381" s="8" t="s">
        <v>741</v>
      </c>
      <c r="H381" s="20">
        <v>3200230.9151643114</v>
      </c>
      <c r="I381" s="21">
        <f>H381/H$646</f>
        <v>3.8975350419094057E-2</v>
      </c>
      <c r="J381" s="22">
        <f>I381*J$676</f>
        <v>83860.922975739537</v>
      </c>
      <c r="K381" s="2">
        <v>3124000</v>
      </c>
      <c r="L381" s="21">
        <f ca="1">K381/K$646</f>
        <v>4.9464600432117631E-2</v>
      </c>
      <c r="M381" s="22">
        <f ca="1">L381*M$676</f>
        <v>192319.02435925909</v>
      </c>
      <c r="N381" s="2">
        <v>12740957.466773558</v>
      </c>
      <c r="O381" s="21">
        <f ca="1">N381/N$646</f>
        <v>0.13591832067702356</v>
      </c>
      <c r="P381" s="22">
        <f ca="1">O381*P$676</f>
        <v>2309130.1660792497</v>
      </c>
      <c r="Q381" s="2">
        <v>4785552.9053363902</v>
      </c>
      <c r="R381" s="21">
        <f ca="1">Q381/Q$646</f>
        <v>4.3026822151076227E-2</v>
      </c>
      <c r="S381" s="22">
        <f ca="1">R381*S$676</f>
        <v>747799.7571286679</v>
      </c>
      <c r="T381" s="2">
        <v>3870421.6861473825</v>
      </c>
      <c r="U381" s="21">
        <f ca="1">T381/T$646</f>
        <v>4.6132963768767743E-2</v>
      </c>
      <c r="V381" s="22">
        <f ca="1">U381*V$676</f>
        <v>818621.50028707087</v>
      </c>
      <c r="W381" s="2">
        <v>703817.80963892583</v>
      </c>
      <c r="X381" s="21">
        <f ca="1">W381/W$646</f>
        <v>8.0522040286856705E-3</v>
      </c>
      <c r="Y381" s="22">
        <f ca="1">X381*Y$676</f>
        <v>145742.67381230238</v>
      </c>
      <c r="Z381" s="2">
        <v>26051000.650639821</v>
      </c>
      <c r="AA381" s="21">
        <f ca="1">Z381/Z$646</f>
        <v>0.22445046657696058</v>
      </c>
      <c r="AB381" s="22">
        <f ca="1">AA381*AB$676</f>
        <v>4135616.4374753619</v>
      </c>
      <c r="AC381" s="2">
        <v>16798469.780993506</v>
      </c>
      <c r="AD381" s="21">
        <f ca="1">AC381/AC$646</f>
        <v>0.16145263577879562</v>
      </c>
      <c r="AE381" s="22">
        <f ca="1">AD381*AE$676</f>
        <v>3031370.8058037418</v>
      </c>
      <c r="AF381" s="2">
        <v>4858658.2970106741</v>
      </c>
      <c r="AG381" s="21">
        <f ca="1">AF381/AF$646</f>
        <v>5.1614424538317133E-2</v>
      </c>
      <c r="AH381" s="22">
        <f ca="1">AG381*AH$676</f>
        <v>986535.66867360438</v>
      </c>
      <c r="AI381" s="2">
        <v>887693.42201386648</v>
      </c>
      <c r="AJ381" s="21">
        <f ca="1">AI381/AI$646</f>
        <v>7.1849600659530484E-3</v>
      </c>
      <c r="AK381" s="22">
        <f ca="1">AJ381*AK$676</f>
        <v>139802.14630236386</v>
      </c>
      <c r="AL381" s="2">
        <v>81675466.053531632</v>
      </c>
    </row>
    <row r="382" spans="1:38" ht="12.75" x14ac:dyDescent="0.2">
      <c r="A382" s="8" t="s">
        <v>16</v>
      </c>
      <c r="B382" s="8" t="s">
        <v>17</v>
      </c>
      <c r="C382" s="8" t="s">
        <v>18</v>
      </c>
      <c r="D382" s="8" t="s">
        <v>31</v>
      </c>
      <c r="E382" s="8" t="s">
        <v>133</v>
      </c>
      <c r="F382" s="23" t="s">
        <v>22</v>
      </c>
      <c r="G382" s="8" t="s">
        <v>742</v>
      </c>
      <c r="H382" s="20">
        <v>1860000</v>
      </c>
      <c r="I382" s="21">
        <f>H382/H$650</f>
        <v>3.7207121249421167E-2</v>
      </c>
      <c r="J382" s="22">
        <f>I382*J$680</f>
        <v>637900.24358767364</v>
      </c>
      <c r="K382" s="2">
        <v>1860000</v>
      </c>
      <c r="L382" s="21">
        <f ca="1">K382/K$650</f>
        <v>4.3785478262099421E-2</v>
      </c>
      <c r="M382" s="22">
        <f ca="1">L382*M$680</f>
        <v>483670.24322628108</v>
      </c>
      <c r="N382" s="2">
        <v>850000</v>
      </c>
      <c r="O382" s="21">
        <f ca="1">N382/N$650</f>
        <v>1.0727468470039312E-2</v>
      </c>
      <c r="P382" s="22">
        <f ca="1">O382*P$680</f>
        <v>121580.48704384011</v>
      </c>
      <c r="Q382" s="2">
        <v>850000</v>
      </c>
      <c r="R382" s="21">
        <f ca="1">Q382/Q$650</f>
        <v>1.3499773123909205E-2</v>
      </c>
      <c r="S382" s="22">
        <f ca="1">R382*S$680</f>
        <v>156519.60225427558</v>
      </c>
      <c r="T382" s="2">
        <v>850000</v>
      </c>
      <c r="U382" s="21">
        <f ca="1">T382/T$650</f>
        <v>2.983497042857787E-2</v>
      </c>
      <c r="V382" s="22">
        <f ca="1">U382*V$680</f>
        <v>353177.98109097948</v>
      </c>
      <c r="W382" s="2">
        <v>850000</v>
      </c>
      <c r="X382" s="21">
        <f ca="1">W382/W$650</f>
        <v>2.1350203664457522E-2</v>
      </c>
      <c r="Y382" s="22">
        <f ca="1">X382*Y$680</f>
        <v>257792.45470196489</v>
      </c>
      <c r="Z382" s="2">
        <v>850000</v>
      </c>
      <c r="AA382" s="21">
        <f ca="1">Z382/Z$650</f>
        <v>2.6012256624490259E-2</v>
      </c>
      <c r="AB382" s="22">
        <f ca="1">AA382*AB$680</f>
        <v>319737.80376078043</v>
      </c>
      <c r="AC382" s="2">
        <v>850000</v>
      </c>
      <c r="AD382" s="21">
        <f ca="1">AC382/AC$650</f>
        <v>2.6635470082425481E-2</v>
      </c>
      <c r="AE382" s="22">
        <f ca="1">AD382*AE$680</f>
        <v>333618.79375263874</v>
      </c>
      <c r="AF382" s="2">
        <v>850000</v>
      </c>
      <c r="AG382" s="21">
        <f ca="1">AF382/AF$650</f>
        <v>2.410892476781035E-2</v>
      </c>
      <c r="AH382" s="22">
        <f ca="1">AG382*AH$680</f>
        <v>307408.42196375265</v>
      </c>
      <c r="AI382" s="2">
        <v>850000</v>
      </c>
      <c r="AJ382" s="21">
        <f ca="1">AI382/AI$650</f>
        <v>1.7933030071139687E-2</v>
      </c>
      <c r="AK382" s="22">
        <f ca="1">AJ382*AK$680</f>
        <v>232776.62885564414</v>
      </c>
      <c r="AL382" s="2">
        <v>9556927.766576238</v>
      </c>
    </row>
    <row r="383" spans="1:38" ht="12.75" x14ac:dyDescent="0.2">
      <c r="A383" s="8" t="s">
        <v>16</v>
      </c>
      <c r="B383" s="8" t="s">
        <v>17</v>
      </c>
      <c r="C383" s="8" t="s">
        <v>18</v>
      </c>
      <c r="D383" s="8" t="s">
        <v>31</v>
      </c>
      <c r="E383" s="8" t="s">
        <v>133</v>
      </c>
      <c r="F383" s="8" t="s">
        <v>25</v>
      </c>
      <c r="G383" s="8" t="s">
        <v>743</v>
      </c>
      <c r="H383" s="20">
        <v>0</v>
      </c>
      <c r="I383" s="21">
        <f>H383/H$652</f>
        <v>0</v>
      </c>
      <c r="J383" s="22">
        <f>I383*J$682</f>
        <v>0</v>
      </c>
      <c r="K383" s="2">
        <v>0</v>
      </c>
      <c r="L383" s="21">
        <f ca="1">K383/K$652</f>
        <v>0</v>
      </c>
      <c r="M383" s="22">
        <f ca="1">L383*M$682</f>
        <v>0</v>
      </c>
      <c r="N383" s="2">
        <v>1464083.902582759</v>
      </c>
      <c r="O383" s="21">
        <f ca="1">N383/N$652</f>
        <v>2.9337658758525152E-2</v>
      </c>
      <c r="P383" s="22">
        <f ca="1">O383*P$682</f>
        <v>1085665.6940849274</v>
      </c>
      <c r="Q383" s="2">
        <v>460169.01411493146</v>
      </c>
      <c r="R383" s="21">
        <f ca="1">Q383/Q$652</f>
        <v>9.271146397995542E-3</v>
      </c>
      <c r="S383" s="22">
        <f ca="1">R383*S$682</f>
        <v>350977.87049687118</v>
      </c>
      <c r="T383" s="2">
        <v>200000</v>
      </c>
      <c r="U383" s="21">
        <f ca="1">T383/T$652</f>
        <v>4.558432796928827E-3</v>
      </c>
      <c r="V383" s="22">
        <f ca="1">U383*V$682</f>
        <v>176192.5716351525</v>
      </c>
      <c r="W383" s="2">
        <v>805860.16383368243</v>
      </c>
      <c r="X383" s="21">
        <f ca="1">W383/W$652</f>
        <v>1.7492958045088814E-2</v>
      </c>
      <c r="Y383" s="22">
        <f ca="1">X383*Y$682</f>
        <v>689660.67700313323</v>
      </c>
      <c r="Z383" s="2">
        <v>269114.77195734461</v>
      </c>
      <c r="AA383" s="21">
        <f ca="1">Z383/Z$652</f>
        <v>5.8246088431840141E-3</v>
      </c>
      <c r="AB383" s="22">
        <f ca="1">AA383*AB$682</f>
        <v>233768.91054049612</v>
      </c>
      <c r="AC383" s="2">
        <v>660537.58281018864</v>
      </c>
      <c r="AD383" s="21">
        <f ca="1">AC383/AC$652</f>
        <v>1.0603656307702531E-2</v>
      </c>
      <c r="AE383" s="22">
        <f ca="1">AD383*AE$682</f>
        <v>433660.44814267365</v>
      </c>
      <c r="AF383" s="2">
        <v>600690.86954253505</v>
      </c>
      <c r="AG383" s="21">
        <f ca="1">AF383/AF$652</f>
        <v>8.9747060631911943E-3</v>
      </c>
      <c r="AH383" s="22">
        <f ca="1">AG383*AH$682</f>
        <v>373647.58808027726</v>
      </c>
      <c r="AI383" s="2">
        <v>545444.33432414499</v>
      </c>
      <c r="AJ383" s="21">
        <f ca="1">AI383/AI$652</f>
        <v>7.2817174215682925E-3</v>
      </c>
      <c r="AK383" s="22">
        <f ca="1">AJ383*AK$682</f>
        <v>308619.63197112136</v>
      </c>
      <c r="AL383" s="2">
        <v>7943473.8663121844</v>
      </c>
    </row>
    <row r="384" spans="1:38" ht="12.75" x14ac:dyDescent="0.2">
      <c r="A384" s="8" t="s">
        <v>16</v>
      </c>
      <c r="B384" s="8" t="s">
        <v>17</v>
      </c>
      <c r="C384" s="8" t="s">
        <v>18</v>
      </c>
      <c r="D384" s="8" t="s">
        <v>31</v>
      </c>
      <c r="E384" s="8" t="s">
        <v>133</v>
      </c>
      <c r="F384" s="8" t="s">
        <v>26</v>
      </c>
      <c r="G384" s="8" t="s">
        <v>744</v>
      </c>
      <c r="H384" s="20">
        <v>1835252.4108646773</v>
      </c>
      <c r="I384" s="21">
        <f>H384/H$655</f>
        <v>4.6272109654846239E-2</v>
      </c>
      <c r="J384" s="22">
        <f>I384*J$685</f>
        <v>111676.71866555899</v>
      </c>
      <c r="K384" s="2">
        <v>1812000</v>
      </c>
      <c r="L384" s="21">
        <f ca="1">K384/K$655</f>
        <v>4.5641080730191332E-2</v>
      </c>
      <c r="M384" s="22">
        <f ca="1">L384*M$685</f>
        <v>126289.32679124671</v>
      </c>
      <c r="N384" s="2">
        <v>0</v>
      </c>
      <c r="O384" s="21">
        <f ca="1">N384/N$655</f>
        <v>0</v>
      </c>
      <c r="P384" s="22">
        <f ca="1">O384*P$685</f>
        <v>0</v>
      </c>
      <c r="Q384" s="2">
        <v>0</v>
      </c>
      <c r="R384" s="21">
        <f ca="1">Q384/Q$655</f>
        <v>0</v>
      </c>
      <c r="S384" s="22">
        <f ca="1">R384*S$685</f>
        <v>0</v>
      </c>
      <c r="T384" s="2">
        <v>0</v>
      </c>
      <c r="U384" s="21">
        <f ca="1">T384/T$655</f>
        <v>0</v>
      </c>
      <c r="V384" s="22">
        <f ca="1">U384*V$685</f>
        <v>0</v>
      </c>
      <c r="W384" s="2">
        <v>0</v>
      </c>
      <c r="X384" s="21">
        <f ca="1">W384/W$655</f>
        <v>0</v>
      </c>
      <c r="Y384" s="22">
        <f ca="1">X384*Y$685</f>
        <v>0</v>
      </c>
      <c r="Z384" s="2">
        <v>0</v>
      </c>
      <c r="AA384" s="21">
        <f ca="1">Z384/Z$655</f>
        <v>0</v>
      </c>
      <c r="AB384" s="22">
        <f ca="1">AA384*AB$685</f>
        <v>0</v>
      </c>
      <c r="AC384" s="2">
        <v>0</v>
      </c>
      <c r="AD384" s="21">
        <f ca="1">AC384/AC$655</f>
        <v>0</v>
      </c>
      <c r="AE384" s="22">
        <f ca="1">AD384*AE$685</f>
        <v>0</v>
      </c>
      <c r="AF384" s="2">
        <v>1294841.1496562306</v>
      </c>
      <c r="AG384" s="21">
        <f ca="1">AF384/AF$655</f>
        <v>1.0749985457685329E-2</v>
      </c>
      <c r="AH384" s="22">
        <f ca="1">AG384*AH$685</f>
        <v>34335.016027438811</v>
      </c>
      <c r="AI384" s="2">
        <v>888899.2114599013</v>
      </c>
      <c r="AJ384" s="21">
        <f ca="1">AI384/AI$655</f>
        <v>4.8006514987964603E-3</v>
      </c>
      <c r="AK384" s="22">
        <f ca="1">AJ384*AK$685</f>
        <v>15609.08100412659</v>
      </c>
      <c r="AL384" s="2">
        <v>2183740.3611161318</v>
      </c>
    </row>
    <row r="385" spans="1:38" ht="12.75" x14ac:dyDescent="0.2">
      <c r="A385" s="8" t="s">
        <v>16</v>
      </c>
      <c r="B385" s="8" t="s">
        <v>17</v>
      </c>
      <c r="C385" s="8" t="s">
        <v>18</v>
      </c>
      <c r="D385" s="8" t="s">
        <v>31</v>
      </c>
      <c r="E385" s="8" t="s">
        <v>133</v>
      </c>
      <c r="F385" s="8" t="s">
        <v>38</v>
      </c>
      <c r="G385" s="8" t="s">
        <v>745</v>
      </c>
      <c r="H385" s="20">
        <v>3664000</v>
      </c>
      <c r="I385" s="21">
        <f>H385/H$656</f>
        <v>0.17117283929062585</v>
      </c>
      <c r="J385" s="22">
        <f>I385*J$686</f>
        <v>6688100.609541066</v>
      </c>
      <c r="K385" s="2">
        <v>3664000</v>
      </c>
      <c r="L385" s="21">
        <f ca="1">K385/K$656</f>
        <v>0.27006194316980747</v>
      </c>
      <c r="M385" s="22">
        <f ca="1">L385*M$686</f>
        <v>10322238.726040874</v>
      </c>
      <c r="N385" s="2">
        <v>450000</v>
      </c>
      <c r="O385" s="21">
        <f ca="1">N385/N$656</f>
        <v>3.0272811350515665E-2</v>
      </c>
      <c r="P385" s="22">
        <f ca="1">O385*P$686</f>
        <v>1187163.7474452008</v>
      </c>
      <c r="Q385" s="2">
        <v>450000</v>
      </c>
      <c r="R385" s="21">
        <f ca="1">Q385/Q$656</f>
        <v>3.1861324957104198E-2</v>
      </c>
      <c r="S385" s="22">
        <f ca="1">R385*S$686</f>
        <v>1278195.6560476499</v>
      </c>
      <c r="T385" s="2">
        <v>450000</v>
      </c>
      <c r="U385" s="21">
        <f ca="1">T385/T$656</f>
        <v>4.7774092761604402E-2</v>
      </c>
      <c r="V385" s="22">
        <f ca="1">U385*V$686</f>
        <v>1956823.6826032668</v>
      </c>
      <c r="W385" s="2">
        <v>450000</v>
      </c>
      <c r="X385" s="21">
        <f ca="1">W385/W$656</f>
        <v>2.6483109000262538E-2</v>
      </c>
      <c r="Y385" s="22">
        <f ca="1">X385*Y$686</f>
        <v>1106441.3225822221</v>
      </c>
      <c r="Z385" s="2">
        <v>450000</v>
      </c>
      <c r="AA385" s="21">
        <f ca="1">Z385/Z$656</f>
        <v>1.1077869132234502E-2</v>
      </c>
      <c r="AB385" s="22">
        <f ca="1">AA385*AB$686</f>
        <v>471154.59106696193</v>
      </c>
      <c r="AC385" s="2">
        <v>450000</v>
      </c>
      <c r="AD385" s="21">
        <f ca="1">AC385/AC$656</f>
        <v>4.120647691108878E-2</v>
      </c>
      <c r="AE385" s="22">
        <f ca="1">AD385*AE$686</f>
        <v>1785857.7620262331</v>
      </c>
      <c r="AF385" s="2">
        <v>450000</v>
      </c>
      <c r="AG385" s="21">
        <f ca="1">AF385/AF$656</f>
        <v>2.2361004169338203E-2</v>
      </c>
      <c r="AH385" s="22">
        <f ca="1">AG385*AH$686</f>
        <v>986553.09116596426</v>
      </c>
      <c r="AI385" s="2">
        <v>450000</v>
      </c>
      <c r="AJ385" s="21">
        <f ca="1">AI385/AI$656</f>
        <v>1.1280730312111754E-2</v>
      </c>
      <c r="AK385" s="22">
        <f ca="1">AJ385*AK$686</f>
        <v>506657.12419103569</v>
      </c>
      <c r="AL385" s="2">
        <v>4500000</v>
      </c>
    </row>
    <row r="386" spans="1:38" ht="12.75" x14ac:dyDescent="0.2">
      <c r="A386" s="8" t="s">
        <v>16</v>
      </c>
      <c r="B386" s="8" t="s">
        <v>17</v>
      </c>
      <c r="C386" s="8" t="s">
        <v>18</v>
      </c>
      <c r="D386" s="8" t="s">
        <v>31</v>
      </c>
      <c r="E386" s="8" t="s">
        <v>133</v>
      </c>
      <c r="F386" s="8" t="s">
        <v>27</v>
      </c>
      <c r="G386" s="8" t="s">
        <v>746</v>
      </c>
      <c r="H386" s="20">
        <v>928463.88328811899</v>
      </c>
      <c r="I386" s="21">
        <f>H386/H$657</f>
        <v>1.820401608729099E-2</v>
      </c>
      <c r="J386" s="22">
        <f>I386*J$687</f>
        <v>188829.91299716377</v>
      </c>
      <c r="K386" s="2">
        <v>400000</v>
      </c>
      <c r="L386" s="21">
        <f ca="1">K386/K$657</f>
        <v>1.0241093090410953E-2</v>
      </c>
      <c r="M386" s="22">
        <f ca="1">L386*M$687</f>
        <v>160852.23043810105</v>
      </c>
      <c r="N386" s="2">
        <v>1000000</v>
      </c>
      <c r="O386" s="21">
        <f ca="1">N386/N$657</f>
        <v>1.8080125168500855E-2</v>
      </c>
      <c r="P386" s="22">
        <f ca="1">O386*P$687</f>
        <v>291359.75748188642</v>
      </c>
      <c r="Q386" s="2">
        <v>1000000</v>
      </c>
      <c r="R386" s="21">
        <f ca="1">Q386/Q$657</f>
        <v>1.8105570551953009E-2</v>
      </c>
      <c r="S386" s="22">
        <f ca="1">R386*S$687</f>
        <v>298480.51348393515</v>
      </c>
      <c r="T386" s="2">
        <v>1000000</v>
      </c>
      <c r="U386" s="21">
        <f ca="1">T386/T$657</f>
        <v>2.584943412456208E-2</v>
      </c>
      <c r="V386" s="22">
        <f ca="1">U386*V$687</f>
        <v>435091.45141637477</v>
      </c>
      <c r="W386" s="2">
        <v>1000000</v>
      </c>
      <c r="X386" s="21">
        <f ca="1">W386/W$657</f>
        <v>2.5519156354135594E-2</v>
      </c>
      <c r="Y386" s="22">
        <f ca="1">X386*Y$687</f>
        <v>438122.9412982575</v>
      </c>
      <c r="Z386" s="2">
        <v>1013042.6825616482</v>
      </c>
      <c r="AA386" s="21">
        <f ca="1">Z386/Z$657</f>
        <v>2.0885427212039308E-2</v>
      </c>
      <c r="AB386" s="22">
        <f ca="1">AA386*AB$687</f>
        <v>365023.49834294402</v>
      </c>
      <c r="AC386" s="2">
        <v>1000000</v>
      </c>
      <c r="AD386" s="21">
        <f ca="1">AC386/AC$657</f>
        <v>1.8205937336423696E-2</v>
      </c>
      <c r="AE386" s="22">
        <f ca="1">AD386*AE$687</f>
        <v>324238.57909285091</v>
      </c>
      <c r="AF386" s="2">
        <v>1000000</v>
      </c>
      <c r="AG386" s="21">
        <f ca="1">AF386/AF$657</f>
        <v>2.0009006567421318E-2</v>
      </c>
      <c r="AH386" s="22">
        <f ca="1">AG386*AH$687</f>
        <v>362764.64047565201</v>
      </c>
      <c r="AI386" s="2">
        <v>1000000</v>
      </c>
      <c r="AJ386" s="21">
        <f ca="1">AI386/AI$657</f>
        <v>1.8020180795900231E-2</v>
      </c>
      <c r="AK386" s="22">
        <f ca="1">AJ386*AK$687</f>
        <v>332587.82251803501</v>
      </c>
      <c r="AL386" s="2">
        <v>10013042.682561649</v>
      </c>
    </row>
    <row r="387" spans="1:38" ht="12.75" x14ac:dyDescent="0.2">
      <c r="A387" s="8" t="s">
        <v>16</v>
      </c>
      <c r="B387" s="8" t="s">
        <v>17</v>
      </c>
      <c r="C387" s="8" t="s">
        <v>18</v>
      </c>
      <c r="D387" s="8" t="s">
        <v>31</v>
      </c>
      <c r="E387" s="8" t="s">
        <v>133</v>
      </c>
      <c r="F387" s="8" t="s">
        <v>28</v>
      </c>
      <c r="G387" s="8" t="s">
        <v>747</v>
      </c>
      <c r="H387" s="20">
        <v>40000</v>
      </c>
      <c r="I387" s="21">
        <f>H387/H$669</f>
        <v>4.7078597364900729E-3</v>
      </c>
      <c r="J387" s="22">
        <f>I387*J$699</f>
        <v>52468.936695950819</v>
      </c>
      <c r="K387" s="2">
        <v>60244.107410297976</v>
      </c>
      <c r="L387" s="21">
        <f ca="1">K387/K$669</f>
        <v>8.3045404085739707E-3</v>
      </c>
      <c r="M387" s="22">
        <f ca="1">L387*M$699</f>
        <v>39361.221178947446</v>
      </c>
      <c r="N387" s="2">
        <v>1234375.6657620973</v>
      </c>
      <c r="O387" s="21">
        <f ca="1">N387/N$669</f>
        <v>4.3765304196065717E-2</v>
      </c>
      <c r="P387" s="22">
        <f ca="1">O387*P$699</f>
        <v>212828.73987902212</v>
      </c>
      <c r="Q387" s="2">
        <v>1270428.4512338806</v>
      </c>
      <c r="R387" s="21">
        <f ca="1">Q387/Q$669</f>
        <v>3.3608522123221136E-2</v>
      </c>
      <c r="S387" s="22">
        <f ca="1">R387*S$699</f>
        <v>167195.80289881415</v>
      </c>
      <c r="T387" s="2">
        <v>1287530.5077041809</v>
      </c>
      <c r="U387" s="21">
        <f ca="1">T387/T$669</f>
        <v>4.5101784278102554E-2</v>
      </c>
      <c r="V387" s="22">
        <f ca="1">U387*V$699</f>
        <v>229084.35000455269</v>
      </c>
      <c r="W387" s="2">
        <v>1304109.15351923</v>
      </c>
      <c r="X387" s="21">
        <f ca="1">W387/W$669</f>
        <v>4.6752670553774356E-2</v>
      </c>
      <c r="Y387" s="22">
        <f ca="1">X387*Y$699</f>
        <v>242219.04777812801</v>
      </c>
      <c r="Z387" s="2">
        <v>1401247.5669138972</v>
      </c>
      <c r="AA387" s="21">
        <f ca="1">Z387/Z$669</f>
        <v>4.7630284106570338E-2</v>
      </c>
      <c r="AB387" s="22">
        <f ca="1">AA387*AB$699</f>
        <v>251207.62634410604</v>
      </c>
      <c r="AC387" s="2">
        <v>1414240.342008458</v>
      </c>
      <c r="AD387" s="21">
        <f ca="1">AC387/AC$669</f>
        <v>4.4844295908888963E-2</v>
      </c>
      <c r="AE387" s="22">
        <f ca="1">AD387*AE$699</f>
        <v>241007.76814271347</v>
      </c>
      <c r="AF387" s="2">
        <v>1428210.7690843001</v>
      </c>
      <c r="AG387" s="21">
        <f ca="1">AF387/AF$669</f>
        <v>3.558134836747056E-2</v>
      </c>
      <c r="AH387" s="22">
        <f ca="1">AG387*AH$699</f>
        <v>194667.75086437177</v>
      </c>
      <c r="AI387" s="2">
        <v>2711544.2470485358</v>
      </c>
      <c r="AJ387" s="21">
        <f ca="1">AI387/AI$669</f>
        <v>6.1981006003048428E-2</v>
      </c>
      <c r="AK387" s="22">
        <f ca="1">AJ387*AK$699</f>
        <v>345205.73989959294</v>
      </c>
      <c r="AL387" s="2">
        <v>12451686.70327458</v>
      </c>
    </row>
    <row r="388" spans="1:38" ht="12.75" x14ac:dyDescent="0.2">
      <c r="A388" s="8" t="s">
        <v>16</v>
      </c>
      <c r="B388" s="8" t="s">
        <v>17</v>
      </c>
      <c r="C388" s="8" t="s">
        <v>18</v>
      </c>
      <c r="D388" s="8" t="s">
        <v>31</v>
      </c>
      <c r="E388" s="8" t="s">
        <v>133</v>
      </c>
      <c r="F388" s="8" t="s">
        <v>34</v>
      </c>
      <c r="G388" s="8" t="s">
        <v>748</v>
      </c>
      <c r="H388" s="20">
        <v>550000</v>
      </c>
      <c r="I388" s="21">
        <f>H388/H$653</f>
        <v>0.24581862569102975</v>
      </c>
      <c r="J388" s="22">
        <f>I388*J$683</f>
        <v>517980.65022286441</v>
      </c>
      <c r="K388" s="2">
        <v>550000</v>
      </c>
      <c r="L388" s="21">
        <f ca="1">K388/K$653</f>
        <v>0.16492002967752289</v>
      </c>
      <c r="M388" s="22">
        <f ca="1">L388*M$683</f>
        <v>254096.24780487179</v>
      </c>
      <c r="N388" s="2">
        <v>1000000</v>
      </c>
      <c r="O388" s="21">
        <f ca="1">N388/N$653</f>
        <v>8.9540222885650722E-2</v>
      </c>
      <c r="P388" s="22">
        <f ca="1">O388*P$683</f>
        <v>141543.6460366075</v>
      </c>
      <c r="Q388" s="2">
        <v>1000000</v>
      </c>
      <c r="R388" s="21">
        <f ca="1">Q388/Q$653</f>
        <v>7.6440062661949429E-2</v>
      </c>
      <c r="S388" s="22">
        <f ca="1">R388*S$683</f>
        <v>123614.34637839692</v>
      </c>
      <c r="T388" s="2">
        <v>1000000</v>
      </c>
      <c r="U388" s="21">
        <f ca="1">T388/T$653</f>
        <v>7.5832098396024242E-2</v>
      </c>
      <c r="V388" s="22">
        <f ca="1">U388*V$683</f>
        <v>125206.43756903335</v>
      </c>
      <c r="W388" s="2">
        <v>1000000</v>
      </c>
      <c r="X388" s="21">
        <f ca="1">W388/W$653</f>
        <v>8.991318147872035E-2</v>
      </c>
      <c r="Y388" s="22">
        <f ca="1">X388*Y$683</f>
        <v>151424.83894885067</v>
      </c>
      <c r="Z388" s="2">
        <v>1000000</v>
      </c>
      <c r="AA388" s="21">
        <f ca="1">Z388/Z$653</f>
        <v>8.9485987912694992E-2</v>
      </c>
      <c r="AB388" s="22">
        <f ca="1">AA388*AB$683</f>
        <v>153418.08955393694</v>
      </c>
      <c r="AC388" s="2">
        <v>1000000</v>
      </c>
      <c r="AD388" s="21">
        <f ca="1">AC388/AC$653</f>
        <v>7.7035204939439328E-2</v>
      </c>
      <c r="AE388" s="22">
        <f ca="1">AD388*AE$683</f>
        <v>134581.37506772042</v>
      </c>
      <c r="AF388" s="2">
        <v>1000000</v>
      </c>
      <c r="AG388" s="21">
        <f ca="1">AF388/AF$653</f>
        <v>8.3633071387547442E-2</v>
      </c>
      <c r="AH388" s="22">
        <f ca="1">AG388*AH$683</f>
        <v>148737.86472988059</v>
      </c>
      <c r="AI388" s="2">
        <v>1000000</v>
      </c>
      <c r="AJ388" s="21">
        <f ca="1">AI388/AI$653</f>
        <v>7.3561349141372731E-2</v>
      </c>
      <c r="AK388" s="22">
        <f ca="1">AJ388*AK$683</f>
        <v>133180.59738964381</v>
      </c>
      <c r="AL388" s="2">
        <v>10000000</v>
      </c>
    </row>
    <row r="389" spans="1:38" ht="12.75" x14ac:dyDescent="0.2">
      <c r="A389" s="8" t="s">
        <v>16</v>
      </c>
      <c r="B389" s="8" t="s">
        <v>17</v>
      </c>
      <c r="C389" s="8" t="s">
        <v>18</v>
      </c>
      <c r="D389" s="8" t="s">
        <v>31</v>
      </c>
      <c r="E389" s="8" t="s">
        <v>133</v>
      </c>
      <c r="F389" s="8" t="s">
        <v>55</v>
      </c>
      <c r="G389" s="8" t="s">
        <v>749</v>
      </c>
      <c r="H389" s="20">
        <v>688000</v>
      </c>
      <c r="I389" s="21">
        <f>H389/H$654</f>
        <v>0.31184699291205453</v>
      </c>
      <c r="J389" s="22">
        <f>I389*J$684</f>
        <v>479959.02908604947</v>
      </c>
      <c r="K389" s="2">
        <v>688000</v>
      </c>
      <c r="L389" s="21">
        <f ca="1">K389/K$654</f>
        <v>0.19009240544555844</v>
      </c>
      <c r="M389" s="22">
        <f ca="1">L389*M$684</f>
        <v>566436.01909983694</v>
      </c>
      <c r="N389" s="2">
        <v>1381925.0466331327</v>
      </c>
      <c r="O389" s="21">
        <f ca="1">N389/N$654</f>
        <v>0.5056843909427039</v>
      </c>
      <c r="P389" s="22">
        <f ca="1">O389*P$684</f>
        <v>1546012.5143685499</v>
      </c>
      <c r="Q389" s="2">
        <v>1152899.3282952367</v>
      </c>
      <c r="R389" s="21">
        <f ca="1">Q389/Q$654</f>
        <v>0.37562257198694732</v>
      </c>
      <c r="S389" s="22">
        <f ca="1">R389*S$684</f>
        <v>1174791.4354146051</v>
      </c>
      <c r="T389" s="2">
        <v>1000000</v>
      </c>
      <c r="U389" s="21">
        <f ca="1">T389/T$654</f>
        <v>0.17891585822836484</v>
      </c>
      <c r="V389" s="22">
        <f ca="1">U389*V$684</f>
        <v>571325.57805553405</v>
      </c>
      <c r="W389" s="2">
        <v>1047641.4269798732</v>
      </c>
      <c r="X389" s="21">
        <f ca="1">W389/W$654</f>
        <v>0.45462962524150624</v>
      </c>
      <c r="Y389" s="22">
        <f ca="1">X389*Y$684</f>
        <v>1480787.4866610183</v>
      </c>
      <c r="Z389" s="2">
        <v>1044185.4143925224</v>
      </c>
      <c r="AA389" s="21">
        <f ca="1">Z389/Z$654</f>
        <v>0.53082117237115456</v>
      </c>
      <c r="AB389" s="22">
        <f ca="1">AA389*AB$684</f>
        <v>1760074.3683798362</v>
      </c>
      <c r="AC389" s="2">
        <v>1036569.4617699869</v>
      </c>
      <c r="AD389" s="21">
        <f ca="1">AC389/AC$654</f>
        <v>0.40406693645442676</v>
      </c>
      <c r="AE389" s="22">
        <f ca="1">AD389*AE$684</f>
        <v>1365244.0142579658</v>
      </c>
      <c r="AF389" s="2">
        <v>1307884.4511404815</v>
      </c>
      <c r="AG389" s="21">
        <f ca="1">AF389/AF$654</f>
        <v>0.4763916477908704</v>
      </c>
      <c r="AH389" s="22">
        <f ca="1">AG389*AH$684</f>
        <v>1638584.6542688722</v>
      </c>
      <c r="AI389" s="2">
        <v>1405523.9539862818</v>
      </c>
      <c r="AJ389" s="21">
        <f ca="1">AI389/AI$654</f>
        <v>0.67222841822840063</v>
      </c>
      <c r="AK389" s="22">
        <f ca="1">AJ389*AK$684</f>
        <v>2353799.0876241601</v>
      </c>
      <c r="AL389" s="2">
        <v>11376629.083197515</v>
      </c>
    </row>
    <row r="390" spans="1:38" ht="12.75" x14ac:dyDescent="0.2">
      <c r="A390" s="8" t="s">
        <v>16</v>
      </c>
      <c r="B390" s="8" t="s">
        <v>17</v>
      </c>
      <c r="C390" s="8" t="s">
        <v>18</v>
      </c>
      <c r="D390" s="8" t="s">
        <v>134</v>
      </c>
      <c r="E390" s="8" t="s">
        <v>135</v>
      </c>
      <c r="F390" s="8" t="s">
        <v>28</v>
      </c>
      <c r="G390" s="8" t="s">
        <v>750</v>
      </c>
      <c r="H390" s="20">
        <v>0</v>
      </c>
      <c r="I390" s="21">
        <f>H390/H$669</f>
        <v>0</v>
      </c>
      <c r="J390" s="22">
        <f>I390*J$699</f>
        <v>0</v>
      </c>
      <c r="K390" s="2">
        <v>0</v>
      </c>
      <c r="L390" s="21">
        <f ca="1">K390/K$669</f>
        <v>0</v>
      </c>
      <c r="M390" s="22">
        <f ca="1">L390*M$699</f>
        <v>0</v>
      </c>
      <c r="N390" s="2">
        <v>0</v>
      </c>
      <c r="O390" s="21">
        <f ca="1">N390/N$669</f>
        <v>0</v>
      </c>
      <c r="P390" s="22">
        <f ca="1">O390*P$699</f>
        <v>0</v>
      </c>
      <c r="Q390" s="2">
        <v>0</v>
      </c>
      <c r="R390" s="21">
        <f ca="1">Q390/Q$669</f>
        <v>0</v>
      </c>
      <c r="S390" s="22">
        <f ca="1">R390*S$699</f>
        <v>0</v>
      </c>
      <c r="T390" s="2">
        <v>0</v>
      </c>
      <c r="U390" s="21">
        <f ca="1">T390/T$669</f>
        <v>0</v>
      </c>
      <c r="V390" s="22">
        <f ca="1">U390*V$699</f>
        <v>0</v>
      </c>
      <c r="W390" s="2">
        <v>47812.242180249275</v>
      </c>
      <c r="X390" s="21">
        <f ca="1">W390/W$669</f>
        <v>1.7140819854367401E-3</v>
      </c>
      <c r="Y390" s="22">
        <f ca="1">X390*Y$699</f>
        <v>8880.4190521820874</v>
      </c>
      <c r="Z390" s="2">
        <v>0</v>
      </c>
      <c r="AA390" s="21">
        <f ca="1">Z390/Z$669</f>
        <v>0</v>
      </c>
      <c r="AB390" s="22">
        <f ca="1">AA390*AB$699</f>
        <v>0</v>
      </c>
      <c r="AC390" s="2">
        <v>0</v>
      </c>
      <c r="AD390" s="21">
        <f ca="1">AC390/AC$669</f>
        <v>0</v>
      </c>
      <c r="AE390" s="22">
        <f ca="1">AD390*AE$699</f>
        <v>0</v>
      </c>
      <c r="AF390" s="2">
        <v>21711.477862922653</v>
      </c>
      <c r="AG390" s="21">
        <f ca="1">AF390/AF$669</f>
        <v>5.4090311747794829E-4</v>
      </c>
      <c r="AH390" s="22">
        <f ca="1">AG390*AH$699</f>
        <v>2959.3143078080789</v>
      </c>
      <c r="AI390" s="2">
        <v>0</v>
      </c>
      <c r="AJ390" s="21">
        <f ca="1">AI390/AI$669</f>
        <v>0</v>
      </c>
      <c r="AK390" s="22">
        <f ca="1">AJ390*AK$699</f>
        <v>0</v>
      </c>
      <c r="AL390" s="2">
        <v>69523.720043171925</v>
      </c>
    </row>
    <row r="391" spans="1:38" ht="12.75" x14ac:dyDescent="0.2">
      <c r="A391" s="8" t="s">
        <v>16</v>
      </c>
      <c r="B391" s="8" t="s">
        <v>17</v>
      </c>
      <c r="C391" s="8" t="s">
        <v>18</v>
      </c>
      <c r="D391" s="8" t="s">
        <v>134</v>
      </c>
      <c r="E391" s="8" t="s">
        <v>135</v>
      </c>
      <c r="F391" s="8" t="s">
        <v>24</v>
      </c>
      <c r="G391" s="8" t="s">
        <v>751</v>
      </c>
      <c r="H391" s="20">
        <v>0</v>
      </c>
      <c r="I391" s="21">
        <f>H391/H$646</f>
        <v>0</v>
      </c>
      <c r="J391" s="22">
        <f>I391*J$676</f>
        <v>0</v>
      </c>
      <c r="K391" s="2">
        <v>0</v>
      </c>
      <c r="L391" s="21">
        <f ca="1">K391/K$646</f>
        <v>0</v>
      </c>
      <c r="M391" s="22">
        <f ca="1">L391*M$676</f>
        <v>0</v>
      </c>
      <c r="N391" s="2">
        <v>0</v>
      </c>
      <c r="O391" s="21">
        <f ca="1">N391/N$646</f>
        <v>0</v>
      </c>
      <c r="P391" s="22">
        <f ca="1">O391*P$676</f>
        <v>0</v>
      </c>
      <c r="Q391" s="2">
        <v>0</v>
      </c>
      <c r="R391" s="21">
        <f ca="1">Q391/Q$646</f>
        <v>0</v>
      </c>
      <c r="S391" s="22">
        <f ca="1">R391*S$676</f>
        <v>0</v>
      </c>
      <c r="T391" s="2">
        <v>0</v>
      </c>
      <c r="U391" s="21">
        <f ca="1">T391/T$646</f>
        <v>0</v>
      </c>
      <c r="V391" s="22">
        <f ca="1">U391*V$676</f>
        <v>0</v>
      </c>
      <c r="W391" s="2">
        <v>181657.9621186344</v>
      </c>
      <c r="X391" s="21">
        <f ca="1">W391/W$646</f>
        <v>2.0783034393018819E-3</v>
      </c>
      <c r="Y391" s="22">
        <f ca="1">X391*Y$676</f>
        <v>37616.719491719225</v>
      </c>
      <c r="Z391" s="2">
        <v>0</v>
      </c>
      <c r="AA391" s="21">
        <f ca="1">Z391/Z$646</f>
        <v>0</v>
      </c>
      <c r="AB391" s="22">
        <f ca="1">AA391*AB$676</f>
        <v>0</v>
      </c>
      <c r="AC391" s="2">
        <v>90216.914994444698</v>
      </c>
      <c r="AD391" s="21">
        <f ca="1">AC391/AC$646</f>
        <v>8.6708842576631339E-4</v>
      </c>
      <c r="AE391" s="22">
        <f ca="1">AD391*AE$676</f>
        <v>16280.109192639993</v>
      </c>
      <c r="AF391" s="2">
        <v>0</v>
      </c>
      <c r="AG391" s="21">
        <f ca="1">AF391/AF$646</f>
        <v>0</v>
      </c>
      <c r="AH391" s="22">
        <f ca="1">AG391*AH$676</f>
        <v>0</v>
      </c>
      <c r="AI391" s="2">
        <v>0</v>
      </c>
      <c r="AJ391" s="21">
        <f ca="1">AI391/AI$646</f>
        <v>0</v>
      </c>
      <c r="AK391" s="22">
        <f ca="1">AJ391*AK$676</f>
        <v>0</v>
      </c>
      <c r="AL391" s="2">
        <v>271874.87711307907</v>
      </c>
    </row>
    <row r="392" spans="1:38" ht="12.75" x14ac:dyDescent="0.2">
      <c r="A392" s="8" t="s">
        <v>16</v>
      </c>
      <c r="B392" s="8" t="s">
        <v>17</v>
      </c>
      <c r="C392" s="8" t="s">
        <v>18</v>
      </c>
      <c r="D392" s="8" t="s">
        <v>134</v>
      </c>
      <c r="E392" s="8" t="s">
        <v>135</v>
      </c>
      <c r="F392" s="8" t="s">
        <v>25</v>
      </c>
      <c r="G392" s="8" t="s">
        <v>752</v>
      </c>
      <c r="H392" s="20">
        <v>0</v>
      </c>
      <c r="I392" s="21">
        <f>H392/H$652</f>
        <v>0</v>
      </c>
      <c r="J392" s="22">
        <f>I392*J$682</f>
        <v>0</v>
      </c>
      <c r="K392" s="2">
        <v>0</v>
      </c>
      <c r="L392" s="21">
        <f ca="1">K392/K$652</f>
        <v>0</v>
      </c>
      <c r="M392" s="22">
        <f ca="1">L392*M$682</f>
        <v>0</v>
      </c>
      <c r="N392" s="2">
        <v>0</v>
      </c>
      <c r="O392" s="21">
        <f ca="1">N392/N$652</f>
        <v>0</v>
      </c>
      <c r="P392" s="22">
        <f ca="1">O392*P$682</f>
        <v>0</v>
      </c>
      <c r="Q392" s="2">
        <v>0</v>
      </c>
      <c r="R392" s="21">
        <f ca="1">Q392/Q$652</f>
        <v>0</v>
      </c>
      <c r="S392" s="22">
        <f ca="1">R392*S$682</f>
        <v>0</v>
      </c>
      <c r="T392" s="2">
        <v>0</v>
      </c>
      <c r="U392" s="21">
        <f ca="1">T392/T$652</f>
        <v>0</v>
      </c>
      <c r="V392" s="22">
        <f ca="1">U392*V$682</f>
        <v>0</v>
      </c>
      <c r="W392" s="2">
        <v>0</v>
      </c>
      <c r="X392" s="21">
        <f ca="1">W392/W$652</f>
        <v>0</v>
      </c>
      <c r="Y392" s="22">
        <f ca="1">X392*Y$682</f>
        <v>0</v>
      </c>
      <c r="Z392" s="2">
        <v>0</v>
      </c>
      <c r="AA392" s="21">
        <f ca="1">Z392/Z$652</f>
        <v>0</v>
      </c>
      <c r="AB392" s="22">
        <f ca="1">AA392*AB$682</f>
        <v>0</v>
      </c>
      <c r="AC392" s="2">
        <v>0</v>
      </c>
      <c r="AD392" s="21">
        <f ca="1">AC392/AC$652</f>
        <v>0</v>
      </c>
      <c r="AE392" s="22">
        <f ca="1">AD392*AE$682</f>
        <v>0</v>
      </c>
      <c r="AF392" s="2">
        <v>0</v>
      </c>
      <c r="AG392" s="21">
        <f ca="1">AF392/AF$652</f>
        <v>0</v>
      </c>
      <c r="AH392" s="22">
        <f ca="1">AG392*AH$682</f>
        <v>0</v>
      </c>
      <c r="AI392" s="2">
        <v>0</v>
      </c>
      <c r="AJ392" s="21">
        <f ca="1">AI392/AI$652</f>
        <v>0</v>
      </c>
      <c r="AK392" s="22">
        <f ca="1">AJ392*AK$682</f>
        <v>0</v>
      </c>
      <c r="AL392" s="2">
        <v>0</v>
      </c>
    </row>
    <row r="393" spans="1:38" ht="12.75" x14ac:dyDescent="0.2">
      <c r="A393" s="8" t="s">
        <v>16</v>
      </c>
      <c r="B393" s="8" t="s">
        <v>17</v>
      </c>
      <c r="C393" s="8" t="s">
        <v>18</v>
      </c>
      <c r="D393" s="8" t="s">
        <v>134</v>
      </c>
      <c r="E393" s="8" t="s">
        <v>135</v>
      </c>
      <c r="F393" s="8" t="s">
        <v>27</v>
      </c>
      <c r="G393" s="8" t="s">
        <v>753</v>
      </c>
      <c r="H393" s="20">
        <v>571930.03768856684</v>
      </c>
      <c r="I393" s="21">
        <f>H393/H$657</f>
        <v>1.1213601082700125E-2</v>
      </c>
      <c r="J393" s="22">
        <f>I393*J$687</f>
        <v>116318.47097242782</v>
      </c>
      <c r="K393" s="2">
        <v>2954.1908886629553</v>
      </c>
      <c r="L393" s="21">
        <f ca="1">K393/K$657</f>
        <v>7.5635359744102959E-5</v>
      </c>
      <c r="M393" s="22">
        <f ca="1">L393*M$687</f>
        <v>1187.9704839533806</v>
      </c>
      <c r="N393" s="2">
        <v>20939.131143413462</v>
      </c>
      <c r="O393" s="21">
        <f ca="1">N393/N$657</f>
        <v>3.7858211199256987E-4</v>
      </c>
      <c r="P393" s="22">
        <f ca="1">O393*P$687</f>
        <v>6100.8201718263617</v>
      </c>
      <c r="Q393" s="2">
        <v>0</v>
      </c>
      <c r="R393" s="21">
        <f ca="1">Q393/Q$657</f>
        <v>0</v>
      </c>
      <c r="S393" s="22">
        <f ca="1">R393*S$687</f>
        <v>0</v>
      </c>
      <c r="T393" s="2">
        <v>0</v>
      </c>
      <c r="U393" s="21">
        <f ca="1">T393/T$657</f>
        <v>0</v>
      </c>
      <c r="V393" s="22">
        <f ca="1">U393*V$687</f>
        <v>0</v>
      </c>
      <c r="W393" s="2">
        <v>0</v>
      </c>
      <c r="X393" s="21">
        <f ca="1">W393/W$657</f>
        <v>0</v>
      </c>
      <c r="Y393" s="22">
        <f ca="1">X393*Y$687</f>
        <v>0</v>
      </c>
      <c r="Z393" s="2">
        <v>0</v>
      </c>
      <c r="AA393" s="21">
        <f ca="1">Z393/Z$657</f>
        <v>0</v>
      </c>
      <c r="AB393" s="22">
        <f ca="1">AA393*AB$687</f>
        <v>0</v>
      </c>
      <c r="AC393" s="2">
        <v>0</v>
      </c>
      <c r="AD393" s="21">
        <f ca="1">AC393/AC$657</f>
        <v>0</v>
      </c>
      <c r="AE393" s="22">
        <f ca="1">AD393*AE$687</f>
        <v>0</v>
      </c>
      <c r="AF393" s="2">
        <v>32698.008829702791</v>
      </c>
      <c r="AG393" s="21">
        <f ca="1">AF393/AF$657</f>
        <v>6.5425467341512331E-4</v>
      </c>
      <c r="AH393" s="22">
        <f ca="1">AG393*AH$687</f>
        <v>11861.681417376827</v>
      </c>
      <c r="AI393" s="2">
        <v>83661.10225504954</v>
      </c>
      <c r="AJ393" s="21">
        <f ca="1">AI393/AI$657</f>
        <v>1.5075881882202894E-3</v>
      </c>
      <c r="AK393" s="22">
        <f ca="1">AJ393*AK$687</f>
        <v>27824.663828465596</v>
      </c>
      <c r="AL393" s="2">
        <v>712182.47080539551</v>
      </c>
    </row>
    <row r="394" spans="1:38" ht="12.75" x14ac:dyDescent="0.2">
      <c r="A394" s="8" t="s">
        <v>16</v>
      </c>
      <c r="B394" s="8" t="s">
        <v>17</v>
      </c>
      <c r="C394" s="8" t="s">
        <v>18</v>
      </c>
      <c r="D394" s="8" t="s">
        <v>134</v>
      </c>
      <c r="E394" s="8" t="s">
        <v>135</v>
      </c>
      <c r="F394" s="8" t="s">
        <v>28</v>
      </c>
      <c r="G394" s="8" t="s">
        <v>754</v>
      </c>
      <c r="H394" s="20">
        <v>0</v>
      </c>
      <c r="I394" s="21">
        <f>H394/H$669</f>
        <v>0</v>
      </c>
      <c r="J394" s="22">
        <f>I394*J$699</f>
        <v>0</v>
      </c>
      <c r="K394" s="2">
        <v>0</v>
      </c>
      <c r="L394" s="21">
        <f ca="1">K394/K$669</f>
        <v>0</v>
      </c>
      <c r="M394" s="22">
        <f ca="1">L394*M$699</f>
        <v>0</v>
      </c>
      <c r="N394" s="2">
        <v>0</v>
      </c>
      <c r="O394" s="21">
        <f ca="1">N394/N$669</f>
        <v>0</v>
      </c>
      <c r="P394" s="22">
        <f ca="1">O394*P$699</f>
        <v>0</v>
      </c>
      <c r="Q394" s="2">
        <v>0</v>
      </c>
      <c r="R394" s="21">
        <f ca="1">Q394/Q$669</f>
        <v>0</v>
      </c>
      <c r="S394" s="22">
        <f ca="1">R394*S$699</f>
        <v>0</v>
      </c>
      <c r="T394" s="2">
        <v>0</v>
      </c>
      <c r="U394" s="21">
        <f ca="1">T394/T$669</f>
        <v>0</v>
      </c>
      <c r="V394" s="22">
        <f ca="1">U394*V$699</f>
        <v>0</v>
      </c>
      <c r="W394" s="2">
        <v>0</v>
      </c>
      <c r="X394" s="21">
        <f ca="1">W394/W$669</f>
        <v>0</v>
      </c>
      <c r="Y394" s="22">
        <f ca="1">X394*Y$699</f>
        <v>0</v>
      </c>
      <c r="Z394" s="2">
        <v>0</v>
      </c>
      <c r="AA394" s="21">
        <f ca="1">Z394/Z$669</f>
        <v>0</v>
      </c>
      <c r="AB394" s="22">
        <f ca="1">AA394*AB$699</f>
        <v>0</v>
      </c>
      <c r="AC394" s="2">
        <v>0</v>
      </c>
      <c r="AD394" s="21">
        <f ca="1">AC394/AC$669</f>
        <v>0</v>
      </c>
      <c r="AE394" s="22">
        <f ca="1">AD394*AE$699</f>
        <v>0</v>
      </c>
      <c r="AF394" s="2">
        <v>0</v>
      </c>
      <c r="AG394" s="21">
        <f ca="1">AF394/AF$669</f>
        <v>0</v>
      </c>
      <c r="AH394" s="22">
        <f ca="1">AG394*AH$699</f>
        <v>0</v>
      </c>
      <c r="AI394" s="2">
        <v>0</v>
      </c>
      <c r="AJ394" s="21">
        <f ca="1">AI394/AI$669</f>
        <v>0</v>
      </c>
      <c r="AK394" s="22">
        <f ca="1">AJ394*AK$699</f>
        <v>0</v>
      </c>
      <c r="AL394" s="2">
        <v>0</v>
      </c>
    </row>
    <row r="395" spans="1:38" ht="12.75" x14ac:dyDescent="0.2">
      <c r="A395" s="8" t="s">
        <v>16</v>
      </c>
      <c r="B395" s="8" t="s">
        <v>17</v>
      </c>
      <c r="C395" s="8" t="s">
        <v>18</v>
      </c>
      <c r="D395" s="8" t="s">
        <v>134</v>
      </c>
      <c r="E395" s="8" t="s">
        <v>136</v>
      </c>
      <c r="F395" s="8" t="s">
        <v>21</v>
      </c>
      <c r="G395" s="8" t="s">
        <v>755</v>
      </c>
      <c r="H395" s="20">
        <v>3000000</v>
      </c>
      <c r="I395" s="21">
        <f>H395/H$645</f>
        <v>0.19855489938954898</v>
      </c>
      <c r="J395" s="22">
        <f>I395*J$675</f>
        <v>28035.951793804317</v>
      </c>
      <c r="K395" s="2">
        <v>3000000</v>
      </c>
      <c r="L395" s="21">
        <f ca="1">K395/K$645</f>
        <v>0.19609208292536248</v>
      </c>
      <c r="M395" s="22">
        <f ca="1">L395*M$675</f>
        <v>84605.890098976903</v>
      </c>
      <c r="N395" s="2">
        <v>3000000</v>
      </c>
      <c r="O395" s="21">
        <f ca="1">N395/N$645</f>
        <v>0.13809409881672202</v>
      </c>
      <c r="P395" s="22">
        <f ca="1">O395*P$675</f>
        <v>61131.21395222492</v>
      </c>
      <c r="Q395" s="2">
        <v>3000000</v>
      </c>
      <c r="R395" s="21">
        <f ca="1">Q395/Q$645</f>
        <v>0.11882499994269576</v>
      </c>
      <c r="S395" s="22">
        <f ca="1">R395*S$675</f>
        <v>53811.036002799221</v>
      </c>
      <c r="T395" s="2">
        <v>3000000</v>
      </c>
      <c r="U395" s="21">
        <f ca="1">T395/T$645</f>
        <v>0.14534070631199916</v>
      </c>
      <c r="V395" s="22">
        <f ca="1">U395*V$675</f>
        <v>67201.124241196521</v>
      </c>
      <c r="W395" s="2">
        <v>3000000</v>
      </c>
      <c r="X395" s="21">
        <f ca="1">W395/W$645</f>
        <v>0.14513527176984473</v>
      </c>
      <c r="Y395" s="22">
        <f ca="1">X395*Y$675</f>
        <v>68448.261466278855</v>
      </c>
      <c r="Z395" s="2">
        <v>3000000</v>
      </c>
      <c r="AA395" s="21">
        <f ca="1">Z395/Z$645</f>
        <v>0.14582067945587687</v>
      </c>
      <c r="AB395" s="22">
        <f ca="1">AA395*AB$675</f>
        <v>70009.397712911159</v>
      </c>
      <c r="AC395" s="2">
        <v>3014289.4445757777</v>
      </c>
      <c r="AD395" s="21">
        <f ca="1">AC395/AC$645</f>
        <v>0.12692628429652131</v>
      </c>
      <c r="AE395" s="22">
        <f ca="1">AD395*AE$675</f>
        <v>62095.907444972639</v>
      </c>
      <c r="AF395" s="2">
        <v>3000000</v>
      </c>
      <c r="AG395" s="21">
        <f ca="1">AF395/AF$645</f>
        <v>0.13753536703225253</v>
      </c>
      <c r="AH395" s="22">
        <f ca="1">AG395*AH$675</f>
        <v>68497.319242321595</v>
      </c>
      <c r="AI395" s="2">
        <v>3000000</v>
      </c>
      <c r="AJ395" s="21">
        <f ca="1">AI395/AI$645</f>
        <v>0.11766432095551957</v>
      </c>
      <c r="AK395" s="22">
        <f ca="1">AJ395*AK$675</f>
        <v>59655.674233836115</v>
      </c>
      <c r="AL395" s="2">
        <v>30014289.444575779</v>
      </c>
    </row>
    <row r="396" spans="1:38" ht="12.75" x14ac:dyDescent="0.2">
      <c r="A396" s="8" t="s">
        <v>16</v>
      </c>
      <c r="B396" s="8" t="s">
        <v>17</v>
      </c>
      <c r="C396" s="8" t="s">
        <v>18</v>
      </c>
      <c r="D396" s="8" t="s">
        <v>134</v>
      </c>
      <c r="E396" s="8" t="s">
        <v>136</v>
      </c>
      <c r="F396" s="8" t="s">
        <v>24</v>
      </c>
      <c r="G396" s="8" t="s">
        <v>756</v>
      </c>
      <c r="H396" s="20">
        <v>2305284.6388328811</v>
      </c>
      <c r="I396" s="21">
        <f>H396/H$646</f>
        <v>2.8075872959202709E-2</v>
      </c>
      <c r="J396" s="22">
        <f>I396*J$676</f>
        <v>60409.171293938918</v>
      </c>
      <c r="K396" s="2">
        <v>2458740.2821977804</v>
      </c>
      <c r="L396" s="21">
        <f ca="1">K396/K$646</f>
        <v>3.8931051736640639E-2</v>
      </c>
      <c r="M396" s="22">
        <f ca="1">L396*M$676</f>
        <v>151364.4469350469</v>
      </c>
      <c r="N396" s="2">
        <v>2300000</v>
      </c>
      <c r="O396" s="21">
        <f ca="1">N396/N$646</f>
        <v>2.4536000404396466E-2</v>
      </c>
      <c r="P396" s="22">
        <f ca="1">O396*P$676</f>
        <v>416844.60495473264</v>
      </c>
      <c r="Q396" s="2">
        <v>2310673.6005790741</v>
      </c>
      <c r="R396" s="21">
        <f ca="1">Q396/Q$646</f>
        <v>2.07752257738992E-2</v>
      </c>
      <c r="S396" s="22">
        <f ca="1">R396*S$676</f>
        <v>361070.32802622329</v>
      </c>
      <c r="T396" s="2">
        <v>2300000</v>
      </c>
      <c r="U396" s="21">
        <f ca="1">T396/T$646</f>
        <v>2.7414536521415459E-2</v>
      </c>
      <c r="V396" s="22">
        <f ca="1">U396*V$676</f>
        <v>486466.23116005521</v>
      </c>
      <c r="W396" s="2">
        <v>2300000</v>
      </c>
      <c r="X396" s="21">
        <f ca="1">W396/W$646</f>
        <v>2.6313726382511188E-2</v>
      </c>
      <c r="Y396" s="22">
        <f ca="1">X396*Y$676</f>
        <v>476271.19572359876</v>
      </c>
      <c r="Z396" s="2">
        <v>2300000</v>
      </c>
      <c r="AA396" s="21">
        <f ca="1">Z396/Z$646</f>
        <v>1.9816362528643612E-2</v>
      </c>
      <c r="AB396" s="22">
        <f ca="1">AA396*AB$676</f>
        <v>365126.77319977403</v>
      </c>
      <c r="AC396" s="2">
        <v>2808932.0506839221</v>
      </c>
      <c r="AD396" s="21">
        <f ca="1">AC396/AC$646</f>
        <v>2.6997071115345068E-2</v>
      </c>
      <c r="AE396" s="22">
        <f ca="1">AD396*AE$676</f>
        <v>506886.32506062009</v>
      </c>
      <c r="AF396" s="2">
        <v>2300000</v>
      </c>
      <c r="AG396" s="21">
        <f ca="1">AF396/AF$646</f>
        <v>2.4433324836029027E-2</v>
      </c>
      <c r="AH396" s="22">
        <f ca="1">AG396*AH$676</f>
        <v>467007.94730622007</v>
      </c>
      <c r="AI396" s="2">
        <v>4475073.7537223268</v>
      </c>
      <c r="AJ396" s="21">
        <f ca="1">AI396/AI$646</f>
        <v>3.6221093246072589E-2</v>
      </c>
      <c r="AK396" s="22">
        <f ca="1">AJ396*AK$676</f>
        <v>704775.88333642576</v>
      </c>
      <c r="AL396" s="2">
        <v>25858704.326015983</v>
      </c>
    </row>
    <row r="397" spans="1:38" ht="12.75" x14ac:dyDescent="0.2">
      <c r="A397" s="8" t="s">
        <v>16</v>
      </c>
      <c r="B397" s="8" t="s">
        <v>17</v>
      </c>
      <c r="C397" s="8" t="s">
        <v>18</v>
      </c>
      <c r="D397" s="8" t="s">
        <v>134</v>
      </c>
      <c r="E397" s="8" t="s">
        <v>136</v>
      </c>
      <c r="F397" s="8" t="s">
        <v>25</v>
      </c>
      <c r="G397" s="8" t="s">
        <v>757</v>
      </c>
      <c r="H397" s="20">
        <v>0</v>
      </c>
      <c r="I397" s="21">
        <f>H397/H$652</f>
        <v>0</v>
      </c>
      <c r="J397" s="22">
        <f>I397*J$682</f>
        <v>0</v>
      </c>
      <c r="K397" s="2">
        <v>0</v>
      </c>
      <c r="L397" s="21">
        <f ca="1">K397/K$652</f>
        <v>0</v>
      </c>
      <c r="M397" s="22">
        <f ca="1">L397*M$682</f>
        <v>0</v>
      </c>
      <c r="N397" s="2">
        <v>0</v>
      </c>
      <c r="O397" s="21">
        <f ca="1">N397/N$652</f>
        <v>0</v>
      </c>
      <c r="P397" s="22">
        <f ca="1">O397*P$682</f>
        <v>0</v>
      </c>
      <c r="Q397" s="2">
        <v>0</v>
      </c>
      <c r="R397" s="21">
        <f ca="1">Q397/Q$652</f>
        <v>0</v>
      </c>
      <c r="S397" s="22">
        <f ca="1">R397*S$682</f>
        <v>0</v>
      </c>
      <c r="T397" s="2">
        <v>0</v>
      </c>
      <c r="U397" s="21">
        <f ca="1">T397/T$652</f>
        <v>0</v>
      </c>
      <c r="V397" s="22">
        <f ca="1">U397*V$682</f>
        <v>0</v>
      </c>
      <c r="W397" s="2">
        <v>0</v>
      </c>
      <c r="X397" s="21">
        <f ca="1">W397/W$652</f>
        <v>0</v>
      </c>
      <c r="Y397" s="22">
        <f ca="1">X397*Y$682</f>
        <v>0</v>
      </c>
      <c r="Z397" s="2">
        <v>0</v>
      </c>
      <c r="AA397" s="21">
        <f ca="1">Z397/Z$652</f>
        <v>0</v>
      </c>
      <c r="AB397" s="22">
        <f ca="1">AA397*AB$682</f>
        <v>0</v>
      </c>
      <c r="AC397" s="2">
        <v>0</v>
      </c>
      <c r="AD397" s="21">
        <f ca="1">AC397/AC$652</f>
        <v>0</v>
      </c>
      <c r="AE397" s="22">
        <f ca="1">AD397*AE$682</f>
        <v>0</v>
      </c>
      <c r="AF397" s="2">
        <v>0</v>
      </c>
      <c r="AG397" s="21">
        <f ca="1">AF397/AF$652</f>
        <v>0</v>
      </c>
      <c r="AH397" s="22">
        <f ca="1">AG397*AH$682</f>
        <v>0</v>
      </c>
      <c r="AI397" s="2">
        <v>0</v>
      </c>
      <c r="AJ397" s="21">
        <f ca="1">AI397/AI$652</f>
        <v>0</v>
      </c>
      <c r="AK397" s="22">
        <f ca="1">AJ397*AK$682</f>
        <v>0</v>
      </c>
      <c r="AL397" s="2">
        <v>0</v>
      </c>
    </row>
    <row r="398" spans="1:38" ht="12.75" x14ac:dyDescent="0.2">
      <c r="A398" s="8" t="s">
        <v>16</v>
      </c>
      <c r="B398" s="8" t="s">
        <v>17</v>
      </c>
      <c r="C398" s="8" t="s">
        <v>18</v>
      </c>
      <c r="D398" s="8" t="s">
        <v>134</v>
      </c>
      <c r="E398" s="8" t="s">
        <v>136</v>
      </c>
      <c r="F398" s="8" t="s">
        <v>26</v>
      </c>
      <c r="G398" s="8" t="s">
        <v>758</v>
      </c>
      <c r="H398" s="20">
        <v>189829.67005509022</v>
      </c>
      <c r="I398" s="21">
        <f>H398/H$655</f>
        <v>4.7861641573291426E-3</v>
      </c>
      <c r="J398" s="22">
        <f>I398*J$685</f>
        <v>11551.301898102425</v>
      </c>
      <c r="K398" s="2">
        <v>148983.16998002259</v>
      </c>
      <c r="L398" s="21">
        <f ca="1">K398/K$655</f>
        <v>3.7526230068973669E-3</v>
      </c>
      <c r="M398" s="22">
        <f ca="1">L398*M$685</f>
        <v>10383.545386315083</v>
      </c>
      <c r="N398" s="2">
        <v>1220101.4922225478</v>
      </c>
      <c r="O398" s="21">
        <f ca="1">N398/N$655</f>
        <v>1.0547995703679267E-2</v>
      </c>
      <c r="P398" s="22">
        <f ca="1">O398*P$685</f>
        <v>29945.256241430543</v>
      </c>
      <c r="Q398" s="2">
        <v>3127022.0802501119</v>
      </c>
      <c r="R398" s="21">
        <f ca="1">Q398/Q$655</f>
        <v>2.2461427092254814E-2</v>
      </c>
      <c r="S398" s="22">
        <f ca="1">R398*S$685</f>
        <v>65233.558303655198</v>
      </c>
      <c r="T398" s="2">
        <v>154451.51338999692</v>
      </c>
      <c r="U398" s="21">
        <f ca="1">T398/T$655</f>
        <v>1.5547766591933001E-3</v>
      </c>
      <c r="V398" s="22">
        <f ca="1">U398*V$685</f>
        <v>4610.281851843728</v>
      </c>
      <c r="W398" s="2">
        <v>0</v>
      </c>
      <c r="X398" s="21">
        <f ca="1">W398/W$655</f>
        <v>0</v>
      </c>
      <c r="Y398" s="22">
        <f ca="1">X398*Y$685</f>
        <v>0</v>
      </c>
      <c r="Z398" s="2">
        <v>4604323.8052551188</v>
      </c>
      <c r="AA398" s="21">
        <f ca="1">Z398/Z$655</f>
        <v>3.9915911085074716E-2</v>
      </c>
      <c r="AB398" s="22">
        <f ca="1">AA398*AB$685</f>
        <v>122900.44678645836</v>
      </c>
      <c r="AC398" s="2">
        <v>102296.46831565928</v>
      </c>
      <c r="AD398" s="21">
        <f ca="1">AC398/AC$655</f>
        <v>9.0800985389583239E-4</v>
      </c>
      <c r="AE398" s="22">
        <f ca="1">AD398*AE$685</f>
        <v>2848.8669060061284</v>
      </c>
      <c r="AF398" s="2">
        <v>117118.70896649435</v>
      </c>
      <c r="AG398" s="21">
        <f ca="1">AF398/AF$655</f>
        <v>9.7233889929043032E-4</v>
      </c>
      <c r="AH398" s="22">
        <f ca="1">AG398*AH$685</f>
        <v>3105.6108701404332</v>
      </c>
      <c r="AI398" s="2">
        <v>869772.87622202875</v>
      </c>
      <c r="AJ398" s="21">
        <f ca="1">AI398/AI$655</f>
        <v>4.6973564696835687E-3</v>
      </c>
      <c r="AK398" s="22">
        <f ca="1">AJ398*AK$685</f>
        <v>15273.222323872264</v>
      </c>
      <c r="AL398" s="2">
        <v>10533899.78465707</v>
      </c>
    </row>
    <row r="399" spans="1:38" ht="12.75" x14ac:dyDescent="0.2">
      <c r="A399" s="8" t="s">
        <v>16</v>
      </c>
      <c r="B399" s="8" t="s">
        <v>17</v>
      </c>
      <c r="C399" s="8" t="s">
        <v>18</v>
      </c>
      <c r="D399" s="8" t="s">
        <v>134</v>
      </c>
      <c r="E399" s="8" t="s">
        <v>136</v>
      </c>
      <c r="F399" s="8" t="s">
        <v>27</v>
      </c>
      <c r="G399" s="8" t="s">
        <v>759</v>
      </c>
      <c r="H399" s="20">
        <v>528463.88328811899</v>
      </c>
      <c r="I399" s="21">
        <f>H399/H$657</f>
        <v>1.0361377761792676E-2</v>
      </c>
      <c r="J399" s="22">
        <f>I399*J$687</f>
        <v>107478.37465689795</v>
      </c>
      <c r="K399" s="2">
        <v>0</v>
      </c>
      <c r="L399" s="21">
        <f ca="1">K399/K$657</f>
        <v>0</v>
      </c>
      <c r="M399" s="22">
        <f ca="1">L399*M$687</f>
        <v>0</v>
      </c>
      <c r="N399" s="2">
        <v>0</v>
      </c>
      <c r="O399" s="21">
        <f ca="1">N399/N$657</f>
        <v>0</v>
      </c>
      <c r="P399" s="22">
        <f ca="1">O399*P$687</f>
        <v>0</v>
      </c>
      <c r="Q399" s="2">
        <v>0</v>
      </c>
      <c r="R399" s="21">
        <f ca="1">Q399/Q$657</f>
        <v>0</v>
      </c>
      <c r="S399" s="22">
        <f ca="1">R399*S$687</f>
        <v>0</v>
      </c>
      <c r="T399" s="2">
        <v>0</v>
      </c>
      <c r="U399" s="21">
        <f ca="1">T399/T$657</f>
        <v>0</v>
      </c>
      <c r="V399" s="22">
        <f ca="1">U399*V$687</f>
        <v>0</v>
      </c>
      <c r="W399" s="2">
        <v>0</v>
      </c>
      <c r="X399" s="21">
        <f ca="1">W399/W$657</f>
        <v>0</v>
      </c>
      <c r="Y399" s="22">
        <f ca="1">X399*Y$687</f>
        <v>0</v>
      </c>
      <c r="Z399" s="2">
        <v>0</v>
      </c>
      <c r="AA399" s="21">
        <f ca="1">Z399/Z$657</f>
        <v>0</v>
      </c>
      <c r="AB399" s="22">
        <f ca="1">AA399*AB$687</f>
        <v>0</v>
      </c>
      <c r="AC399" s="2">
        <v>0</v>
      </c>
      <c r="AD399" s="21">
        <f ca="1">AC399/AC$657</f>
        <v>0</v>
      </c>
      <c r="AE399" s="22">
        <f ca="1">AD399*AE$687</f>
        <v>0</v>
      </c>
      <c r="AF399" s="2">
        <v>0</v>
      </c>
      <c r="AG399" s="21">
        <f ca="1">AF399/AF$657</f>
        <v>0</v>
      </c>
      <c r="AH399" s="22">
        <f ca="1">AG399*AH$687</f>
        <v>0</v>
      </c>
      <c r="AI399" s="2">
        <v>2551663.6187790106</v>
      </c>
      <c r="AJ399" s="21">
        <f ca="1">AI399/AI$657</f>
        <v>4.5981439740718819E-2</v>
      </c>
      <c r="AK399" s="22">
        <f ca="1">AJ399*AK$687</f>
        <v>848652.24676820054</v>
      </c>
      <c r="AL399" s="2">
        <v>3080127.5020671296</v>
      </c>
    </row>
    <row r="400" spans="1:38" ht="12.75" x14ac:dyDescent="0.2">
      <c r="A400" s="8" t="s">
        <v>16</v>
      </c>
      <c r="B400" s="8" t="s">
        <v>17</v>
      </c>
      <c r="C400" s="8" t="s">
        <v>18</v>
      </c>
      <c r="D400" s="8" t="s">
        <v>134</v>
      </c>
      <c r="E400" s="8" t="s">
        <v>136</v>
      </c>
      <c r="F400" s="8" t="s">
        <v>28</v>
      </c>
      <c r="G400" s="8" t="s">
        <v>760</v>
      </c>
      <c r="H400" s="20">
        <v>26291.078193583919</v>
      </c>
      <c r="I400" s="21">
        <f>H400/H$669</f>
        <v>3.0943677114121469E-3</v>
      </c>
      <c r="J400" s="22">
        <f>I400*J$699</f>
        <v>34486.622935186191</v>
      </c>
      <c r="K400" s="2">
        <v>107329.38178197508</v>
      </c>
      <c r="L400" s="21">
        <f ca="1">K400/K$669</f>
        <v>1.4795159665413431E-2</v>
      </c>
      <c r="M400" s="22">
        <f ca="1">L400*M$699</f>
        <v>70124.958554832352</v>
      </c>
      <c r="N400" s="2">
        <v>25188.619677291546</v>
      </c>
      <c r="O400" s="21">
        <f ca="1">N400/N$669</f>
        <v>8.930730190432445E-4</v>
      </c>
      <c r="P400" s="22">
        <f ca="1">O400*P$699</f>
        <v>4342.9746177798561</v>
      </c>
      <c r="Q400" s="2">
        <v>0</v>
      </c>
      <c r="R400" s="21">
        <f ca="1">Q400/Q$669</f>
        <v>0</v>
      </c>
      <c r="S400" s="22">
        <f ca="1">R400*S$699</f>
        <v>0</v>
      </c>
      <c r="T400" s="2">
        <v>0</v>
      </c>
      <c r="U400" s="21">
        <f ca="1">T400/T$669</f>
        <v>0</v>
      </c>
      <c r="V400" s="22">
        <f ca="1">U400*V$699</f>
        <v>0</v>
      </c>
      <c r="W400" s="2">
        <v>17488.540632247594</v>
      </c>
      <c r="X400" s="21">
        <f ca="1">W400/W$669</f>
        <v>6.269689745212817E-4</v>
      </c>
      <c r="Y400" s="22">
        <f ca="1">X400*Y$699</f>
        <v>3248.2385753836738</v>
      </c>
      <c r="Z400" s="2">
        <v>20096.378232743649</v>
      </c>
      <c r="AA400" s="21">
        <f ca="1">Z400/Z$669</f>
        <v>6.8310284873272006E-4</v>
      </c>
      <c r="AB400" s="22">
        <f ca="1">AA400*AB$699</f>
        <v>3602.7634182297929</v>
      </c>
      <c r="AC400" s="2">
        <v>11881.774582306211</v>
      </c>
      <c r="AD400" s="21">
        <f ca="1">AC400/AC$669</f>
        <v>3.7676044125211966E-4</v>
      </c>
      <c r="AE400" s="22">
        <f ca="1">AD400*AE$699</f>
        <v>2024.8326176225817</v>
      </c>
      <c r="AF400" s="2">
        <v>0</v>
      </c>
      <c r="AG400" s="21">
        <f ca="1">AF400/AF$669</f>
        <v>0</v>
      </c>
      <c r="AH400" s="22">
        <f ca="1">AG400*AH$699</f>
        <v>0</v>
      </c>
      <c r="AI400" s="2">
        <v>0</v>
      </c>
      <c r="AJ400" s="21">
        <f ca="1">AI400/AI$669</f>
        <v>0</v>
      </c>
      <c r="AK400" s="22">
        <f ca="1">AJ400*AK$699</f>
        <v>0</v>
      </c>
      <c r="AL400" s="2">
        <v>208275.77310014801</v>
      </c>
    </row>
    <row r="401" spans="1:38" ht="12.75" x14ac:dyDescent="0.2">
      <c r="A401" s="8" t="s">
        <v>16</v>
      </c>
      <c r="B401" s="8" t="s">
        <v>17</v>
      </c>
      <c r="C401" s="8" t="s">
        <v>18</v>
      </c>
      <c r="D401" s="8" t="s">
        <v>134</v>
      </c>
      <c r="E401" s="8" t="s">
        <v>137</v>
      </c>
      <c r="F401" s="8" t="s">
        <v>21</v>
      </c>
      <c r="G401" s="8" t="s">
        <v>761</v>
      </c>
      <c r="H401" s="20">
        <v>0</v>
      </c>
      <c r="I401" s="21">
        <f>H401/H$645</f>
        <v>0</v>
      </c>
      <c r="J401" s="22">
        <f>I401*J$675</f>
        <v>0</v>
      </c>
      <c r="K401" s="2">
        <v>0</v>
      </c>
      <c r="L401" s="21">
        <f ca="1">K401/K$645</f>
        <v>0</v>
      </c>
      <c r="M401" s="22">
        <f ca="1">L401*M$675</f>
        <v>0</v>
      </c>
      <c r="N401" s="2">
        <v>979433.7410115758</v>
      </c>
      <c r="O401" s="21">
        <f ca="1">N401/N$645</f>
        <v>4.5084673271894755E-2</v>
      </c>
      <c r="P401" s="22">
        <f ca="1">O401*P$675</f>
        <v>19957.991191268895</v>
      </c>
      <c r="Q401" s="2">
        <v>0</v>
      </c>
      <c r="R401" s="21">
        <f ca="1">Q401/Q$645</f>
        <v>0</v>
      </c>
      <c r="S401" s="22">
        <f ca="1">R401*S$675</f>
        <v>0</v>
      </c>
      <c r="T401" s="2">
        <v>0</v>
      </c>
      <c r="U401" s="21">
        <f ca="1">T401/T$645</f>
        <v>0</v>
      </c>
      <c r="V401" s="22">
        <f ca="1">U401*V$675</f>
        <v>0</v>
      </c>
      <c r="W401" s="2">
        <v>0</v>
      </c>
      <c r="X401" s="21">
        <f ca="1">W401/W$645</f>
        <v>0</v>
      </c>
      <c r="Y401" s="22">
        <f ca="1">X401*Y$675</f>
        <v>0</v>
      </c>
      <c r="Z401" s="2">
        <v>0</v>
      </c>
      <c r="AA401" s="21">
        <f ca="1">Z401/Z$645</f>
        <v>0</v>
      </c>
      <c r="AB401" s="22">
        <f ca="1">AA401*AB$675</f>
        <v>0</v>
      </c>
      <c r="AC401" s="2">
        <v>92413.802306826081</v>
      </c>
      <c r="AD401" s="21">
        <f ca="1">AC401/AC$645</f>
        <v>3.8913783033100637E-3</v>
      </c>
      <c r="AE401" s="22">
        <f ca="1">AD401*AE$675</f>
        <v>1903.7716915371723</v>
      </c>
      <c r="AF401" s="2">
        <v>0</v>
      </c>
      <c r="AG401" s="21">
        <f ca="1">AF401/AF$645</f>
        <v>0</v>
      </c>
      <c r="AH401" s="22">
        <f ca="1">AG401*AH$675</f>
        <v>0</v>
      </c>
      <c r="AI401" s="2">
        <v>0</v>
      </c>
      <c r="AJ401" s="21">
        <f ca="1">AI401/AI$645</f>
        <v>0</v>
      </c>
      <c r="AK401" s="22">
        <f ca="1">AJ401*AK$675</f>
        <v>0</v>
      </c>
      <c r="AL401" s="2">
        <v>1071847.5433184018</v>
      </c>
    </row>
    <row r="402" spans="1:38" ht="12.75" x14ac:dyDescent="0.2">
      <c r="A402" s="8" t="s">
        <v>16</v>
      </c>
      <c r="B402" s="8" t="s">
        <v>17</v>
      </c>
      <c r="C402" s="8" t="s">
        <v>18</v>
      </c>
      <c r="D402" s="8" t="s">
        <v>134</v>
      </c>
      <c r="E402" s="8" t="s">
        <v>137</v>
      </c>
      <c r="F402" s="8" t="s">
        <v>24</v>
      </c>
      <c r="G402" s="8" t="s">
        <v>762</v>
      </c>
      <c r="H402" s="20">
        <v>882389.35752325447</v>
      </c>
      <c r="I402" s="21">
        <f>H402/H$646</f>
        <v>1.0746547773344765E-2</v>
      </c>
      <c r="J402" s="22">
        <f>I402*J$676</f>
        <v>23122.70205103953</v>
      </c>
      <c r="K402" s="2">
        <v>232564.7212043367</v>
      </c>
      <c r="L402" s="21">
        <f ca="1">K402/K$646</f>
        <v>3.6823690809793053E-3</v>
      </c>
      <c r="M402" s="22">
        <f ca="1">L402*M$676</f>
        <v>14317.099962356315</v>
      </c>
      <c r="N402" s="2">
        <v>0</v>
      </c>
      <c r="O402" s="21">
        <f ca="1">N402/N$646</f>
        <v>0</v>
      </c>
      <c r="P402" s="22">
        <f ca="1">O402*P$676</f>
        <v>0</v>
      </c>
      <c r="Q402" s="2">
        <v>65201.023337346596</v>
      </c>
      <c r="R402" s="21">
        <f ca="1">Q402/Q$646</f>
        <v>5.8622125608012341E-4</v>
      </c>
      <c r="S402" s="22">
        <f ca="1">R402*S$676</f>
        <v>10188.438071980963</v>
      </c>
      <c r="T402" s="2">
        <v>0</v>
      </c>
      <c r="U402" s="21">
        <f ca="1">T402/T$646</f>
        <v>0</v>
      </c>
      <c r="V402" s="22">
        <f ca="1">U402*V$676</f>
        <v>0</v>
      </c>
      <c r="W402" s="2">
        <v>46707.281352816921</v>
      </c>
      <c r="X402" s="21">
        <f ca="1">W402/W$646</f>
        <v>5.3436635721260497E-4</v>
      </c>
      <c r="Y402" s="22">
        <f ca="1">X402*Y$676</f>
        <v>9671.8837995237664</v>
      </c>
      <c r="Z402" s="2">
        <v>26351.542318432068</v>
      </c>
      <c r="AA402" s="21">
        <f ca="1">Z402/Z$646</f>
        <v>2.2703987642214943E-4</v>
      </c>
      <c r="AB402" s="22">
        <f ca="1">AA402*AB$676</f>
        <v>4183.3276589419102</v>
      </c>
      <c r="AC402" s="2">
        <v>222057.16497154496</v>
      </c>
      <c r="AD402" s="21">
        <f ca="1">AC402/AC$646</f>
        <v>2.1342250243999556E-3</v>
      </c>
      <c r="AE402" s="22">
        <f ca="1">AD402*AE$676</f>
        <v>40071.364587975913</v>
      </c>
      <c r="AF402" s="2">
        <v>11801496.13885165</v>
      </c>
      <c r="AG402" s="21">
        <f ca="1">AF402/AF$646</f>
        <v>0.1253694733529151</v>
      </c>
      <c r="AH402" s="22">
        <f ca="1">AG402*AH$676</f>
        <v>2396257.6030206052</v>
      </c>
      <c r="AI402" s="2">
        <v>1350260.4958694645</v>
      </c>
      <c r="AJ402" s="21">
        <f ca="1">AI402/AI$646</f>
        <v>1.092896207279152E-2</v>
      </c>
      <c r="AK402" s="22">
        <f ca="1">AJ402*AK$676</f>
        <v>212651.47483192291</v>
      </c>
      <c r="AL402" s="2">
        <v>14627027.725428846</v>
      </c>
    </row>
    <row r="403" spans="1:38" ht="12.75" x14ac:dyDescent="0.2">
      <c r="A403" s="8" t="s">
        <v>16</v>
      </c>
      <c r="B403" s="8" t="s">
        <v>17</v>
      </c>
      <c r="C403" s="8" t="s">
        <v>18</v>
      </c>
      <c r="D403" s="8" t="s">
        <v>134</v>
      </c>
      <c r="E403" s="8" t="s">
        <v>137</v>
      </c>
      <c r="F403" s="23" t="s">
        <v>22</v>
      </c>
      <c r="G403" s="8" t="s">
        <v>763</v>
      </c>
      <c r="H403" s="20">
        <v>0</v>
      </c>
      <c r="I403" s="21">
        <f>H403/H$650</f>
        <v>0</v>
      </c>
      <c r="J403" s="22">
        <f>I403*J$680</f>
        <v>0</v>
      </c>
      <c r="K403" s="2">
        <v>0</v>
      </c>
      <c r="L403" s="21">
        <f ca="1">K403/K$650</f>
        <v>0</v>
      </c>
      <c r="M403" s="22">
        <f ca="1">L403*M$680</f>
        <v>0</v>
      </c>
      <c r="N403" s="2">
        <v>0</v>
      </c>
      <c r="O403" s="21">
        <f ca="1">N403/N$650</f>
        <v>0</v>
      </c>
      <c r="P403" s="22">
        <f ca="1">O403*P$680</f>
        <v>0</v>
      </c>
      <c r="Q403" s="2">
        <v>0</v>
      </c>
      <c r="R403" s="21">
        <f ca="1">Q403/Q$650</f>
        <v>0</v>
      </c>
      <c r="S403" s="22">
        <f ca="1">R403*S$680</f>
        <v>0</v>
      </c>
      <c r="T403" s="2">
        <v>0</v>
      </c>
      <c r="U403" s="21">
        <f ca="1">T403/T$650</f>
        <v>0</v>
      </c>
      <c r="V403" s="22">
        <f ca="1">U403*V$680</f>
        <v>0</v>
      </c>
      <c r="W403" s="2">
        <v>0</v>
      </c>
      <c r="X403" s="21">
        <f ca="1">W403/W$650</f>
        <v>0</v>
      </c>
      <c r="Y403" s="22">
        <f ca="1">X403*Y$680</f>
        <v>0</v>
      </c>
      <c r="Z403" s="2">
        <v>166360.74695979842</v>
      </c>
      <c r="AA403" s="21">
        <f ca="1">Z403/Z$650</f>
        <v>5.0910805201884284E-3</v>
      </c>
      <c r="AB403" s="22">
        <f ca="1">AA403*AB$680</f>
        <v>62578.611605798673</v>
      </c>
      <c r="AC403" s="2">
        <v>675940.95401564217</v>
      </c>
      <c r="AD403" s="21">
        <f ca="1">AC403/AC$650</f>
        <v>2.1181182421376208E-2</v>
      </c>
      <c r="AE403" s="22">
        <f ca="1">AD403*AE$680</f>
        <v>265301.88909024285</v>
      </c>
      <c r="AF403" s="2">
        <v>490470.13244554185</v>
      </c>
      <c r="AG403" s="21">
        <f ca="1">AF403/AF$650</f>
        <v>1.3911420616455937E-2</v>
      </c>
      <c r="AH403" s="22">
        <f ca="1">AG403*AH$680</f>
        <v>177381.94051227855</v>
      </c>
      <c r="AI403" s="2">
        <v>0</v>
      </c>
      <c r="AJ403" s="21">
        <f ca="1">AI403/AI$650</f>
        <v>0</v>
      </c>
      <c r="AK403" s="22">
        <f ca="1">AJ403*AK$680</f>
        <v>0</v>
      </c>
      <c r="AL403" s="2">
        <v>1332771.8334209824</v>
      </c>
    </row>
    <row r="404" spans="1:38" ht="12.75" x14ac:dyDescent="0.2">
      <c r="A404" s="8" t="s">
        <v>16</v>
      </c>
      <c r="B404" s="8" t="s">
        <v>17</v>
      </c>
      <c r="C404" s="8" t="s">
        <v>18</v>
      </c>
      <c r="D404" s="8" t="s">
        <v>134</v>
      </c>
      <c r="E404" s="8" t="s">
        <v>137</v>
      </c>
      <c r="F404" s="8" t="s">
        <v>25</v>
      </c>
      <c r="G404" s="8" t="s">
        <v>764</v>
      </c>
      <c r="H404" s="20">
        <v>83231.74045817052</v>
      </c>
      <c r="I404" s="21">
        <f>H404/H$652</f>
        <v>5.9663492848776945E-3</v>
      </c>
      <c r="J404" s="22">
        <f>I404*J$682</f>
        <v>429425.09013331961</v>
      </c>
      <c r="K404" s="2">
        <v>0</v>
      </c>
      <c r="L404" s="21">
        <f ca="1">K404/K$652</f>
        <v>0</v>
      </c>
      <c r="M404" s="22">
        <f ca="1">L404*M$682</f>
        <v>0</v>
      </c>
      <c r="N404" s="2">
        <v>0</v>
      </c>
      <c r="O404" s="21">
        <f ca="1">N404/N$652</f>
        <v>0</v>
      </c>
      <c r="P404" s="22">
        <f ca="1">O404*P$682</f>
        <v>0</v>
      </c>
      <c r="Q404" s="2">
        <v>32020.801737222337</v>
      </c>
      <c r="R404" s="21">
        <f ca="1">Q404/Q$652</f>
        <v>6.4513153120047398E-4</v>
      </c>
      <c r="S404" s="22">
        <f ca="1">R404*S$682</f>
        <v>24422.750034459874</v>
      </c>
      <c r="T404" s="2">
        <v>0</v>
      </c>
      <c r="U404" s="21">
        <f ca="1">T404/T$652</f>
        <v>0</v>
      </c>
      <c r="V404" s="22">
        <f ca="1">U404*V$682</f>
        <v>0</v>
      </c>
      <c r="W404" s="2">
        <v>0</v>
      </c>
      <c r="X404" s="21">
        <f ca="1">W404/W$652</f>
        <v>0</v>
      </c>
      <c r="Y404" s="22">
        <f ca="1">X404*Y$682</f>
        <v>0</v>
      </c>
      <c r="Z404" s="2">
        <v>0</v>
      </c>
      <c r="AA404" s="21">
        <f ca="1">Z404/Z$652</f>
        <v>0</v>
      </c>
      <c r="AB404" s="22">
        <f ca="1">AA404*AB$682</f>
        <v>0</v>
      </c>
      <c r="AC404" s="2">
        <v>0</v>
      </c>
      <c r="AD404" s="21">
        <f ca="1">AC404/AC$652</f>
        <v>0</v>
      </c>
      <c r="AE404" s="22">
        <f ca="1">AD404*AE$682</f>
        <v>0</v>
      </c>
      <c r="AF404" s="2">
        <v>12006.708842266864</v>
      </c>
      <c r="AG404" s="21">
        <f ca="1">AF404/AF$652</f>
        <v>1.7938791499815446E-4</v>
      </c>
      <c r="AH404" s="22">
        <f ca="1">AG404*AH$682</f>
        <v>7468.530032946469</v>
      </c>
      <c r="AI404" s="2">
        <v>0</v>
      </c>
      <c r="AJ404" s="21">
        <f ca="1">AI404/AI$652</f>
        <v>0</v>
      </c>
      <c r="AK404" s="22">
        <f ca="1">AJ404*AK$682</f>
        <v>0</v>
      </c>
      <c r="AL404" s="2">
        <v>127259.25103765972</v>
      </c>
    </row>
    <row r="405" spans="1:38" ht="12.75" x14ac:dyDescent="0.2">
      <c r="A405" s="8" t="s">
        <v>16</v>
      </c>
      <c r="B405" s="8" t="s">
        <v>17</v>
      </c>
      <c r="C405" s="8" t="s">
        <v>18</v>
      </c>
      <c r="D405" s="8" t="s">
        <v>134</v>
      </c>
      <c r="E405" s="8" t="s">
        <v>137</v>
      </c>
      <c r="F405" s="8" t="s">
        <v>26</v>
      </c>
      <c r="G405" s="8" t="s">
        <v>765</v>
      </c>
      <c r="H405" s="20">
        <v>532083.86088864261</v>
      </c>
      <c r="I405" s="21">
        <f>H405/H$655</f>
        <v>1.3415398672607238E-2</v>
      </c>
      <c r="J405" s="22">
        <f>I405*J$685</f>
        <v>32377.769557566771</v>
      </c>
      <c r="K405" s="2">
        <v>367849.51904726407</v>
      </c>
      <c r="L405" s="21">
        <f ca="1">K405/K$655</f>
        <v>9.2654799091601726E-3</v>
      </c>
      <c r="M405" s="22">
        <f ca="1">L405*M$685</f>
        <v>25637.675563445289</v>
      </c>
      <c r="N405" s="2">
        <v>535473.87655035371</v>
      </c>
      <c r="O405" s="21">
        <f ca="1">N405/N$655</f>
        <v>4.6292674710173868E-3</v>
      </c>
      <c r="P405" s="22">
        <f ca="1">O405*P$685</f>
        <v>13142.269348989294</v>
      </c>
      <c r="Q405" s="2">
        <v>1556344.3844362439</v>
      </c>
      <c r="R405" s="21">
        <f ca="1">Q405/Q$655</f>
        <v>1.1179235395312216E-2</v>
      </c>
      <c r="S405" s="22">
        <f ca="1">R405*S$685</f>
        <v>32467.27382704238</v>
      </c>
      <c r="T405" s="2">
        <v>477703.81731717015</v>
      </c>
      <c r="U405" s="21">
        <f ca="1">T405/T$655</f>
        <v>4.8087760933547379E-3</v>
      </c>
      <c r="V405" s="22">
        <f ca="1">U405*V$685</f>
        <v>14259.162575978078</v>
      </c>
      <c r="W405" s="2">
        <v>490426.45420457772</v>
      </c>
      <c r="X405" s="21">
        <f ca="1">W405/W$655</f>
        <v>4.5746719154222803E-3</v>
      </c>
      <c r="Y405" s="22">
        <f ca="1">X405*Y$685</f>
        <v>13836.287893375766</v>
      </c>
      <c r="Z405" s="2">
        <v>213806.83199273291</v>
      </c>
      <c r="AA405" s="21">
        <f ca="1">Z405/Z$655</f>
        <v>1.8535391636580526E-3</v>
      </c>
      <c r="AB405" s="22">
        <f ca="1">AA405*AB$685</f>
        <v>5707.0172058518256</v>
      </c>
      <c r="AC405" s="2">
        <v>2521761.5258189561</v>
      </c>
      <c r="AD405" s="21">
        <f ca="1">AC405/AC$655</f>
        <v>2.2383806130563039E-2</v>
      </c>
      <c r="AE405" s="22">
        <f ca="1">AD405*AE$685</f>
        <v>70228.846352512934</v>
      </c>
      <c r="AF405" s="2">
        <v>958840.33468326414</v>
      </c>
      <c r="AG405" s="21">
        <f ca="1">AF405/AF$655</f>
        <v>7.9604510999853398E-3</v>
      </c>
      <c r="AH405" s="22">
        <f ca="1">AG405*AH$685</f>
        <v>25425.356822993403</v>
      </c>
      <c r="AI405" s="2">
        <v>832737.82337202085</v>
      </c>
      <c r="AJ405" s="21">
        <f ca="1">AI405/AI$655</f>
        <v>4.4973423627069232E-3</v>
      </c>
      <c r="AK405" s="22">
        <f ca="1">AJ405*AK$685</f>
        <v>14622.886343735148</v>
      </c>
      <c r="AL405" s="2">
        <v>8487028.4283112269</v>
      </c>
    </row>
    <row r="406" spans="1:38" ht="12.75" x14ac:dyDescent="0.2">
      <c r="A406" s="8" t="s">
        <v>16</v>
      </c>
      <c r="B406" s="8" t="s">
        <v>17</v>
      </c>
      <c r="C406" s="8" t="s">
        <v>18</v>
      </c>
      <c r="D406" s="8" t="s">
        <v>134</v>
      </c>
      <c r="E406" s="8" t="s">
        <v>137</v>
      </c>
      <c r="F406" s="8" t="s">
        <v>27</v>
      </c>
      <c r="G406" s="8" t="s">
        <v>766</v>
      </c>
      <c r="H406" s="20">
        <v>1147929.3133364376</v>
      </c>
      <c r="I406" s="21">
        <f>H406/H$657</f>
        <v>2.2506986069338274E-2</v>
      </c>
      <c r="J406" s="22">
        <f>I406*J$687</f>
        <v>233464.5388645106</v>
      </c>
      <c r="K406" s="2">
        <v>230268.64227788436</v>
      </c>
      <c r="L406" s="21">
        <f ca="1">K406/K$657</f>
        <v>5.8955065034258817E-3</v>
      </c>
      <c r="M406" s="22">
        <f ca="1">L406*M$687</f>
        <v>92598.061775877286</v>
      </c>
      <c r="N406" s="2">
        <v>5949503.2546880804</v>
      </c>
      <c r="O406" s="21">
        <f ca="1">N406/N$657</f>
        <v>0.10756776353516372</v>
      </c>
      <c r="P406" s="22">
        <f ca="1">O406*P$687</f>
        <v>1733445.825423613</v>
      </c>
      <c r="Q406" s="2">
        <v>1601707.1868973088</v>
      </c>
      <c r="R406" s="21">
        <f ca="1">Q406/Q$657</f>
        <v>2.8999822475939407E-2</v>
      </c>
      <c r="S406" s="22">
        <f ca="1">R406*S$687</f>
        <v>478078.38359601807</v>
      </c>
      <c r="T406" s="2">
        <v>134884.22015385571</v>
      </c>
      <c r="U406" s="21">
        <f ca="1">T406/T$657</f>
        <v>3.4866807633100222E-3</v>
      </c>
      <c r="V406" s="22">
        <f ca="1">U406*V$687</f>
        <v>58686.971119906913</v>
      </c>
      <c r="W406" s="2">
        <v>0</v>
      </c>
      <c r="X406" s="21">
        <f ca="1">W406/W$657</f>
        <v>0</v>
      </c>
      <c r="Y406" s="22">
        <f ca="1">X406*Y$687</f>
        <v>0</v>
      </c>
      <c r="Z406" s="2">
        <v>0</v>
      </c>
      <c r="AA406" s="21">
        <f ca="1">Z406/Z$657</f>
        <v>0</v>
      </c>
      <c r="AB406" s="22">
        <f ca="1">AA406*AB$687</f>
        <v>0</v>
      </c>
      <c r="AC406" s="2">
        <v>4281241.0967084048</v>
      </c>
      <c r="AD406" s="21">
        <f ca="1">AC406/AC$657</f>
        <v>7.7944007128795081E-2</v>
      </c>
      <c r="AE406" s="22">
        <f ca="1">AD406*AE$687</f>
        <v>1388143.5299506518</v>
      </c>
      <c r="AF406" s="2">
        <v>130002.05142548554</v>
      </c>
      <c r="AG406" s="21">
        <f ca="1">AF406/AF$657</f>
        <v>2.6012119007507838E-3</v>
      </c>
      <c r="AH406" s="22">
        <f ca="1">AG406*AH$687</f>
        <v>47160.147446463488</v>
      </c>
      <c r="AI406" s="2">
        <v>365371.78916942928</v>
      </c>
      <c r="AJ406" s="21">
        <f ca="1">AI406/AI$657</f>
        <v>6.5840656985546578E-3</v>
      </c>
      <c r="AK406" s="22">
        <f ca="1">AJ406*AK$687</f>
        <v>121518.20776937905</v>
      </c>
      <c r="AL406" s="2">
        <v>13840907.554656886</v>
      </c>
    </row>
    <row r="407" spans="1:38" ht="12.75" x14ac:dyDescent="0.2">
      <c r="A407" s="8" t="s">
        <v>16</v>
      </c>
      <c r="B407" s="8" t="s">
        <v>17</v>
      </c>
      <c r="C407" s="8" t="s">
        <v>18</v>
      </c>
      <c r="D407" s="8" t="s">
        <v>134</v>
      </c>
      <c r="E407" s="8" t="s">
        <v>137</v>
      </c>
      <c r="F407" s="8" t="s">
        <v>28</v>
      </c>
      <c r="G407" s="8" t="s">
        <v>767</v>
      </c>
      <c r="H407" s="20">
        <v>1522851.3314460611</v>
      </c>
      <c r="I407" s="21">
        <f>H407/H$669</f>
        <v>0.17923426169938023</v>
      </c>
      <c r="J407" s="22">
        <f>I407*J$699</f>
        <v>1997559.7526746949</v>
      </c>
      <c r="K407" s="2">
        <v>109117.65639602979</v>
      </c>
      <c r="L407" s="21">
        <f ca="1">K407/K$669</f>
        <v>1.5041670061739858E-2</v>
      </c>
      <c r="M407" s="22">
        <f ca="1">L407*M$699</f>
        <v>71293.349550039828</v>
      </c>
      <c r="N407" s="2">
        <v>1242965.3273522281</v>
      </c>
      <c r="O407" s="21">
        <f ca="1">N407/N$669</f>
        <v>4.4069854231245841E-2</v>
      </c>
      <c r="P407" s="22">
        <f ca="1">O407*P$699</f>
        <v>214309.75323899148</v>
      </c>
      <c r="Q407" s="2">
        <v>1215891.1884816603</v>
      </c>
      <c r="R407" s="21">
        <f ca="1">Q407/Q$669</f>
        <v>3.2165767279398384E-2</v>
      </c>
      <c r="S407" s="22">
        <f ca="1">R407*S$699</f>
        <v>160018.38064815142</v>
      </c>
      <c r="T407" s="2">
        <v>679041.78008605808</v>
      </c>
      <c r="U407" s="21">
        <f ca="1">T407/T$669</f>
        <v>2.3786617635856967E-2</v>
      </c>
      <c r="V407" s="22">
        <f ca="1">U407*V$699</f>
        <v>120818.7642049174</v>
      </c>
      <c r="W407" s="2">
        <v>100620.82897149703</v>
      </c>
      <c r="X407" s="21">
        <f ca="1">W407/W$669</f>
        <v>3.6072842944604839E-3</v>
      </c>
      <c r="Y407" s="22">
        <f ca="1">X407*Y$699</f>
        <v>18688.835450891187</v>
      </c>
      <c r="Z407" s="2">
        <v>1269359.1170227753</v>
      </c>
      <c r="AA407" s="21">
        <f ca="1">Z407/Z$669</f>
        <v>4.31472188103183E-2</v>
      </c>
      <c r="AB407" s="22">
        <f ca="1">AA407*AB$699</f>
        <v>227563.42155000192</v>
      </c>
      <c r="AC407" s="2">
        <v>330069.09691058745</v>
      </c>
      <c r="AD407" s="21">
        <f ca="1">AC407/AC$669</f>
        <v>1.0466195746627632E-2</v>
      </c>
      <c r="AE407" s="22">
        <f ca="1">AD407*AE$699</f>
        <v>56248.725210545526</v>
      </c>
      <c r="AF407" s="2">
        <v>441532.22591685061</v>
      </c>
      <c r="AG407" s="21">
        <f ca="1">AF407/AF$669</f>
        <v>1.0999995438967925E-2</v>
      </c>
      <c r="AH407" s="22">
        <f ca="1">AG407*AH$699</f>
        <v>60181.653306312284</v>
      </c>
      <c r="AI407" s="2">
        <v>58743.520873530149</v>
      </c>
      <c r="AJ407" s="21">
        <f ca="1">AI407/AI$669</f>
        <v>1.3427708302623542E-3</v>
      </c>
      <c r="AK407" s="22">
        <f ca="1">AJ407*AK$699</f>
        <v>7478.6168839129305</v>
      </c>
      <c r="AL407" s="2">
        <v>6970192.0734572774</v>
      </c>
    </row>
    <row r="408" spans="1:38" ht="12.75" x14ac:dyDescent="0.2">
      <c r="A408" s="8" t="s">
        <v>16</v>
      </c>
      <c r="B408" s="8" t="s">
        <v>17</v>
      </c>
      <c r="C408" s="8" t="s">
        <v>18</v>
      </c>
      <c r="D408" s="8" t="s">
        <v>134</v>
      </c>
      <c r="E408" s="8" t="s">
        <v>138</v>
      </c>
      <c r="F408" s="8" t="s">
        <v>24</v>
      </c>
      <c r="G408" s="8" t="s">
        <v>768</v>
      </c>
      <c r="H408" s="20">
        <v>271503.01015623531</v>
      </c>
      <c r="I408" s="21">
        <f>H408/H$646</f>
        <v>3.3066129417523016E-3</v>
      </c>
      <c r="J408" s="22">
        <f>I408*J$676</f>
        <v>7114.6406699919226</v>
      </c>
      <c r="K408" s="2">
        <v>85328.638614505908</v>
      </c>
      <c r="L408" s="21">
        <f ca="1">K408/K$646</f>
        <v>1.3510713874785845E-3</v>
      </c>
      <c r="M408" s="22">
        <f ca="1">L408*M$676</f>
        <v>5252.98352376619</v>
      </c>
      <c r="N408" s="2">
        <v>30040.269398917302</v>
      </c>
      <c r="O408" s="21">
        <f ca="1">N408/N$646</f>
        <v>3.2046437483478855E-4</v>
      </c>
      <c r="P408" s="22">
        <f ca="1">O408*P$676</f>
        <v>5444.4018392719245</v>
      </c>
      <c r="Q408" s="2">
        <v>227521.13834368854</v>
      </c>
      <c r="R408" s="21">
        <f ca="1">Q408/Q$646</f>
        <v>2.0456385602190233E-3</v>
      </c>
      <c r="S408" s="22">
        <f ca="1">R408*S$676</f>
        <v>35552.893335548382</v>
      </c>
      <c r="T408" s="2">
        <v>93724.460632386035</v>
      </c>
      <c r="U408" s="21">
        <f ca="1">T408/T$646</f>
        <v>1.1171359343289185E-3</v>
      </c>
      <c r="V408" s="22">
        <f ca="1">U408*V$676</f>
        <v>19823.384839715567</v>
      </c>
      <c r="W408" s="2">
        <v>451392.4718963395</v>
      </c>
      <c r="X408" s="21">
        <f ca="1">W408/W$646</f>
        <v>5.1642686941763688E-3</v>
      </c>
      <c r="Y408" s="22">
        <f ca="1">X408*Y$676</f>
        <v>93471.840143782843</v>
      </c>
      <c r="Z408" s="2">
        <v>257792.61348890362</v>
      </c>
      <c r="AA408" s="21">
        <f ca="1">Z408/Z$646</f>
        <v>2.2210921243924417E-3</v>
      </c>
      <c r="AB408" s="22">
        <f ca="1">AA408*AB$676</f>
        <v>40924.776138234753</v>
      </c>
      <c r="AC408" s="2">
        <v>636100.80935835571</v>
      </c>
      <c r="AD408" s="21">
        <f ca="1">AC408/AC$646</f>
        <v>6.113661162645361E-3</v>
      </c>
      <c r="AE408" s="22">
        <f ca="1">AD408*AE$676</f>
        <v>114787.68293638046</v>
      </c>
      <c r="AF408" s="2">
        <v>1533923.7585376045</v>
      </c>
      <c r="AG408" s="21">
        <f ca="1">AF408/AF$646</f>
        <v>1.629515542002254E-2</v>
      </c>
      <c r="AH408" s="22">
        <f ca="1">AG408*AH$676</f>
        <v>311458.51556473417</v>
      </c>
      <c r="AI408" s="2">
        <v>479054.98782463762</v>
      </c>
      <c r="AJ408" s="21">
        <f ca="1">AI408/AI$646</f>
        <v>3.8774546161522401E-3</v>
      </c>
      <c r="AK408" s="22">
        <f ca="1">AJ408*AK$676</f>
        <v>75445.997270993583</v>
      </c>
      <c r="AL408" s="2">
        <v>4066382.1582515738</v>
      </c>
    </row>
    <row r="409" spans="1:38" ht="12.75" x14ac:dyDescent="0.2">
      <c r="A409" s="8" t="s">
        <v>16</v>
      </c>
      <c r="B409" s="8" t="s">
        <v>17</v>
      </c>
      <c r="C409" s="8" t="s">
        <v>18</v>
      </c>
      <c r="D409" s="8" t="s">
        <v>134</v>
      </c>
      <c r="E409" s="8" t="s">
        <v>138</v>
      </c>
      <c r="F409" s="23" t="s">
        <v>22</v>
      </c>
      <c r="G409" s="8" t="s">
        <v>769</v>
      </c>
      <c r="H409" s="20">
        <v>3615551.1077676113</v>
      </c>
      <c r="I409" s="21">
        <f>H409/H$650</f>
        <v>7.2324864758165866E-2</v>
      </c>
      <c r="J409" s="22">
        <f>I409*J$680</f>
        <v>1239978.9958863668</v>
      </c>
      <c r="K409" s="2">
        <v>0</v>
      </c>
      <c r="L409" s="21">
        <f ca="1">K409/K$650</f>
        <v>0</v>
      </c>
      <c r="M409" s="22">
        <f ca="1">L409*M$680</f>
        <v>0</v>
      </c>
      <c r="N409" s="2">
        <v>0</v>
      </c>
      <c r="O409" s="21">
        <f ca="1">N409/N$650</f>
        <v>0</v>
      </c>
      <c r="P409" s="22">
        <f ca="1">O409*P$680</f>
        <v>0</v>
      </c>
      <c r="Q409" s="2">
        <v>0</v>
      </c>
      <c r="R409" s="21">
        <f ca="1">Q409/Q$650</f>
        <v>0</v>
      </c>
      <c r="S409" s="22">
        <f ca="1">R409*S$680</f>
        <v>0</v>
      </c>
      <c r="T409" s="2">
        <v>0</v>
      </c>
      <c r="U409" s="21">
        <f ca="1">T409/T$650</f>
        <v>0</v>
      </c>
      <c r="V409" s="22">
        <f ca="1">U409*V$680</f>
        <v>0</v>
      </c>
      <c r="W409" s="2">
        <v>0</v>
      </c>
      <c r="X409" s="21">
        <f ca="1">W409/W$650</f>
        <v>0</v>
      </c>
      <c r="Y409" s="22">
        <f ca="1">X409*Y$680</f>
        <v>0</v>
      </c>
      <c r="Z409" s="2">
        <v>0</v>
      </c>
      <c r="AA409" s="21">
        <f ca="1">Z409/Z$650</f>
        <v>0</v>
      </c>
      <c r="AB409" s="22">
        <f ca="1">AA409*AB$680</f>
        <v>0</v>
      </c>
      <c r="AC409" s="2">
        <v>0</v>
      </c>
      <c r="AD409" s="21">
        <f ca="1">AC409/AC$650</f>
        <v>0</v>
      </c>
      <c r="AE409" s="22">
        <f ca="1">AD409*AE$680</f>
        <v>0</v>
      </c>
      <c r="AF409" s="2">
        <v>0</v>
      </c>
      <c r="AG409" s="21">
        <f ca="1">AF409/AF$650</f>
        <v>0</v>
      </c>
      <c r="AH409" s="22">
        <f ca="1">AG409*AH$680</f>
        <v>0</v>
      </c>
      <c r="AI409" s="2">
        <v>0</v>
      </c>
      <c r="AJ409" s="21">
        <f ca="1">AI409/AI$650</f>
        <v>0</v>
      </c>
      <c r="AK409" s="22">
        <f ca="1">AJ409*AK$680</f>
        <v>0</v>
      </c>
      <c r="AL409" s="2">
        <v>3615551.1077676113</v>
      </c>
    </row>
    <row r="410" spans="1:38" ht="12.75" x14ac:dyDescent="0.2">
      <c r="A410" s="8" t="s">
        <v>16</v>
      </c>
      <c r="B410" s="8" t="s">
        <v>17</v>
      </c>
      <c r="C410" s="8" t="s">
        <v>18</v>
      </c>
      <c r="D410" s="8" t="s">
        <v>134</v>
      </c>
      <c r="E410" s="8" t="s">
        <v>138</v>
      </c>
      <c r="F410" s="8" t="s">
        <v>25</v>
      </c>
      <c r="G410" s="8" t="s">
        <v>770</v>
      </c>
      <c r="H410" s="20">
        <v>158539.1649864357</v>
      </c>
      <c r="I410" s="21">
        <f>H410/H$652</f>
        <v>1.1364655219691159E-2</v>
      </c>
      <c r="J410" s="22">
        <f>I410*J$682</f>
        <v>817965.53621483443</v>
      </c>
      <c r="K410" s="2">
        <v>0</v>
      </c>
      <c r="L410" s="21">
        <f ca="1">K410/K$652</f>
        <v>0</v>
      </c>
      <c r="M410" s="22">
        <f ca="1">L410*M$682</f>
        <v>0</v>
      </c>
      <c r="N410" s="2">
        <v>222562.85302457339</v>
      </c>
      <c r="O410" s="21">
        <f ca="1">N410/N$652</f>
        <v>4.4597669729447998E-3</v>
      </c>
      <c r="P410" s="22">
        <f ca="1">O410*P$682</f>
        <v>165037.57324303125</v>
      </c>
      <c r="Q410" s="2">
        <v>78050.704234479446</v>
      </c>
      <c r="R410" s="21">
        <f ca="1">Q410/Q$652</f>
        <v>1.5725081073011554E-3</v>
      </c>
      <c r="S410" s="22">
        <f ca="1">R410*S$682</f>
        <v>59530.453208995947</v>
      </c>
      <c r="T410" s="2">
        <v>2859170.195322501</v>
      </c>
      <c r="U410" s="21">
        <f ca="1">T410/T$652</f>
        <v>6.516667595179744E-2</v>
      </c>
      <c r="V410" s="22">
        <f ca="1">U410*V$682</f>
        <v>2518822.7472822634</v>
      </c>
      <c r="W410" s="2">
        <v>0</v>
      </c>
      <c r="X410" s="21">
        <f ca="1">W410/W$652</f>
        <v>0</v>
      </c>
      <c r="Y410" s="22">
        <f ca="1">X410*Y$682</f>
        <v>0</v>
      </c>
      <c r="Z410" s="2">
        <v>0</v>
      </c>
      <c r="AA410" s="21">
        <f ca="1">Z410/Z$652</f>
        <v>0</v>
      </c>
      <c r="AB410" s="22">
        <f ca="1">AA410*AB$682</f>
        <v>0</v>
      </c>
      <c r="AC410" s="2">
        <v>0</v>
      </c>
      <c r="AD410" s="21">
        <f ca="1">AC410/AC$652</f>
        <v>0</v>
      </c>
      <c r="AE410" s="22">
        <f ca="1">AD410*AE$682</f>
        <v>0</v>
      </c>
      <c r="AF410" s="2">
        <v>0</v>
      </c>
      <c r="AG410" s="21">
        <f ca="1">AF410/AF$652</f>
        <v>0</v>
      </c>
      <c r="AH410" s="22">
        <f ca="1">AG410*AH$682</f>
        <v>0</v>
      </c>
      <c r="AI410" s="2">
        <v>0</v>
      </c>
      <c r="AJ410" s="21">
        <f ca="1">AI410/AI$652</f>
        <v>0</v>
      </c>
      <c r="AK410" s="22">
        <f ca="1">AJ410*AK$682</f>
        <v>0</v>
      </c>
      <c r="AL410" s="2">
        <v>3318322.9175679898</v>
      </c>
    </row>
    <row r="411" spans="1:38" ht="12.75" x14ac:dyDescent="0.2">
      <c r="A411" s="8" t="s">
        <v>16</v>
      </c>
      <c r="B411" s="8" t="s">
        <v>17</v>
      </c>
      <c r="C411" s="8" t="s">
        <v>18</v>
      </c>
      <c r="D411" s="8" t="s">
        <v>134</v>
      </c>
      <c r="E411" s="8" t="s">
        <v>138</v>
      </c>
      <c r="F411" s="8" t="s">
        <v>26</v>
      </c>
      <c r="G411" s="8" t="s">
        <v>771</v>
      </c>
      <c r="H411" s="20">
        <v>10038464.431722522</v>
      </c>
      <c r="I411" s="21">
        <f>H411/H$655</f>
        <v>0.25309920542869041</v>
      </c>
      <c r="J411" s="22">
        <f>I411*J$685</f>
        <v>610849.36411962484</v>
      </c>
      <c r="K411" s="2">
        <v>9692339.8964967281</v>
      </c>
      <c r="L411" s="21">
        <f ca="1">K411/K$655</f>
        <v>0.24413292918347765</v>
      </c>
      <c r="M411" s="22">
        <f ca="1">L411*M$685</f>
        <v>675518.25637997454</v>
      </c>
      <c r="N411" s="2">
        <v>23718427.204440523</v>
      </c>
      <c r="O411" s="21">
        <f ca="1">N411/N$655</f>
        <v>0.20505004693891044</v>
      </c>
      <c r="P411" s="22">
        <f ca="1">O411*P$685</f>
        <v>582127.29417032585</v>
      </c>
      <c r="Q411" s="2">
        <v>11522071.727626907</v>
      </c>
      <c r="R411" s="21">
        <f ca="1">Q411/Q$655</f>
        <v>8.2763142510692528E-2</v>
      </c>
      <c r="S411" s="22">
        <f ca="1">R411*S$685</f>
        <v>240364.70435249657</v>
      </c>
      <c r="T411" s="2">
        <v>10414565.378479488</v>
      </c>
      <c r="U411" s="21">
        <f ca="1">T411/T$655</f>
        <v>0.10483758178022</v>
      </c>
      <c r="V411" s="22">
        <f ca="1">U411*V$685</f>
        <v>310868.31527513947</v>
      </c>
      <c r="W411" s="2">
        <v>12049784.416302171</v>
      </c>
      <c r="X411" s="21">
        <f ca="1">W411/W$655</f>
        <v>0.1123997490012154</v>
      </c>
      <c r="Y411" s="22">
        <f ca="1">X411*Y$685</f>
        <v>339957.77513160394</v>
      </c>
      <c r="Z411" s="2">
        <v>12155173.547906928</v>
      </c>
      <c r="AA411" s="21">
        <f ca="1">Z411/Z$655</f>
        <v>0.1053759133986498</v>
      </c>
      <c r="AB411" s="22">
        <f ca="1">AA411*AB$685</f>
        <v>324450.73869471875</v>
      </c>
      <c r="AC411" s="2">
        <v>14516537.826433977</v>
      </c>
      <c r="AD411" s="21">
        <f ca="1">AC411/AC$655</f>
        <v>0.12885253623986453</v>
      </c>
      <c r="AE411" s="22">
        <f ca="1">AD411*AE$685</f>
        <v>404272.84425794077</v>
      </c>
      <c r="AF411" s="2">
        <v>10202245.442493372</v>
      </c>
      <c r="AG411" s="21">
        <f ca="1">AF411/AF$655</f>
        <v>8.4700729639043126E-2</v>
      </c>
      <c r="AH411" s="22">
        <f ca="1">AG411*AH$685</f>
        <v>270530.68314740743</v>
      </c>
      <c r="AI411" s="2">
        <v>10575724.181341719</v>
      </c>
      <c r="AJ411" s="21">
        <f ca="1">AI411/AI$655</f>
        <v>5.7115998627822344E-2</v>
      </c>
      <c r="AK411" s="22">
        <f ca="1">AJ411*AK$685</f>
        <v>185709.84572339221</v>
      </c>
      <c r="AL411" s="2">
        <v>124885334.05324432</v>
      </c>
    </row>
    <row r="412" spans="1:38" ht="12.75" x14ac:dyDescent="0.2">
      <c r="A412" s="8" t="s">
        <v>16</v>
      </c>
      <c r="B412" s="8" t="s">
        <v>17</v>
      </c>
      <c r="C412" s="8" t="s">
        <v>18</v>
      </c>
      <c r="D412" s="8" t="s">
        <v>134</v>
      </c>
      <c r="E412" s="8" t="s">
        <v>138</v>
      </c>
      <c r="F412" s="8" t="s">
        <v>38</v>
      </c>
      <c r="G412" s="8" t="s">
        <v>772</v>
      </c>
      <c r="H412" s="20">
        <v>9380775.0346717164</v>
      </c>
      <c r="I412" s="21">
        <f>H412/H$656</f>
        <v>0.43824615104568149</v>
      </c>
      <c r="J412" s="22">
        <f>I412*J$686</f>
        <v>17123244.330610134</v>
      </c>
      <c r="K412" s="2">
        <v>3717508.2179374415</v>
      </c>
      <c r="L412" s="21">
        <f ca="1">K412/K$656</f>
        <v>0.2740058660168978</v>
      </c>
      <c r="M412" s="22">
        <f ca="1">L412*M$686</f>
        <v>10472982.339402033</v>
      </c>
      <c r="N412" s="2">
        <v>8589279.7741473913</v>
      </c>
      <c r="O412" s="21">
        <f ca="1">N412/N$656</f>
        <v>0.57782588053236394</v>
      </c>
      <c r="P412" s="22">
        <f ca="1">O412*P$686</f>
        <v>22659736.810071297</v>
      </c>
      <c r="Q412" s="2">
        <v>8925819.8229413331</v>
      </c>
      <c r="R412" s="21">
        <f ca="1">Q412/Q$656</f>
        <v>0.63197432419399124</v>
      </c>
      <c r="S412" s="22">
        <f ca="1">R412*S$686</f>
        <v>25353209.165216919</v>
      </c>
      <c r="T412" s="2">
        <v>4000646.1984767993</v>
      </c>
      <c r="U412" s="21">
        <f ca="1">T412/T$656</f>
        <v>0.42472720576086803</v>
      </c>
      <c r="V412" s="22">
        <f ca="1">U412*V$686</f>
        <v>17396798.2819914</v>
      </c>
      <c r="W412" s="2">
        <v>9719085.4324987177</v>
      </c>
      <c r="X412" s="21">
        <f ca="1">W412/W$656</f>
        <v>0.57198133087050518</v>
      </c>
      <c r="Y412" s="22">
        <f ca="1">X412*Y$686</f>
        <v>23896883.867163312</v>
      </c>
      <c r="Z412" s="2">
        <v>35134255.992945857</v>
      </c>
      <c r="AA412" s="21">
        <f ca="1">Z412/Z$656</f>
        <v>0.86491708877395557</v>
      </c>
      <c r="AB412" s="22">
        <f ca="1">AA412*AB$686</f>
        <v>36785924.477329694</v>
      </c>
      <c r="AC412" s="2">
        <v>4073581.1309072091</v>
      </c>
      <c r="AD412" s="21">
        <f ca="1">AC412/AC$656</f>
        <v>0.37301761514705517</v>
      </c>
      <c r="AE412" s="22">
        <f ca="1">AD412*AE$686</f>
        <v>16166303.293053867</v>
      </c>
      <c r="AF412" s="2">
        <v>13461929.384255048</v>
      </c>
      <c r="AG412" s="21">
        <f ca="1">AF412/AF$656</f>
        <v>0.66893835353036357</v>
      </c>
      <c r="AH412" s="22">
        <f ca="1">AG412*AH$686</f>
        <v>29513128.993543874</v>
      </c>
      <c r="AI412" s="2">
        <v>33191603.480348568</v>
      </c>
      <c r="AJ412" s="21">
        <f ca="1">AI412/AI$656</f>
        <v>0.83205672775191586</v>
      </c>
      <c r="AK412" s="22">
        <f ca="1">AJ412*AK$686</f>
        <v>37370583.036983512</v>
      </c>
      <c r="AL412" s="2">
        <v>130194484.46913008</v>
      </c>
    </row>
    <row r="413" spans="1:38" ht="12.75" x14ac:dyDescent="0.2">
      <c r="A413" s="8" t="s">
        <v>16</v>
      </c>
      <c r="B413" s="8" t="s">
        <v>17</v>
      </c>
      <c r="C413" s="8" t="s">
        <v>18</v>
      </c>
      <c r="D413" s="8" t="s">
        <v>134</v>
      </c>
      <c r="E413" s="8" t="s">
        <v>138</v>
      </c>
      <c r="F413" s="8" t="s">
        <v>27</v>
      </c>
      <c r="G413" s="8" t="s">
        <v>773</v>
      </c>
      <c r="H413" s="20">
        <v>542811.22852509061</v>
      </c>
      <c r="I413" s="21">
        <f>H413/H$657</f>
        <v>1.0642680360854249E-2</v>
      </c>
      <c r="J413" s="22">
        <f>I413*J$687</f>
        <v>110396.32117221427</v>
      </c>
      <c r="K413" s="2">
        <v>16340368.352916973</v>
      </c>
      <c r="L413" s="21">
        <f ca="1">K413/K$657</f>
        <v>0.4183580835845695</v>
      </c>
      <c r="M413" s="22">
        <f ca="1">L413*M$687</f>
        <v>6570961.7393671367</v>
      </c>
      <c r="N413" s="2">
        <v>0</v>
      </c>
      <c r="O413" s="21">
        <f ca="1">N413/N$657</f>
        <v>0</v>
      </c>
      <c r="P413" s="22">
        <f ca="1">O413*P$687</f>
        <v>0</v>
      </c>
      <c r="Q413" s="2">
        <v>9979.8165414342948</v>
      </c>
      <c r="R413" s="21">
        <f ca="1">Q413/Q$657</f>
        <v>1.8069027248648629E-4</v>
      </c>
      <c r="S413" s="22">
        <f ca="1">R413*S$687</f>
        <v>2978.7807657627782</v>
      </c>
      <c r="T413" s="2">
        <v>160258.47939071964</v>
      </c>
      <c r="U413" s="21">
        <f ca="1">T413/T$657</f>
        <v>4.1425910059128971E-3</v>
      </c>
      <c r="V413" s="22">
        <f ca="1">U413*V$687</f>
        <v>69727.094399889393</v>
      </c>
      <c r="W413" s="2">
        <v>0</v>
      </c>
      <c r="X413" s="21">
        <f ca="1">W413/W$657</f>
        <v>0</v>
      </c>
      <c r="Y413" s="22">
        <f ca="1">X413*Y$687</f>
        <v>0</v>
      </c>
      <c r="Z413" s="2">
        <v>0</v>
      </c>
      <c r="AA413" s="21">
        <f ca="1">Z413/Z$657</f>
        <v>0</v>
      </c>
      <c r="AB413" s="22">
        <f ca="1">AA413*AB$687</f>
        <v>0</v>
      </c>
      <c r="AC413" s="2">
        <v>0</v>
      </c>
      <c r="AD413" s="21">
        <f ca="1">AC413/AC$657</f>
        <v>0</v>
      </c>
      <c r="AE413" s="22">
        <f ca="1">AD413*AE$687</f>
        <v>0</v>
      </c>
      <c r="AF413" s="2">
        <v>63695.760437871628</v>
      </c>
      <c r="AG413" s="21">
        <f ca="1">AF413/AF$657</f>
        <v>1.2744888889182683E-3</v>
      </c>
      <c r="AH413" s="22">
        <f ca="1">AG413*AH$687</f>
        <v>23106.569635067761</v>
      </c>
      <c r="AI413" s="2">
        <v>0</v>
      </c>
      <c r="AJ413" s="21">
        <f ca="1">AI413/AI$657</f>
        <v>0</v>
      </c>
      <c r="AK413" s="22">
        <f ca="1">AJ413*AK$687</f>
        <v>0</v>
      </c>
      <c r="AL413" s="2">
        <v>17117113.637812085</v>
      </c>
    </row>
    <row r="414" spans="1:38" ht="12.75" x14ac:dyDescent="0.2">
      <c r="A414" s="8" t="s">
        <v>16</v>
      </c>
      <c r="B414" s="8" t="s">
        <v>17</v>
      </c>
      <c r="C414" s="8" t="s">
        <v>18</v>
      </c>
      <c r="D414" s="8" t="s">
        <v>134</v>
      </c>
      <c r="E414" s="8" t="s">
        <v>138</v>
      </c>
      <c r="F414" s="8" t="s">
        <v>28</v>
      </c>
      <c r="G414" s="8" t="s">
        <v>774</v>
      </c>
      <c r="H414" s="20">
        <v>3963.4791246608925</v>
      </c>
      <c r="I414" s="21">
        <f>H414/H$669</f>
        <v>4.6648759468524833E-4</v>
      </c>
      <c r="J414" s="22">
        <f>I414*J$699</f>
        <v>5198.9883821888734</v>
      </c>
      <c r="K414" s="2">
        <v>162613.70123349602</v>
      </c>
      <c r="L414" s="21">
        <f ca="1">K414/K$669</f>
        <v>2.2416002343334632E-2</v>
      </c>
      <c r="M414" s="22">
        <f ca="1">L414*M$699</f>
        <v>106245.64187475706</v>
      </c>
      <c r="N414" s="2">
        <v>219816.32170361784</v>
      </c>
      <c r="O414" s="21">
        <f ca="1">N414/N$669</f>
        <v>7.7936793906898151E-3</v>
      </c>
      <c r="P414" s="22">
        <f ca="1">O414*P$699</f>
        <v>37900.318396295501</v>
      </c>
      <c r="Q414" s="2">
        <v>133.42000723842639</v>
      </c>
      <c r="R414" s="21">
        <f ca="1">Q414/Q$669</f>
        <v>3.5295567102562338E-6</v>
      </c>
      <c r="S414" s="22">
        <f ca="1">R414*S$699</f>
        <v>17.558852063907079</v>
      </c>
      <c r="T414" s="2">
        <v>24953.580728463308</v>
      </c>
      <c r="U414" s="21">
        <f ca="1">T414/T$669</f>
        <v>8.7411599822064131E-4</v>
      </c>
      <c r="V414" s="22">
        <f ca="1">U414*V$699</f>
        <v>4439.8752396627087</v>
      </c>
      <c r="W414" s="2">
        <v>0</v>
      </c>
      <c r="X414" s="21">
        <f ca="1">W414/W$669</f>
        <v>0</v>
      </c>
      <c r="Y414" s="22">
        <f ca="1">X414*Y$699</f>
        <v>0</v>
      </c>
      <c r="Z414" s="2">
        <v>29944.934452763715</v>
      </c>
      <c r="AA414" s="21">
        <f ca="1">Z414/Z$669</f>
        <v>1.0178684832110067E-3</v>
      </c>
      <c r="AB414" s="22">
        <f ca="1">AA414*AB$699</f>
        <v>5368.3560867662472</v>
      </c>
      <c r="AC414" s="2">
        <v>471244.38190602243</v>
      </c>
      <c r="AD414" s="21">
        <f ca="1">AC414/AC$669</f>
        <v>1.4942737722771568E-2</v>
      </c>
      <c r="AE414" s="22">
        <f ca="1">AD414*AE$699</f>
        <v>80307.111428931166</v>
      </c>
      <c r="AF414" s="2">
        <v>9569248.4216464851</v>
      </c>
      <c r="AG414" s="21">
        <f ca="1">AF414/AF$669</f>
        <v>0.23840092028137769</v>
      </c>
      <c r="AH414" s="22">
        <f ca="1">AG414*AH$699</f>
        <v>1304306.1346601618</v>
      </c>
      <c r="AI414" s="2">
        <v>908652.52727012127</v>
      </c>
      <c r="AJ414" s="21">
        <f ca="1">AI414/AI$669</f>
        <v>2.0770156271179008E-2</v>
      </c>
      <c r="AK414" s="22">
        <f ca="1">AJ414*AK$699</f>
        <v>115680.23215160266</v>
      </c>
      <c r="AL414" s="2">
        <v>11390570.76807287</v>
      </c>
    </row>
    <row r="415" spans="1:38" ht="12.75" x14ac:dyDescent="0.2">
      <c r="A415" s="8" t="s">
        <v>16</v>
      </c>
      <c r="B415" s="8" t="s">
        <v>17</v>
      </c>
      <c r="C415" s="8" t="s">
        <v>18</v>
      </c>
      <c r="D415" s="8" t="s">
        <v>134</v>
      </c>
      <c r="E415" s="8" t="s">
        <v>138</v>
      </c>
      <c r="F415" s="8" t="s">
        <v>139</v>
      </c>
      <c r="G415" s="8" t="s">
        <v>775</v>
      </c>
      <c r="H415" s="20">
        <v>185000</v>
      </c>
      <c r="I415" s="21">
        <f>H415/H$662</f>
        <v>2.9545527548404091E-2</v>
      </c>
      <c r="J415" s="22">
        <f>I415*J$692</f>
        <v>94846.520716390936</v>
      </c>
      <c r="K415" s="2">
        <v>185000</v>
      </c>
      <c r="L415" s="21">
        <f ca="1">K415/K$662</f>
        <v>3.1763498540300868E-2</v>
      </c>
      <c r="M415" s="22">
        <f ca="1">L415*M$692</f>
        <v>87277.867242624852</v>
      </c>
      <c r="N415" s="2">
        <v>185000</v>
      </c>
      <c r="O415" s="21">
        <f ca="1">N415/N$662</f>
        <v>3.4215098714431104E-2</v>
      </c>
      <c r="P415" s="22">
        <f ca="1">O415*P$692</f>
        <v>96458.59966202396</v>
      </c>
      <c r="Q415" s="2">
        <v>185000</v>
      </c>
      <c r="R415" s="21">
        <f ca="1">Q415/Q$662</f>
        <v>3.3097842116250407E-2</v>
      </c>
      <c r="S415" s="22">
        <f ca="1">R415*S$692</f>
        <v>95454.953138642217</v>
      </c>
      <c r="T415" s="2">
        <v>185000</v>
      </c>
      <c r="U415" s="21">
        <f ca="1">T415/T$662</f>
        <v>4.7350025984294108E-2</v>
      </c>
      <c r="V415" s="22">
        <f ca="1">U415*V$692</f>
        <v>139426.31594553933</v>
      </c>
      <c r="W415" s="2">
        <v>185000</v>
      </c>
      <c r="X415" s="21">
        <f ca="1">W415/W$662</f>
        <v>4.629230223357042E-2</v>
      </c>
      <c r="Y415" s="22">
        <f ca="1">X415*Y$692</f>
        <v>139037.99048771642</v>
      </c>
      <c r="Z415" s="2">
        <v>185000</v>
      </c>
      <c r="AA415" s="21">
        <f ca="1">Z415/Z$662</f>
        <v>4.3431090401192279E-2</v>
      </c>
      <c r="AB415" s="22">
        <f ca="1">AA415*AB$692</f>
        <v>132792.39777401296</v>
      </c>
      <c r="AC415" s="2">
        <v>185000</v>
      </c>
      <c r="AD415" s="21">
        <f ca="1">AC415/AC$662</f>
        <v>4.7585385023217304E-2</v>
      </c>
      <c r="AE415" s="22">
        <f ca="1">AD415*AE$692</f>
        <v>148258.72199731189</v>
      </c>
      <c r="AF415" s="2">
        <v>185000</v>
      </c>
      <c r="AG415" s="21">
        <f ca="1">AF415/AF$662</f>
        <v>5.1458723225612193E-2</v>
      </c>
      <c r="AH415" s="22">
        <f ca="1">AG415*AH$692</f>
        <v>163212.51188425411</v>
      </c>
      <c r="AI415" s="2">
        <v>185000</v>
      </c>
      <c r="AJ415" s="21">
        <f ca="1">AI415/AI$662</f>
        <v>3.5486346707536989E-2</v>
      </c>
      <c r="AK415" s="22">
        <f ca="1">AJ415*AK$692</f>
        <v>114578.60014006909</v>
      </c>
      <c r="AL415" s="2">
        <v>1850000</v>
      </c>
    </row>
    <row r="416" spans="1:38" ht="12.75" x14ac:dyDescent="0.2">
      <c r="A416" s="8" t="s">
        <v>16</v>
      </c>
      <c r="B416" s="8" t="s">
        <v>17</v>
      </c>
      <c r="C416" s="8" t="s">
        <v>18</v>
      </c>
      <c r="D416" s="8" t="s">
        <v>134</v>
      </c>
      <c r="E416" s="8" t="s">
        <v>138</v>
      </c>
      <c r="F416" s="8" t="s">
        <v>34</v>
      </c>
      <c r="G416" s="8" t="s">
        <v>776</v>
      </c>
      <c r="H416" s="20">
        <v>0</v>
      </c>
      <c r="I416" s="21">
        <f>H416/H$653</f>
        <v>0</v>
      </c>
      <c r="J416" s="22">
        <f>I416*J$683</f>
        <v>0</v>
      </c>
      <c r="K416" s="2">
        <v>0</v>
      </c>
      <c r="L416" s="21">
        <f ca="1">K416/K$653</f>
        <v>0</v>
      </c>
      <c r="M416" s="22">
        <f ca="1">L416*M$683</f>
        <v>0</v>
      </c>
      <c r="N416" s="2">
        <v>0</v>
      </c>
      <c r="O416" s="21">
        <f ca="1">N416/N$653</f>
        <v>0</v>
      </c>
      <c r="P416" s="22">
        <f ca="1">O416*P$683</f>
        <v>0</v>
      </c>
      <c r="Q416" s="2">
        <v>0</v>
      </c>
      <c r="R416" s="21">
        <f ca="1">Q416/Q$653</f>
        <v>0</v>
      </c>
      <c r="S416" s="22">
        <f ca="1">R416*S$683</f>
        <v>0</v>
      </c>
      <c r="T416" s="2">
        <v>0</v>
      </c>
      <c r="U416" s="21">
        <f ca="1">T416/T$653</f>
        <v>0</v>
      </c>
      <c r="V416" s="22">
        <f ca="1">U416*V$683</f>
        <v>0</v>
      </c>
      <c r="W416" s="2">
        <v>0</v>
      </c>
      <c r="X416" s="21">
        <f ca="1">W416/W$653</f>
        <v>0</v>
      </c>
      <c r="Y416" s="22">
        <f ca="1">X416*Y$683</f>
        <v>0</v>
      </c>
      <c r="Z416" s="2">
        <v>0</v>
      </c>
      <c r="AA416" s="21">
        <f ca="1">Z416/Z$653</f>
        <v>0</v>
      </c>
      <c r="AB416" s="22">
        <f ca="1">AA416*AB$683</f>
        <v>0</v>
      </c>
      <c r="AC416" s="2">
        <v>0</v>
      </c>
      <c r="AD416" s="21">
        <f ca="1">AC416/AC$653</f>
        <v>0</v>
      </c>
      <c r="AE416" s="22">
        <f ca="1">AD416*AE$683</f>
        <v>0</v>
      </c>
      <c r="AF416" s="2">
        <v>0</v>
      </c>
      <c r="AG416" s="21">
        <f ca="1">AF416/AF$653</f>
        <v>0</v>
      </c>
      <c r="AH416" s="22">
        <f ca="1">AG416*AH$683</f>
        <v>0</v>
      </c>
      <c r="AI416" s="2">
        <v>0</v>
      </c>
      <c r="AJ416" s="21">
        <f ca="1">AI416/AI$653</f>
        <v>0</v>
      </c>
      <c r="AK416" s="22">
        <f ca="1">AJ416*AK$683</f>
        <v>0</v>
      </c>
      <c r="AL416" s="2">
        <v>0</v>
      </c>
    </row>
    <row r="417" spans="1:38" ht="12.75" x14ac:dyDescent="0.2">
      <c r="A417" s="8" t="s">
        <v>16</v>
      </c>
      <c r="B417" s="8" t="s">
        <v>17</v>
      </c>
      <c r="C417" s="8" t="s">
        <v>18</v>
      </c>
      <c r="D417" s="8" t="s">
        <v>134</v>
      </c>
      <c r="E417" s="8" t="s">
        <v>138</v>
      </c>
      <c r="F417" s="8" t="s">
        <v>49</v>
      </c>
      <c r="G417" s="8" t="s">
        <v>777</v>
      </c>
      <c r="H417" s="20">
        <v>120000</v>
      </c>
      <c r="I417" s="21">
        <f>H417/H$644</f>
        <v>6.0989468291671864E-3</v>
      </c>
      <c r="J417" s="22">
        <f>I417*J$674</f>
        <v>185132.87841205922</v>
      </c>
      <c r="K417" s="2">
        <v>120000</v>
      </c>
      <c r="L417" s="21">
        <f>K417/K$644</f>
        <v>8.6270219154911121E-3</v>
      </c>
      <c r="M417" s="22">
        <f>L417*M$674</f>
        <v>189721.66584859698</v>
      </c>
      <c r="N417" s="2">
        <v>120000</v>
      </c>
      <c r="O417" s="21">
        <f>N417/N$644</f>
        <v>5.2028771457162002E-3</v>
      </c>
      <c r="P417" s="22">
        <f>O417*P$674</f>
        <v>117394.2863291968</v>
      </c>
      <c r="Q417" s="2">
        <v>120000</v>
      </c>
      <c r="R417" s="21">
        <f>Q417/Q$644</f>
        <v>7.4257111463893778E-3</v>
      </c>
      <c r="S417" s="22">
        <f>R417*S$674</f>
        <v>171402.46922608474</v>
      </c>
      <c r="T417" s="2">
        <v>120000</v>
      </c>
      <c r="U417" s="21">
        <f>T417/T$644</f>
        <v>5.0236788676129547E-3</v>
      </c>
      <c r="V417" s="22">
        <f>U417*V$674</f>
        <v>118393.16601761087</v>
      </c>
      <c r="W417" s="2">
        <v>120000</v>
      </c>
      <c r="X417" s="21">
        <f>W417/W$644</f>
        <v>7.5414603293543327E-3</v>
      </c>
      <c r="Y417" s="22">
        <f>X417*Y$674</f>
        <v>181284.38070574508</v>
      </c>
      <c r="Z417" s="2">
        <v>120000</v>
      </c>
      <c r="AA417" s="21">
        <f>Z417/Z$644</f>
        <v>4.8757190557224758E-3</v>
      </c>
      <c r="AB417" s="22">
        <f>AA417*AB$674</f>
        <v>119313.99502799564</v>
      </c>
      <c r="AC417" s="2">
        <v>120000</v>
      </c>
      <c r="AD417" s="21">
        <f>AC417/AC$644</f>
        <v>7.6140698712104859E-3</v>
      </c>
      <c r="AE417" s="22">
        <f>AD417*AE$674</f>
        <v>189864.49397258207</v>
      </c>
      <c r="AF417" s="2">
        <v>120000</v>
      </c>
      <c r="AG417" s="21">
        <f>AF417/AF$644</f>
        <v>3.7178121765106629E-3</v>
      </c>
      <c r="AH417" s="22">
        <f>AG417*AH$674</f>
        <v>94376.120712914024</v>
      </c>
      <c r="AI417" s="2">
        <v>120000</v>
      </c>
      <c r="AJ417" s="21">
        <f>AI417/AI$644</f>
        <v>3.3202131934772488E-3</v>
      </c>
      <c r="AK417" s="22">
        <f>AJ417*AK$674</f>
        <v>85800.224742511724</v>
      </c>
      <c r="AL417" s="2">
        <v>1200000</v>
      </c>
    </row>
    <row r="418" spans="1:38" ht="12.75" x14ac:dyDescent="0.2">
      <c r="A418" s="8" t="s">
        <v>16</v>
      </c>
      <c r="B418" s="8" t="s">
        <v>17</v>
      </c>
      <c r="C418" s="8" t="s">
        <v>18</v>
      </c>
      <c r="D418" s="8" t="s">
        <v>130</v>
      </c>
      <c r="E418" s="8" t="s">
        <v>140</v>
      </c>
      <c r="F418" s="8" t="s">
        <v>24</v>
      </c>
      <c r="G418" s="8" t="s">
        <v>778</v>
      </c>
      <c r="H418" s="20">
        <v>13000.211528887727</v>
      </c>
      <c r="I418" s="21">
        <f>H418/H$646</f>
        <v>1.5832851231447167E-4</v>
      </c>
      <c r="J418" s="22">
        <f>I418*J$676</f>
        <v>340.66596023630984</v>
      </c>
      <c r="K418" s="2">
        <v>10550.681745224842</v>
      </c>
      <c r="L418" s="21">
        <f ca="1">K418/K$646</f>
        <v>1.6705674033738293E-4</v>
      </c>
      <c r="M418" s="22">
        <f ca="1">L418*M$676</f>
        <v>649.51882828639134</v>
      </c>
      <c r="N418" s="2">
        <v>32878.091237674489</v>
      </c>
      <c r="O418" s="21">
        <f ca="1">N418/N$646</f>
        <v>3.5073776517537619E-4</v>
      </c>
      <c r="P418" s="22">
        <f ca="1">O418*P$676</f>
        <v>5958.7195450582958</v>
      </c>
      <c r="Q418" s="2">
        <v>75255.168164813411</v>
      </c>
      <c r="R418" s="21">
        <f ca="1">Q418/Q$646</f>
        <v>6.7661789570146907E-4</v>
      </c>
      <c r="S418" s="22">
        <f ca="1">R418*S$676</f>
        <v>11759.518197692716</v>
      </c>
      <c r="T418" s="2">
        <v>0</v>
      </c>
      <c r="U418" s="21">
        <f ca="1">T418/T$646</f>
        <v>0</v>
      </c>
      <c r="V418" s="22">
        <f ca="1">U418*V$676</f>
        <v>0</v>
      </c>
      <c r="W418" s="2">
        <v>0</v>
      </c>
      <c r="X418" s="21">
        <f ca="1">W418/W$646</f>
        <v>0</v>
      </c>
      <c r="Y418" s="22">
        <f ca="1">X418*Y$676</f>
        <v>0</v>
      </c>
      <c r="Z418" s="2">
        <v>16769.163293547681</v>
      </c>
      <c r="AA418" s="21">
        <f ca="1">Z418/Z$646</f>
        <v>1.4447992135954965E-4</v>
      </c>
      <c r="AB418" s="22">
        <f ca="1">AA418*AB$676</f>
        <v>2662.1176011448524</v>
      </c>
      <c r="AC418" s="2">
        <v>46600.412325607263</v>
      </c>
      <c r="AD418" s="21">
        <f ca="1">AC418/AC$646</f>
        <v>4.478836165696869E-4</v>
      </c>
      <c r="AE418" s="22">
        <f ca="1">AD418*AE$676</f>
        <v>8409.2855661230369</v>
      </c>
      <c r="AF418" s="2">
        <v>46332.045254609831</v>
      </c>
      <c r="AG418" s="21">
        <f ca="1">AF418/AF$646</f>
        <v>4.9219387479281711E-4</v>
      </c>
      <c r="AH418" s="22">
        <f ca="1">AG418*AH$676</f>
        <v>9407.5797168931458</v>
      </c>
      <c r="AI418" s="2">
        <v>202750.08627166296</v>
      </c>
      <c r="AJ418" s="21">
        <f ca="1">AI418/AI$646</f>
        <v>1.6410522339182978E-3</v>
      </c>
      <c r="AK418" s="22">
        <f ca="1">AJ418*AK$676</f>
        <v>31930.953323348105</v>
      </c>
      <c r="AL418" s="2">
        <v>444135.8598220282</v>
      </c>
    </row>
    <row r="419" spans="1:38" ht="12.75" x14ac:dyDescent="0.2">
      <c r="A419" s="8" t="s">
        <v>16</v>
      </c>
      <c r="B419" s="8" t="s">
        <v>17</v>
      </c>
      <c r="C419" s="8" t="s">
        <v>18</v>
      </c>
      <c r="D419" s="8" t="s">
        <v>130</v>
      </c>
      <c r="E419" s="8" t="s">
        <v>140</v>
      </c>
      <c r="F419" s="23" t="s">
        <v>22</v>
      </c>
      <c r="G419" s="8" t="s">
        <v>779</v>
      </c>
      <c r="H419" s="20">
        <v>0</v>
      </c>
      <c r="I419" s="21">
        <f>H419/H$650</f>
        <v>0</v>
      </c>
      <c r="J419" s="22">
        <f>I419*J$680</f>
        <v>0</v>
      </c>
      <c r="K419" s="2">
        <v>0</v>
      </c>
      <c r="L419" s="21">
        <f ca="1">K419/K$650</f>
        <v>0</v>
      </c>
      <c r="M419" s="22">
        <f ca="1">L419*M$680</f>
        <v>0</v>
      </c>
      <c r="N419" s="2">
        <v>0</v>
      </c>
      <c r="O419" s="21">
        <f ca="1">N419/N$650</f>
        <v>0</v>
      </c>
      <c r="P419" s="22">
        <f ca="1">O419*P$680</f>
        <v>0</v>
      </c>
      <c r="Q419" s="2">
        <v>0</v>
      </c>
      <c r="R419" s="21">
        <f ca="1">Q419/Q$650</f>
        <v>0</v>
      </c>
      <c r="S419" s="22">
        <f ca="1">R419*S$680</f>
        <v>0</v>
      </c>
      <c r="T419" s="2">
        <v>0</v>
      </c>
      <c r="U419" s="21">
        <f ca="1">T419/T$650</f>
        <v>0</v>
      </c>
      <c r="V419" s="22">
        <f ca="1">U419*V$680</f>
        <v>0</v>
      </c>
      <c r="W419" s="2">
        <v>0</v>
      </c>
      <c r="X419" s="21">
        <f ca="1">W419/W$650</f>
        <v>0</v>
      </c>
      <c r="Y419" s="22">
        <f ca="1">X419*Y$680</f>
        <v>0</v>
      </c>
      <c r="Z419" s="2">
        <v>0</v>
      </c>
      <c r="AA419" s="21">
        <f ca="1">Z419/Z$650</f>
        <v>0</v>
      </c>
      <c r="AB419" s="22">
        <f ca="1">AA419*AB$680</f>
        <v>0</v>
      </c>
      <c r="AC419" s="2">
        <v>0</v>
      </c>
      <c r="AD419" s="21">
        <f ca="1">AC419/AC$650</f>
        <v>0</v>
      </c>
      <c r="AE419" s="22">
        <f ca="1">AD419*AE$680</f>
        <v>0</v>
      </c>
      <c r="AF419" s="2">
        <v>0</v>
      </c>
      <c r="AG419" s="21">
        <f ca="1">AF419/AF$650</f>
        <v>0</v>
      </c>
      <c r="AH419" s="22">
        <f ca="1">AG419*AH$680</f>
        <v>0</v>
      </c>
      <c r="AI419" s="2">
        <v>1458649.3669249604</v>
      </c>
      <c r="AJ419" s="21">
        <f ca="1">AI419/AI$650</f>
        <v>3.0774121129781392E-2</v>
      </c>
      <c r="AK419" s="22">
        <f ca="1">AJ419*AK$680</f>
        <v>399458.21448848449</v>
      </c>
      <c r="AL419" s="2">
        <v>1458649.3669249604</v>
      </c>
    </row>
    <row r="420" spans="1:38" ht="12.75" x14ac:dyDescent="0.2">
      <c r="A420" s="8" t="s">
        <v>16</v>
      </c>
      <c r="B420" s="8" t="s">
        <v>17</v>
      </c>
      <c r="C420" s="8" t="s">
        <v>18</v>
      </c>
      <c r="D420" s="8" t="s">
        <v>130</v>
      </c>
      <c r="E420" s="8" t="s">
        <v>140</v>
      </c>
      <c r="F420" s="8" t="s">
        <v>25</v>
      </c>
      <c r="G420" s="8" t="s">
        <v>780</v>
      </c>
      <c r="H420" s="20">
        <v>0</v>
      </c>
      <c r="I420" s="21">
        <f>H420/H$652</f>
        <v>0</v>
      </c>
      <c r="J420" s="22">
        <f>I420*J$682</f>
        <v>0</v>
      </c>
      <c r="K420" s="2">
        <v>0</v>
      </c>
      <c r="L420" s="21">
        <f ca="1">K420/K$652</f>
        <v>0</v>
      </c>
      <c r="M420" s="22">
        <f ca="1">L420*M$682</f>
        <v>0</v>
      </c>
      <c r="N420" s="2">
        <v>0</v>
      </c>
      <c r="O420" s="21">
        <f ca="1">N420/N$652</f>
        <v>0</v>
      </c>
      <c r="P420" s="22">
        <f ca="1">O420*P$682</f>
        <v>0</v>
      </c>
      <c r="Q420" s="2">
        <v>0</v>
      </c>
      <c r="R420" s="21">
        <f ca="1">Q420/Q$652</f>
        <v>0</v>
      </c>
      <c r="S420" s="22">
        <f ca="1">R420*S$682</f>
        <v>0</v>
      </c>
      <c r="T420" s="2">
        <v>0</v>
      </c>
      <c r="U420" s="21">
        <f ca="1">T420/T$652</f>
        <v>0</v>
      </c>
      <c r="V420" s="22">
        <f ca="1">U420*V$682</f>
        <v>0</v>
      </c>
      <c r="W420" s="2">
        <v>0</v>
      </c>
      <c r="X420" s="21">
        <f ca="1">W420/W$652</f>
        <v>0</v>
      </c>
      <c r="Y420" s="22">
        <f ca="1">X420*Y$682</f>
        <v>0</v>
      </c>
      <c r="Z420" s="2">
        <v>0</v>
      </c>
      <c r="AA420" s="21">
        <f ca="1">Z420/Z$652</f>
        <v>0</v>
      </c>
      <c r="AB420" s="22">
        <f ca="1">AA420*AB$682</f>
        <v>0</v>
      </c>
      <c r="AC420" s="2">
        <v>0</v>
      </c>
      <c r="AD420" s="21">
        <f ca="1">AC420/AC$652</f>
        <v>0</v>
      </c>
      <c r="AE420" s="22">
        <f ca="1">AD420*AE$682</f>
        <v>0</v>
      </c>
      <c r="AF420" s="2">
        <v>0</v>
      </c>
      <c r="AG420" s="21">
        <f ca="1">AF420/AF$652</f>
        <v>0</v>
      </c>
      <c r="AH420" s="22">
        <f ca="1">AG420*AH$682</f>
        <v>0</v>
      </c>
      <c r="AI420" s="2">
        <v>163965.43188875448</v>
      </c>
      <c r="AJ420" s="21">
        <f ca="1">AI420/AI$652</f>
        <v>2.1889492048693202E-3</v>
      </c>
      <c r="AK420" s="22">
        <f ca="1">AJ420*AK$682</f>
        <v>92773.814046845</v>
      </c>
      <c r="AL420" s="2">
        <v>163965.43188875448</v>
      </c>
    </row>
    <row r="421" spans="1:38" ht="12.75" x14ac:dyDescent="0.2">
      <c r="A421" s="8" t="s">
        <v>16</v>
      </c>
      <c r="B421" s="8" t="s">
        <v>17</v>
      </c>
      <c r="C421" s="8" t="s">
        <v>18</v>
      </c>
      <c r="D421" s="8" t="s">
        <v>130</v>
      </c>
      <c r="E421" s="8" t="s">
        <v>140</v>
      </c>
      <c r="F421" s="8" t="s">
        <v>26</v>
      </c>
      <c r="G421" s="8" t="s">
        <v>781</v>
      </c>
      <c r="H421" s="20">
        <v>1259950.3789384512</v>
      </c>
      <c r="I421" s="21">
        <f>H421/H$655</f>
        <v>3.1767053811653533E-2</v>
      </c>
      <c r="J421" s="22">
        <f>I421*J$685</f>
        <v>76669.085499241948</v>
      </c>
      <c r="K421" s="2">
        <v>1528518.1483224854</v>
      </c>
      <c r="L421" s="21">
        <f ca="1">K421/K$655</f>
        <v>3.8500673402400182E-2</v>
      </c>
      <c r="M421" s="22">
        <f ca="1">L421*M$685</f>
        <v>106531.74831117532</v>
      </c>
      <c r="N421" s="2">
        <v>49180.972024776114</v>
      </c>
      <c r="O421" s="21">
        <f ca="1">N421/N$655</f>
        <v>4.2517830272884071E-4</v>
      </c>
      <c r="P421" s="22">
        <f ca="1">O421*P$685</f>
        <v>1207.0609034350064</v>
      </c>
      <c r="Q421" s="2">
        <v>37971.33406005615</v>
      </c>
      <c r="R421" s="21">
        <f ca="1">Q421/Q$655</f>
        <v>2.7274842636141076E-4</v>
      </c>
      <c r="S421" s="22">
        <f ca="1">R421*S$685</f>
        <v>792.12911540302275</v>
      </c>
      <c r="T421" s="2">
        <v>47409.800153087897</v>
      </c>
      <c r="U421" s="21">
        <f ca="1">T421/T$655</f>
        <v>4.7724783705365727E-4</v>
      </c>
      <c r="V421" s="22">
        <f ca="1">U421*V$685</f>
        <v>1415.1531211831752</v>
      </c>
      <c r="W421" s="2">
        <v>101154.62647267208</v>
      </c>
      <c r="X421" s="21">
        <f ca="1">W421/W$655</f>
        <v>9.43564982827235E-4</v>
      </c>
      <c r="Y421" s="22">
        <f ca="1">X421*Y$685</f>
        <v>2853.8520335180492</v>
      </c>
      <c r="Z421" s="2">
        <v>50440.578478210875</v>
      </c>
      <c r="AA421" s="21">
        <f ca="1">Z421/Z$655</f>
        <v>4.3728063680448297E-4</v>
      </c>
      <c r="AB421" s="22">
        <f ca="1">AA421*AB$685</f>
        <v>1346.3800317571377</v>
      </c>
      <c r="AC421" s="2">
        <v>505503.49861833866</v>
      </c>
      <c r="AD421" s="21">
        <f ca="1">AC421/AC$655</f>
        <v>4.4869795163202811E-3</v>
      </c>
      <c r="AE421" s="22">
        <f ca="1">AD421*AE$685</f>
        <v>14077.828998360945</v>
      </c>
      <c r="AF421" s="2">
        <v>1119605.6406767955</v>
      </c>
      <c r="AG421" s="21">
        <f ca="1">AF421/AF$655</f>
        <v>9.2951512691834097E-3</v>
      </c>
      <c r="AH421" s="22">
        <f ca="1">AG421*AH$685</f>
        <v>29688.334841115153</v>
      </c>
      <c r="AI421" s="2">
        <v>512553.35795146087</v>
      </c>
      <c r="AJ421" s="21">
        <f ca="1">AI421/AI$655</f>
        <v>2.7681316558056564E-3</v>
      </c>
      <c r="AK421" s="22">
        <f ca="1">AJ421*AK$685</f>
        <v>9000.4432224230295</v>
      </c>
      <c r="AL421" s="2">
        <v>5212288.335696334</v>
      </c>
    </row>
    <row r="422" spans="1:38" ht="12.75" x14ac:dyDescent="0.2">
      <c r="A422" s="8" t="s">
        <v>16</v>
      </c>
      <c r="B422" s="8" t="s">
        <v>17</v>
      </c>
      <c r="C422" s="8" t="s">
        <v>18</v>
      </c>
      <c r="D422" s="8" t="s">
        <v>130</v>
      </c>
      <c r="E422" s="8" t="s">
        <v>140</v>
      </c>
      <c r="F422" s="8" t="s">
        <v>27</v>
      </c>
      <c r="G422" s="8" t="s">
        <v>782</v>
      </c>
      <c r="H422" s="20">
        <v>1056927.766576238</v>
      </c>
      <c r="I422" s="21">
        <f>H422/H$657</f>
        <v>2.0722755523585351E-2</v>
      </c>
      <c r="J422" s="22">
        <f>I422*J$687</f>
        <v>214956.74931379591</v>
      </c>
      <c r="K422" s="2">
        <v>0</v>
      </c>
      <c r="L422" s="21">
        <f ca="1">K422/K$657</f>
        <v>0</v>
      </c>
      <c r="M422" s="22">
        <f ca="1">L422*M$687</f>
        <v>0</v>
      </c>
      <c r="N422" s="2">
        <v>172798.00981678095</v>
      </c>
      <c r="O422" s="21">
        <f ca="1">N422/N$657</f>
        <v>3.124209646355239E-3</v>
      </c>
      <c r="P422" s="22">
        <f ca="1">O422*P$687</f>
        <v>50346.386233569923</v>
      </c>
      <c r="Q422" s="2">
        <v>0</v>
      </c>
      <c r="R422" s="21">
        <f ca="1">Q422/Q$657</f>
        <v>0</v>
      </c>
      <c r="S422" s="22">
        <f ca="1">R422*S$687</f>
        <v>0</v>
      </c>
      <c r="T422" s="2">
        <v>0</v>
      </c>
      <c r="U422" s="21">
        <f ca="1">T422/T$657</f>
        <v>0</v>
      </c>
      <c r="V422" s="22">
        <f ca="1">U422*V$687</f>
        <v>0</v>
      </c>
      <c r="W422" s="2">
        <v>0</v>
      </c>
      <c r="X422" s="21">
        <f ca="1">W422/W$657</f>
        <v>0</v>
      </c>
      <c r="Y422" s="22">
        <f ca="1">X422*Y$687</f>
        <v>0</v>
      </c>
      <c r="Z422" s="2">
        <v>0</v>
      </c>
      <c r="AA422" s="21">
        <f ca="1">Z422/Z$657</f>
        <v>0</v>
      </c>
      <c r="AB422" s="22">
        <f ca="1">AA422*AB$687</f>
        <v>0</v>
      </c>
      <c r="AC422" s="2">
        <v>0</v>
      </c>
      <c r="AD422" s="21">
        <f ca="1">AC422/AC$657</f>
        <v>0</v>
      </c>
      <c r="AE422" s="22">
        <f ca="1">AD422*AE$687</f>
        <v>0</v>
      </c>
      <c r="AF422" s="2">
        <v>326980.08829702792</v>
      </c>
      <c r="AG422" s="21">
        <f ca="1">AF422/AF$657</f>
        <v>6.5425467341512335E-3</v>
      </c>
      <c r="AH422" s="22">
        <f ca="1">AG422*AH$687</f>
        <v>118616.81417376829</v>
      </c>
      <c r="AI422" s="2">
        <v>0</v>
      </c>
      <c r="AJ422" s="21">
        <f ca="1">AI422/AI$657</f>
        <v>0</v>
      </c>
      <c r="AK422" s="22">
        <f ca="1">AJ422*AK$687</f>
        <v>0</v>
      </c>
      <c r="AL422" s="2">
        <v>1556705.8646900468</v>
      </c>
    </row>
    <row r="423" spans="1:38" ht="12.75" x14ac:dyDescent="0.2">
      <c r="A423" s="8" t="s">
        <v>16</v>
      </c>
      <c r="B423" s="8" t="s">
        <v>17</v>
      </c>
      <c r="C423" s="8" t="s">
        <v>18</v>
      </c>
      <c r="D423" s="8" t="s">
        <v>130</v>
      </c>
      <c r="E423" s="8" t="s">
        <v>140</v>
      </c>
      <c r="F423" s="8" t="s">
        <v>28</v>
      </c>
      <c r="G423" s="8" t="s">
        <v>783</v>
      </c>
      <c r="H423" s="20">
        <v>14136.408877957183</v>
      </c>
      <c r="I423" s="21">
        <f>H423/H$669</f>
        <v>1.6638057543773856E-3</v>
      </c>
      <c r="J423" s="22">
        <f>I423*J$699</f>
        <v>18543.058563140316</v>
      </c>
      <c r="K423" s="2">
        <v>0</v>
      </c>
      <c r="L423" s="21">
        <f ca="1">K423/K$669</f>
        <v>0</v>
      </c>
      <c r="M423" s="22">
        <f ca="1">L423*M$699</f>
        <v>0</v>
      </c>
      <c r="N423" s="2">
        <v>0</v>
      </c>
      <c r="O423" s="21">
        <f ca="1">N423/N$669</f>
        <v>0</v>
      </c>
      <c r="P423" s="22">
        <f ca="1">O423*P$699</f>
        <v>0</v>
      </c>
      <c r="Q423" s="2">
        <v>84246.048928595046</v>
      </c>
      <c r="R423" s="21">
        <f ca="1">Q423/Q$669</f>
        <v>2.2286852883849741E-3</v>
      </c>
      <c r="S423" s="22">
        <f ca="1">R423*S$699</f>
        <v>11087.271997087961</v>
      </c>
      <c r="T423" s="2">
        <v>75316.143364325209</v>
      </c>
      <c r="U423" s="21">
        <f ca="1">T423/T$669</f>
        <v>2.6383005531523296E-3</v>
      </c>
      <c r="V423" s="22">
        <f ca="1">U423*V$699</f>
        <v>13400.653145090611</v>
      </c>
      <c r="W423" s="2">
        <v>0</v>
      </c>
      <c r="X423" s="21">
        <f ca="1">W423/W$669</f>
        <v>0</v>
      </c>
      <c r="Y423" s="22">
        <f ca="1">X423*Y$699</f>
        <v>0</v>
      </c>
      <c r="Z423" s="2">
        <v>0</v>
      </c>
      <c r="AA423" s="21">
        <f ca="1">Z423/Z$669</f>
        <v>0</v>
      </c>
      <c r="AB423" s="22">
        <f ca="1">AA423*AB$699</f>
        <v>0</v>
      </c>
      <c r="AC423" s="2">
        <v>48055.177199549566</v>
      </c>
      <c r="AD423" s="21">
        <f ca="1">AC423/AC$669</f>
        <v>1.523786673508573E-3</v>
      </c>
      <c r="AE423" s="22">
        <f ca="1">AD423*AE$699</f>
        <v>8189.3230312735532</v>
      </c>
      <c r="AF423" s="2">
        <v>30343.752193964188</v>
      </c>
      <c r="AG423" s="21">
        <f ca="1">AF423/AF$669</f>
        <v>7.5596098346315658E-4</v>
      </c>
      <c r="AH423" s="22">
        <f ca="1">AG423*AH$699</f>
        <v>4135.9091530811702</v>
      </c>
      <c r="AI423" s="2">
        <v>143696.64491053522</v>
      </c>
      <c r="AJ423" s="21">
        <f ca="1">AI423/AI$669</f>
        <v>3.2846458694200976E-3</v>
      </c>
      <c r="AK423" s="22">
        <f ca="1">AJ423*AK$699</f>
        <v>18293.969084747328</v>
      </c>
      <c r="AL423" s="2">
        <v>395794.17547492648</v>
      </c>
    </row>
    <row r="424" spans="1:38" ht="12.75" x14ac:dyDescent="0.2">
      <c r="A424" s="8" t="s">
        <v>16</v>
      </c>
      <c r="B424" s="8" t="s">
        <v>17</v>
      </c>
      <c r="C424" s="8" t="s">
        <v>18</v>
      </c>
      <c r="D424" s="8" t="s">
        <v>141</v>
      </c>
      <c r="E424" s="8" t="s">
        <v>142</v>
      </c>
      <c r="F424" s="8" t="s">
        <v>22</v>
      </c>
      <c r="G424" s="8" t="s">
        <v>784</v>
      </c>
      <c r="H424" s="20">
        <f>86000000/4</f>
        <v>21500000</v>
      </c>
      <c r="I424" s="21">
        <f>H424/H$650</f>
        <v>0.4300823155175027</v>
      </c>
      <c r="J424" s="22">
        <f>I424*J$680</f>
        <v>7373578.0844811732</v>
      </c>
      <c r="K424" s="2">
        <f>86000000/4</f>
        <v>21500000</v>
      </c>
      <c r="L424" s="21">
        <f ca="1">K424/K$650</f>
        <v>0.50612246378233205</v>
      </c>
      <c r="M424" s="22">
        <f ca="1">L424*M$680</f>
        <v>5590811.9512715293</v>
      </c>
      <c r="N424" s="2">
        <f>86000000/4</f>
        <v>21500000</v>
      </c>
      <c r="O424" s="21">
        <f ca="1">N424/N$650</f>
        <v>0.27134184953628848</v>
      </c>
      <c r="P424" s="22">
        <f ca="1">O424*P$680</f>
        <v>3075271.1428736029</v>
      </c>
      <c r="Q424" s="2">
        <f>86000000/4</f>
        <v>21500000</v>
      </c>
      <c r="R424" s="21">
        <f ca="1">Q424/Q$650</f>
        <v>0.34146484960476226</v>
      </c>
      <c r="S424" s="22">
        <f ca="1">R424*S$680</f>
        <v>3959025.2334905001</v>
      </c>
      <c r="T424" s="2">
        <v>0</v>
      </c>
      <c r="U424" s="21">
        <f ca="1">T424/T$650</f>
        <v>0</v>
      </c>
      <c r="V424" s="22">
        <f ca="1">U424*V$680</f>
        <v>0</v>
      </c>
      <c r="W424" s="2">
        <v>0</v>
      </c>
      <c r="X424" s="21">
        <f ca="1">W424/W$650</f>
        <v>0</v>
      </c>
      <c r="Y424" s="22">
        <f ca="1">X424*Y$680</f>
        <v>0</v>
      </c>
      <c r="Z424" s="2">
        <v>0</v>
      </c>
      <c r="AA424" s="21">
        <f ca="1">Z424/Z$650</f>
        <v>0</v>
      </c>
      <c r="AB424" s="22">
        <f ca="1">AA424*AB$680</f>
        <v>0</v>
      </c>
      <c r="AC424" s="2">
        <v>0</v>
      </c>
      <c r="AD424" s="21">
        <f ca="1">AC424/AC$650</f>
        <v>0</v>
      </c>
      <c r="AE424" s="22">
        <f ca="1">AD424*AE$680</f>
        <v>0</v>
      </c>
      <c r="AF424" s="2">
        <v>0</v>
      </c>
      <c r="AG424" s="21">
        <f ca="1">AF424/AF$650</f>
        <v>0</v>
      </c>
      <c r="AH424" s="22">
        <f ca="1">AG424*AH$680</f>
        <v>0</v>
      </c>
      <c r="AI424" s="2">
        <v>0</v>
      </c>
      <c r="AJ424" s="21">
        <f ca="1">AI424/AI$650</f>
        <v>0</v>
      </c>
      <c r="AK424" s="22">
        <f ca="1">AJ424*AK$680</f>
        <v>0</v>
      </c>
      <c r="AL424" s="2">
        <v>86000000</v>
      </c>
    </row>
    <row r="425" spans="1:38" ht="12.75" x14ac:dyDescent="0.2">
      <c r="A425" s="8" t="s">
        <v>16</v>
      </c>
      <c r="B425" s="8" t="s">
        <v>17</v>
      </c>
      <c r="C425" s="8" t="s">
        <v>18</v>
      </c>
      <c r="D425" s="8" t="s">
        <v>130</v>
      </c>
      <c r="E425" s="8" t="s">
        <v>143</v>
      </c>
      <c r="F425" s="8" t="s">
        <v>24</v>
      </c>
      <c r="G425" s="8" t="s">
        <v>785</v>
      </c>
      <c r="H425" s="20">
        <v>41352.298867295314</v>
      </c>
      <c r="I425" s="21">
        <f>H425/H$646</f>
        <v>5.0362626376452885E-4</v>
      </c>
      <c r="J425" s="22">
        <f>I425*J$676</f>
        <v>1083.6224141663108</v>
      </c>
      <c r="K425" s="2">
        <v>0</v>
      </c>
      <c r="L425" s="21">
        <f ca="1">K425/K$646</f>
        <v>0</v>
      </c>
      <c r="M425" s="22">
        <f ca="1">L425*M$676</f>
        <v>0</v>
      </c>
      <c r="N425" s="2">
        <v>0</v>
      </c>
      <c r="O425" s="21">
        <f ca="1">N425/N$646</f>
        <v>0</v>
      </c>
      <c r="P425" s="22">
        <f ca="1">O425*P$676</f>
        <v>0</v>
      </c>
      <c r="Q425" s="2">
        <v>0</v>
      </c>
      <c r="R425" s="21">
        <f ca="1">Q425/Q$646</f>
        <v>0</v>
      </c>
      <c r="S425" s="22">
        <f ca="1">R425*S$676</f>
        <v>0</v>
      </c>
      <c r="T425" s="2">
        <v>0</v>
      </c>
      <c r="U425" s="21">
        <f ca="1">T425/T$646</f>
        <v>0</v>
      </c>
      <c r="V425" s="22">
        <f ca="1">U425*V$676</f>
        <v>0</v>
      </c>
      <c r="W425" s="2">
        <v>62521.032325127795</v>
      </c>
      <c r="X425" s="21">
        <f ca="1">W425/W$646</f>
        <v>7.1528753815458697E-4</v>
      </c>
      <c r="Y425" s="22">
        <f ca="1">X425*Y$676</f>
        <v>12946.507314505385</v>
      </c>
      <c r="Z425" s="2">
        <v>0</v>
      </c>
      <c r="AA425" s="21">
        <f ca="1">Z425/Z$646</f>
        <v>0</v>
      </c>
      <c r="AB425" s="22">
        <f ca="1">AA425*AB$676</f>
        <v>0</v>
      </c>
      <c r="AC425" s="2">
        <v>167665.04132809874</v>
      </c>
      <c r="AD425" s="21">
        <f ca="1">AC425/AC$646</f>
        <v>1.6114540909559711E-3</v>
      </c>
      <c r="AE425" s="22">
        <f ca="1">AD425*AE$676</f>
        <v>30256.024391634604</v>
      </c>
      <c r="AF425" s="2">
        <v>0</v>
      </c>
      <c r="AG425" s="21">
        <f ca="1">AF425/AF$646</f>
        <v>0</v>
      </c>
      <c r="AH425" s="22">
        <f ca="1">AG425*AH$676</f>
        <v>0</v>
      </c>
      <c r="AI425" s="2">
        <v>216899.15399457287</v>
      </c>
      <c r="AJ425" s="21">
        <f ca="1">AI425/AI$646</f>
        <v>1.755574302054097E-3</v>
      </c>
      <c r="AK425" s="22">
        <f ca="1">AJ425*AK$676</f>
        <v>34159.27898937901</v>
      </c>
      <c r="AL425" s="2">
        <v>488437.52651509474</v>
      </c>
    </row>
    <row r="426" spans="1:38" ht="12.75" x14ac:dyDescent="0.2">
      <c r="A426" s="8" t="s">
        <v>16</v>
      </c>
      <c r="B426" s="8" t="s">
        <v>17</v>
      </c>
      <c r="C426" s="8" t="s">
        <v>18</v>
      </c>
      <c r="D426" s="8" t="s">
        <v>130</v>
      </c>
      <c r="E426" s="8" t="s">
        <v>143</v>
      </c>
      <c r="F426" s="8" t="s">
        <v>27</v>
      </c>
      <c r="G426" s="8" t="s">
        <v>786</v>
      </c>
      <c r="H426" s="20">
        <v>27744.353872626249</v>
      </c>
      <c r="I426" s="21">
        <f>H426/H$657</f>
        <v>5.4397233249411556E-4</v>
      </c>
      <c r="J426" s="22">
        <f>I426*J$687</f>
        <v>5642.6146694871431</v>
      </c>
      <c r="K426" s="2">
        <v>0</v>
      </c>
      <c r="L426" s="21">
        <f ca="1">K426/K$657</f>
        <v>0</v>
      </c>
      <c r="M426" s="22">
        <f ca="1">L426*M$687</f>
        <v>0</v>
      </c>
      <c r="N426" s="2">
        <v>0</v>
      </c>
      <c r="O426" s="21">
        <f ca="1">N426/N$657</f>
        <v>0</v>
      </c>
      <c r="P426" s="22">
        <f ca="1">O426*P$687</f>
        <v>0</v>
      </c>
      <c r="Q426" s="2">
        <v>0</v>
      </c>
      <c r="R426" s="21">
        <f ca="1">Q426/Q$657</f>
        <v>0</v>
      </c>
      <c r="S426" s="22">
        <f ca="1">R426*S$687</f>
        <v>0</v>
      </c>
      <c r="T426" s="2">
        <v>236321.29372027281</v>
      </c>
      <c r="U426" s="21">
        <f ca="1">T426/T$657</f>
        <v>6.1087717142534782E-3</v>
      </c>
      <c r="V426" s="22">
        <f ca="1">U426*V$687</f>
        <v>102821.37468534891</v>
      </c>
      <c r="W426" s="2">
        <v>430639.79957921908</v>
      </c>
      <c r="X426" s="21">
        <f ca="1">W426/W$657</f>
        <v>1.0989564377775707E-2</v>
      </c>
      <c r="Y426" s="22">
        <f ca="1">X426*Y$687</f>
        <v>188673.17563173958</v>
      </c>
      <c r="Z426" s="2">
        <v>499082.24087939522</v>
      </c>
      <c r="AA426" s="21">
        <f ca="1">Z426/Z$657</f>
        <v>1.028934515212172E-2</v>
      </c>
      <c r="AB426" s="22">
        <f ca="1">AA426*AB$687</f>
        <v>179831.26344288699</v>
      </c>
      <c r="AC426" s="2">
        <v>318167.51937064406</v>
      </c>
      <c r="AD426" s="21">
        <f ca="1">AC426/AC$657</f>
        <v>5.7925379201473181E-3</v>
      </c>
      <c r="AE426" s="22">
        <f ca="1">AD426*AE$687</f>
        <v>103162.18439423475</v>
      </c>
      <c r="AF426" s="2">
        <v>192264.29191865239</v>
      </c>
      <c r="AG426" s="21">
        <f ca="1">AF426/AF$657</f>
        <v>3.8470174796809251E-3</v>
      </c>
      <c r="AH426" s="22">
        <f ca="1">AG426*AH$687</f>
        <v>69746.686734175746</v>
      </c>
      <c r="AI426" s="2">
        <v>0</v>
      </c>
      <c r="AJ426" s="21">
        <f ca="1">AI426/AI$657</f>
        <v>0</v>
      </c>
      <c r="AK426" s="22">
        <f ca="1">AJ426*AK$687</f>
        <v>0</v>
      </c>
      <c r="AL426" s="2">
        <v>1704219.4993408099</v>
      </c>
    </row>
    <row r="427" spans="1:38" ht="12.75" x14ac:dyDescent="0.2">
      <c r="A427" s="8" t="s">
        <v>16</v>
      </c>
      <c r="B427" s="8" t="s">
        <v>17</v>
      </c>
      <c r="C427" s="8" t="s">
        <v>18</v>
      </c>
      <c r="D427" s="8" t="s">
        <v>130</v>
      </c>
      <c r="E427" s="8" t="s">
        <v>143</v>
      </c>
      <c r="F427" s="8" t="s">
        <v>24</v>
      </c>
      <c r="G427" s="8" t="s">
        <v>787</v>
      </c>
      <c r="H427" s="20">
        <v>31694.621400204938</v>
      </c>
      <c r="I427" s="21">
        <f>H427/H$646</f>
        <v>3.8600620024635936E-4</v>
      </c>
      <c r="J427" s="22">
        <f>I427*J$676</f>
        <v>830.54638069807663</v>
      </c>
      <c r="K427" s="2">
        <v>24068.742731294169</v>
      </c>
      <c r="L427" s="21">
        <f ca="1">K427/K$646</f>
        <v>3.8109818889465482E-4</v>
      </c>
      <c r="M427" s="22">
        <f ca="1">L427*M$676</f>
        <v>1481.7148270283301</v>
      </c>
      <c r="N427" s="2">
        <v>0</v>
      </c>
      <c r="O427" s="21">
        <f ca="1">N427/N$646</f>
        <v>0</v>
      </c>
      <c r="P427" s="22">
        <f ca="1">O427*P$676</f>
        <v>0</v>
      </c>
      <c r="Q427" s="2">
        <v>39358.902135335789</v>
      </c>
      <c r="R427" s="21">
        <f ca="1">Q427/Q$646</f>
        <v>3.5387519806756107E-4</v>
      </c>
      <c r="S427" s="22">
        <f ca="1">R427*S$676</f>
        <v>6150.2982079321955</v>
      </c>
      <c r="T427" s="2">
        <v>0</v>
      </c>
      <c r="U427" s="21">
        <f ca="1">T427/T$646</f>
        <v>0</v>
      </c>
      <c r="V427" s="22">
        <f ca="1">U427*V$676</f>
        <v>0</v>
      </c>
      <c r="W427" s="2">
        <v>63521.902639831016</v>
      </c>
      <c r="X427" s="21">
        <f ca="1">W427/W$646</f>
        <v>7.2673824580914289E-4</v>
      </c>
      <c r="Y427" s="22">
        <f ca="1">X427*Y$676</f>
        <v>13153.761967352324</v>
      </c>
      <c r="Z427" s="2">
        <v>0</v>
      </c>
      <c r="AA427" s="21">
        <f ca="1">Z427/Z$646</f>
        <v>0</v>
      </c>
      <c r="AB427" s="22">
        <f ca="1">AA427*AB$676</f>
        <v>0</v>
      </c>
      <c r="AC427" s="2">
        <v>0</v>
      </c>
      <c r="AD427" s="21">
        <f ca="1">AC427/AC$646</f>
        <v>0</v>
      </c>
      <c r="AE427" s="22">
        <f ca="1">AD427*AE$676</f>
        <v>0</v>
      </c>
      <c r="AF427" s="2">
        <v>51532.061915611601</v>
      </c>
      <c r="AG427" s="21">
        <f ca="1">AF427/AF$646</f>
        <v>5.4743461228456459E-4</v>
      </c>
      <c r="AH427" s="22">
        <f ca="1">AG427*AH$676</f>
        <v>10463.427154637746</v>
      </c>
      <c r="AI427" s="2">
        <v>137834.24809797975</v>
      </c>
      <c r="AJ427" s="21">
        <f ca="1">AI427/AI$646</f>
        <v>1.1156256695672344E-3</v>
      </c>
      <c r="AK427" s="22">
        <f ca="1">AJ427*AK$676</f>
        <v>21707.408481583945</v>
      </c>
      <c r="AL427" s="2">
        <v>348010.47892025724</v>
      </c>
    </row>
    <row r="428" spans="1:38" ht="12.75" x14ac:dyDescent="0.2">
      <c r="A428" s="8" t="s">
        <v>16</v>
      </c>
      <c r="B428" s="8" t="s">
        <v>17</v>
      </c>
      <c r="C428" s="8" t="s">
        <v>18</v>
      </c>
      <c r="D428" s="8" t="s">
        <v>130</v>
      </c>
      <c r="E428" s="8" t="s">
        <v>143</v>
      </c>
      <c r="F428" s="8" t="s">
        <v>27</v>
      </c>
      <c r="G428" s="8" t="s">
        <v>788</v>
      </c>
      <c r="H428" s="20">
        <v>3819158.7428602218</v>
      </c>
      <c r="I428" s="21">
        <f t="shared" ref="I428:I429" si="920">H428/H$657</f>
        <v>7.4880701819793852E-2</v>
      </c>
      <c r="J428" s="22">
        <f t="shared" ref="J428:J429" si="921">I428*J$687</f>
        <v>776736.09724338702</v>
      </c>
      <c r="K428" s="2">
        <v>1617434.2824974114</v>
      </c>
      <c r="L428" s="21">
        <f t="shared" ref="L428:L429" ca="1" si="922">K428/K$657</f>
        <v>4.1410737636695089E-2</v>
      </c>
      <c r="M428" s="22">
        <f t="shared" ref="M428:M429" ca="1" si="923">L428*M$687</f>
        <v>650419.77981689561</v>
      </c>
      <c r="N428" s="2">
        <v>7181855.3415695168</v>
      </c>
      <c r="O428" s="21">
        <f t="shared" ref="O428:O429" ca="1" si="924">N428/N$657</f>
        <v>0.12984884351764334</v>
      </c>
      <c r="P428" s="22">
        <f t="shared" ref="P428:P429" ca="1" si="925">O428*P$687</f>
        <v>2092503.6305896852</v>
      </c>
      <c r="Q428" s="2">
        <v>3890989.177717566</v>
      </c>
      <c r="R428" s="21">
        <f t="shared" ref="R428:R429" ca="1" si="926">Q428/Q$657</f>
        <v>7.0448579074051013E-2</v>
      </c>
      <c r="S428" s="22">
        <f t="shared" ref="S428:S429" ca="1" si="927">R428*S$687</f>
        <v>1161384.4477255738</v>
      </c>
      <c r="T428" s="2">
        <v>3163012.3260977021</v>
      </c>
      <c r="U428" s="21">
        <f t="shared" ref="U428:U429" ca="1" si="928">T428/T$657</f>
        <v>8.176207875864043E-2</v>
      </c>
      <c r="V428" s="22">
        <f t="shared" ref="V428:V429" ca="1" si="929">U428*V$687</f>
        <v>1376199.623809733</v>
      </c>
      <c r="W428" s="2">
        <v>2071441.8653344356</v>
      </c>
      <c r="X428" s="21">
        <f t="shared" ref="X428:X429" ca="1" si="930">W428/W$657</f>
        <v>5.286144883997175E-2</v>
      </c>
      <c r="Y428" s="22">
        <f t="shared" ref="Y428:Y429" ca="1" si="931">X428*Y$687</f>
        <v>907546.20276867202</v>
      </c>
      <c r="Z428" s="2">
        <v>3778186.1178646814</v>
      </c>
      <c r="AA428" s="21">
        <f t="shared" ref="AA428:AA429" ca="1" si="932">Z428/Z$657</f>
        <v>7.789309623032413E-2</v>
      </c>
      <c r="AB428" s="22">
        <f t="shared" ref="AB428:AB429" ca="1" si="933">AA428*AB$687</f>
        <v>1361370.7871087519</v>
      </c>
      <c r="AC428" s="2">
        <v>3893309.0117693022</v>
      </c>
      <c r="AD428" s="21">
        <f t="shared" ref="AD428:AD429" ca="1" si="934">AC428/AC$657</f>
        <v>7.0881339899605572E-2</v>
      </c>
      <c r="AE428" s="22">
        <f t="shared" ref="AE428:AE429" ca="1" si="935">AD428*AE$687</f>
        <v>1262360.98194547</v>
      </c>
      <c r="AF428" s="2">
        <v>3375848.50391916</v>
      </c>
      <c r="AG428" s="21">
        <f t="shared" ref="AG428:AG429" ca="1" si="936">AF428/AF$657</f>
        <v>6.75473748855379E-2</v>
      </c>
      <c r="AH428" s="22">
        <f t="shared" ref="AH428:AH429" ca="1" si="937">AG428*AH$687</f>
        <v>1224638.4688245018</v>
      </c>
      <c r="AI428" s="2">
        <v>1154050.2934999918</v>
      </c>
      <c r="AJ428" s="21">
        <f t="shared" ref="AJ428:AJ429" ca="1" si="938">AI428/AI$657</f>
        <v>2.0796194936431579E-2</v>
      </c>
      <c r="AK428" s="22">
        <f t="shared" ref="AK428:AK429" ca="1" si="939">AJ428*AK$687</f>
        <v>383823.07419146149</v>
      </c>
      <c r="AL428" s="2">
        <v>33945285.663129993</v>
      </c>
    </row>
    <row r="429" spans="1:38" ht="12.75" x14ac:dyDescent="0.2">
      <c r="A429" s="8" t="s">
        <v>16</v>
      </c>
      <c r="B429" s="8" t="s">
        <v>17</v>
      </c>
      <c r="C429" s="8" t="s">
        <v>18</v>
      </c>
      <c r="D429" s="8" t="s">
        <v>130</v>
      </c>
      <c r="E429" s="8" t="s">
        <v>143</v>
      </c>
      <c r="F429" s="8" t="s">
        <v>27</v>
      </c>
      <c r="G429" s="8" t="s">
        <v>789</v>
      </c>
      <c r="H429" s="20">
        <v>0</v>
      </c>
      <c r="I429" s="21">
        <f t="shared" si="920"/>
        <v>0</v>
      </c>
      <c r="J429" s="22">
        <f t="shared" si="921"/>
        <v>0</v>
      </c>
      <c r="K429" s="2">
        <v>0</v>
      </c>
      <c r="L429" s="21">
        <f t="shared" ca="1" si="922"/>
        <v>0</v>
      </c>
      <c r="M429" s="22">
        <f t="shared" ca="1" si="923"/>
        <v>0</v>
      </c>
      <c r="N429" s="2">
        <v>0</v>
      </c>
      <c r="O429" s="21">
        <f t="shared" ca="1" si="924"/>
        <v>0</v>
      </c>
      <c r="P429" s="22">
        <f t="shared" ca="1" si="925"/>
        <v>0</v>
      </c>
      <c r="Q429" s="2">
        <v>0</v>
      </c>
      <c r="R429" s="21">
        <f t="shared" ca="1" si="926"/>
        <v>0</v>
      </c>
      <c r="S429" s="22">
        <f t="shared" ca="1" si="927"/>
        <v>0</v>
      </c>
      <c r="T429" s="2">
        <v>0</v>
      </c>
      <c r="U429" s="21">
        <f t="shared" ca="1" si="928"/>
        <v>0</v>
      </c>
      <c r="V429" s="22">
        <f t="shared" ca="1" si="929"/>
        <v>0</v>
      </c>
      <c r="W429" s="2">
        <v>0</v>
      </c>
      <c r="X429" s="21">
        <f t="shared" ca="1" si="930"/>
        <v>0</v>
      </c>
      <c r="Y429" s="22">
        <f t="shared" ca="1" si="931"/>
        <v>0</v>
      </c>
      <c r="Z429" s="2">
        <v>0</v>
      </c>
      <c r="AA429" s="21">
        <f t="shared" ca="1" si="932"/>
        <v>0</v>
      </c>
      <c r="AB429" s="22">
        <f t="shared" ca="1" si="933"/>
        <v>0</v>
      </c>
      <c r="AC429" s="2">
        <v>0</v>
      </c>
      <c r="AD429" s="21">
        <f t="shared" ca="1" si="934"/>
        <v>0</v>
      </c>
      <c r="AE429" s="22">
        <f t="shared" ca="1" si="935"/>
        <v>0</v>
      </c>
      <c r="AF429" s="2">
        <v>0</v>
      </c>
      <c r="AG429" s="21">
        <f t="shared" ca="1" si="936"/>
        <v>0</v>
      </c>
      <c r="AH429" s="22">
        <f t="shared" ca="1" si="937"/>
        <v>0</v>
      </c>
      <c r="AI429" s="2">
        <v>0</v>
      </c>
      <c r="AJ429" s="21">
        <f t="shared" ca="1" si="938"/>
        <v>0</v>
      </c>
      <c r="AK429" s="22">
        <f t="shared" ca="1" si="939"/>
        <v>0</v>
      </c>
      <c r="AL429" s="2">
        <v>0</v>
      </c>
    </row>
    <row r="430" spans="1:38" ht="12.75" x14ac:dyDescent="0.2">
      <c r="A430" s="8" t="s">
        <v>16</v>
      </c>
      <c r="B430" s="8" t="s">
        <v>17</v>
      </c>
      <c r="C430" s="8" t="s">
        <v>18</v>
      </c>
      <c r="D430" s="8" t="s">
        <v>130</v>
      </c>
      <c r="E430" s="8" t="s">
        <v>143</v>
      </c>
      <c r="F430" s="8" t="s">
        <v>28</v>
      </c>
      <c r="G430" s="8" t="s">
        <v>790</v>
      </c>
      <c r="H430" s="20">
        <v>0</v>
      </c>
      <c r="I430" s="21">
        <f>H430/H$669</f>
        <v>0</v>
      </c>
      <c r="J430" s="22">
        <f>I430*J$699</f>
        <v>0</v>
      </c>
      <c r="K430" s="2">
        <v>0</v>
      </c>
      <c r="L430" s="21">
        <f ca="1">K430/K$669</f>
        <v>0</v>
      </c>
      <c r="M430" s="22">
        <f ca="1">L430*M$699</f>
        <v>0</v>
      </c>
      <c r="N430" s="2">
        <v>0</v>
      </c>
      <c r="O430" s="21">
        <f ca="1">N430/N$669</f>
        <v>0</v>
      </c>
      <c r="P430" s="22">
        <f ca="1">O430*P$699</f>
        <v>0</v>
      </c>
      <c r="Q430" s="2">
        <v>0</v>
      </c>
      <c r="R430" s="21">
        <f ca="1">Q430/Q$669</f>
        <v>0</v>
      </c>
      <c r="S430" s="22">
        <f ca="1">R430*S$699</f>
        <v>0</v>
      </c>
      <c r="T430" s="2">
        <v>0</v>
      </c>
      <c r="U430" s="21">
        <f ca="1">T430/T$669</f>
        <v>0</v>
      </c>
      <c r="V430" s="22">
        <f ca="1">U430*V$699</f>
        <v>0</v>
      </c>
      <c r="W430" s="2">
        <v>0</v>
      </c>
      <c r="X430" s="21">
        <f ca="1">W430/W$669</f>
        <v>0</v>
      </c>
      <c r="Y430" s="22">
        <f ca="1">X430*Y$699</f>
        <v>0</v>
      </c>
      <c r="Z430" s="2">
        <v>0</v>
      </c>
      <c r="AA430" s="21">
        <f ca="1">Z430/Z$669</f>
        <v>0</v>
      </c>
      <c r="AB430" s="22">
        <f ca="1">AA430*AB$699</f>
        <v>0</v>
      </c>
      <c r="AC430" s="2">
        <v>0</v>
      </c>
      <c r="AD430" s="21">
        <f ca="1">AC430/AC$669</f>
        <v>0</v>
      </c>
      <c r="AE430" s="22">
        <f ca="1">AD430*AE$699</f>
        <v>0</v>
      </c>
      <c r="AF430" s="2">
        <v>0</v>
      </c>
      <c r="AG430" s="21">
        <f ca="1">AF430/AF$669</f>
        <v>0</v>
      </c>
      <c r="AH430" s="22">
        <f ca="1">AG430*AH$699</f>
        <v>0</v>
      </c>
      <c r="AI430" s="2">
        <v>0</v>
      </c>
      <c r="AJ430" s="21">
        <f ca="1">AI430/AI$669</f>
        <v>0</v>
      </c>
      <c r="AK430" s="22">
        <f ca="1">AJ430*AK$699</f>
        <v>0</v>
      </c>
      <c r="AL430" s="2">
        <v>0</v>
      </c>
    </row>
    <row r="431" spans="1:38" ht="12.75" x14ac:dyDescent="0.2">
      <c r="A431" s="8" t="s">
        <v>16</v>
      </c>
      <c r="B431" s="8" t="s">
        <v>17</v>
      </c>
      <c r="C431" s="8" t="s">
        <v>18</v>
      </c>
      <c r="D431" s="8" t="s">
        <v>141</v>
      </c>
      <c r="E431" s="8" t="s">
        <v>144</v>
      </c>
      <c r="F431" s="8" t="s">
        <v>24</v>
      </c>
      <c r="G431" s="8" t="s">
        <v>791</v>
      </c>
      <c r="H431" s="20">
        <v>2906126.1824673554</v>
      </c>
      <c r="I431" s="21">
        <f>H431/H$646</f>
        <v>3.539347294817121E-2</v>
      </c>
      <c r="J431" s="22">
        <f>I431*J$676</f>
        <v>76154.012134203105</v>
      </c>
      <c r="K431" s="2">
        <v>-697335.9020259988</v>
      </c>
      <c r="L431" s="21">
        <f ca="1">K431/K$646</f>
        <v>-1.1041434622498835E-2</v>
      </c>
      <c r="M431" s="22">
        <f ca="1">L431*M$676</f>
        <v>-42929.244663355945</v>
      </c>
      <c r="N431" s="2">
        <v>5431.5332582616729</v>
      </c>
      <c r="O431" s="21">
        <f ca="1">N431/N$646</f>
        <v>5.7942653139652722E-5</v>
      </c>
      <c r="P431" s="22">
        <f ca="1">O431*P$676</f>
        <v>984.39362406025168</v>
      </c>
      <c r="Q431" s="2">
        <v>1867880.1013379695</v>
      </c>
      <c r="R431" s="21">
        <f ca="1">Q431/Q$646</f>
        <v>1.6794077196426626E-2</v>
      </c>
      <c r="S431" s="22">
        <f ca="1">R431*S$676</f>
        <v>291878.55902051093</v>
      </c>
      <c r="T431" s="2">
        <v>3555884.3723843843</v>
      </c>
      <c r="U431" s="21">
        <f ca="1">T431/T$646</f>
        <v>4.238387912724443E-2</v>
      </c>
      <c r="V431" s="22">
        <f ca="1">U431*V$676</f>
        <v>752094.63872816076</v>
      </c>
      <c r="W431" s="2">
        <v>9434070.4039160069</v>
      </c>
      <c r="X431" s="21">
        <f ca="1">W431/W$646</f>
        <v>0.10793284664434462</v>
      </c>
      <c r="Y431" s="22">
        <f ca="1">X431*Y$676</f>
        <v>1953554.779049431</v>
      </c>
      <c r="Z431" s="2">
        <v>9388069.6724353433</v>
      </c>
      <c r="AA431" s="21">
        <f ca="1">Z431/Z$646</f>
        <v>8.0885822640497068E-2</v>
      </c>
      <c r="AB431" s="22">
        <f ca="1">AA431*AB$676</f>
        <v>1490363.2982917291</v>
      </c>
      <c r="AC431" s="2">
        <v>1356215.8909259546</v>
      </c>
      <c r="AD431" s="21">
        <f ca="1">AC431/AC$646</f>
        <v>1.3034796212380531E-2</v>
      </c>
      <c r="AE431" s="22">
        <f ca="1">AD431*AE$676</f>
        <v>244736.17607549153</v>
      </c>
      <c r="AF431" s="2">
        <v>1348465.8841369431</v>
      </c>
      <c r="AG431" s="21">
        <f ca="1">AF431/AF$646</f>
        <v>1.4325002164096092E-2</v>
      </c>
      <c r="AH431" s="22">
        <f ca="1">AG431*AH$676</f>
        <v>273801.86285359174</v>
      </c>
      <c r="AI431" s="2">
        <v>4998245.9494943032</v>
      </c>
      <c r="AJ431" s="21">
        <f ca="1">AI431/AI$646</f>
        <v>4.0455631027946456E-2</v>
      </c>
      <c r="AK431" s="22">
        <f ca="1">AJ431*AK$676</f>
        <v>787169.86535863369</v>
      </c>
      <c r="AL431" s="2">
        <v>34163054.088330522</v>
      </c>
    </row>
    <row r="432" spans="1:38" ht="12.75" x14ac:dyDescent="0.2">
      <c r="A432" s="8" t="s">
        <v>16</v>
      </c>
      <c r="B432" s="8" t="s">
        <v>17</v>
      </c>
      <c r="C432" s="8" t="s">
        <v>18</v>
      </c>
      <c r="D432" s="8" t="s">
        <v>141</v>
      </c>
      <c r="E432" s="8" t="s">
        <v>144</v>
      </c>
      <c r="F432" s="23" t="s">
        <v>22</v>
      </c>
      <c r="G432" s="8" t="s">
        <v>792</v>
      </c>
      <c r="H432" s="20">
        <v>4138179.3889897298</v>
      </c>
      <c r="I432" s="21">
        <f>H432/H$650</f>
        <v>8.2779431332256168E-2</v>
      </c>
      <c r="J432" s="22">
        <f>I432*J$680</f>
        <v>1419218.0861537845</v>
      </c>
      <c r="K432" s="2">
        <v>2747301.1987322145</v>
      </c>
      <c r="L432" s="21">
        <f ca="1">K432/K$650</f>
        <v>6.4673062858348951E-2</v>
      </c>
      <c r="M432" s="22">
        <f ca="1">L432*M$680</f>
        <v>714402.06398207718</v>
      </c>
      <c r="N432" s="2">
        <v>2053305.5820344028</v>
      </c>
      <c r="O432" s="21">
        <f ca="1">N432/N$650</f>
        <v>2.5913848106623262E-2</v>
      </c>
      <c r="P432" s="22">
        <f ca="1">O432*P$680</f>
        <v>293696.3443689156</v>
      </c>
      <c r="Q432" s="2">
        <v>1903223.0612554287</v>
      </c>
      <c r="R432" s="21">
        <f ca="1">Q432/Q$650</f>
        <v>3.0227152389576753E-2</v>
      </c>
      <c r="S432" s="22">
        <f ca="1">R432*S$680</f>
        <v>350460.84299866413</v>
      </c>
      <c r="T432" s="2">
        <v>2056450.1624149971</v>
      </c>
      <c r="U432" s="21">
        <f ca="1">T432/T$650</f>
        <v>7.218132915705365E-2</v>
      </c>
      <c r="V432" s="22">
        <f ca="1">U432*V$680</f>
        <v>854462.25479523011</v>
      </c>
      <c r="W432" s="2">
        <v>3470868.7880904372</v>
      </c>
      <c r="X432" s="21">
        <f ca="1">W432/W$650</f>
        <v>8.7180888845105511E-2</v>
      </c>
      <c r="Y432" s="22">
        <f ca="1">X432*Y$680</f>
        <v>1052663.2762709032</v>
      </c>
      <c r="Z432" s="2">
        <v>3770014.0121639245</v>
      </c>
      <c r="AA432" s="21">
        <f ca="1">Z432/Z$650</f>
        <v>0.11537243760274371</v>
      </c>
      <c r="AB432" s="22">
        <f ca="1">AA432*AB$680</f>
        <v>1418136.4710548958</v>
      </c>
      <c r="AC432" s="2">
        <v>3662094.9459843552</v>
      </c>
      <c r="AD432" s="21">
        <f ca="1">AC432/AC$650</f>
        <v>0.11475484749737394</v>
      </c>
      <c r="AE432" s="22">
        <f ca="1">AD432*AE$680</f>
        <v>1437345.5276316886</v>
      </c>
      <c r="AF432" s="2">
        <v>2371801.0793562662</v>
      </c>
      <c r="AG432" s="21">
        <f ca="1">AF432/AF$650</f>
        <v>6.7272439748719534E-2</v>
      </c>
      <c r="AH432" s="22">
        <f ca="1">AG432*AH$680</f>
        <v>857778.38472568826</v>
      </c>
      <c r="AI432" s="2">
        <v>3174521.8161342475</v>
      </c>
      <c r="AJ432" s="21">
        <f ca="1">AI432/AI$650</f>
        <v>6.6975053164969919E-2</v>
      </c>
      <c r="AK432" s="22">
        <f ca="1">AJ432*AK$680</f>
        <v>869358.21951579652</v>
      </c>
      <c r="AL432" s="2">
        <v>29347760.035156008</v>
      </c>
    </row>
    <row r="433" spans="1:38" ht="12.75" x14ac:dyDescent="0.2">
      <c r="A433" s="8" t="s">
        <v>16</v>
      </c>
      <c r="B433" s="8" t="s">
        <v>17</v>
      </c>
      <c r="C433" s="8" t="s">
        <v>18</v>
      </c>
      <c r="D433" s="8" t="s">
        <v>141</v>
      </c>
      <c r="E433" s="8" t="s">
        <v>144</v>
      </c>
      <c r="F433" s="8" t="s">
        <v>25</v>
      </c>
      <c r="G433" s="8" t="s">
        <v>793</v>
      </c>
      <c r="H433" s="20">
        <v>167373.02010586823</v>
      </c>
      <c r="I433" s="21">
        <f>H433/H$652</f>
        <v>1.1997897596750757E-2</v>
      </c>
      <c r="J433" s="22">
        <f>I433*J$682</f>
        <v>863542.8485479037</v>
      </c>
      <c r="K433" s="2">
        <v>116451.68585582703</v>
      </c>
      <c r="L433" s="21">
        <f ca="1">K433/K$652</f>
        <v>5.18366081129792E-3</v>
      </c>
      <c r="M433" s="22">
        <f ca="1">L433*M$682</f>
        <v>186964.81205895694</v>
      </c>
      <c r="N433" s="2">
        <v>223839.98982297457</v>
      </c>
      <c r="O433" s="21">
        <f ca="1">N433/N$652</f>
        <v>4.4853585415108865E-3</v>
      </c>
      <c r="P433" s="22">
        <f ca="1">O433*P$682</f>
        <v>165984.61159666089</v>
      </c>
      <c r="Q433" s="2">
        <v>14142.520767273198</v>
      </c>
      <c r="R433" s="21">
        <f ca="1">Q433/Q$652</f>
        <v>2.8493309294687602E-4</v>
      </c>
      <c r="S433" s="22">
        <f ca="1">R433*S$682</f>
        <v>10786.714598553112</v>
      </c>
      <c r="T433" s="2">
        <v>0</v>
      </c>
      <c r="U433" s="21">
        <f ca="1">T433/T$652</f>
        <v>0</v>
      </c>
      <c r="V433" s="22">
        <f ca="1">U433*V$682</f>
        <v>0</v>
      </c>
      <c r="W433" s="2">
        <v>2547023.9581737737</v>
      </c>
      <c r="X433" s="21">
        <f ca="1">W433/W$652</f>
        <v>5.5288727796408803E-2</v>
      </c>
      <c r="Y433" s="22">
        <f ca="1">X433*Y$682</f>
        <v>2179760.6410779939</v>
      </c>
      <c r="Z433" s="2">
        <v>78181.805314726807</v>
      </c>
      <c r="AA433" s="21">
        <f ca="1">Z433/Z$652</f>
        <v>1.6921346654446283E-3</v>
      </c>
      <c r="AB433" s="22">
        <f ca="1">AA433*AB$682</f>
        <v>67913.311928524403</v>
      </c>
      <c r="AC433" s="2">
        <v>60097.131305197021</v>
      </c>
      <c r="AD433" s="21">
        <f ca="1">AC433/AC$652</f>
        <v>9.647434786799995E-4</v>
      </c>
      <c r="AE433" s="22">
        <f ca="1">AD433*AE$682</f>
        <v>39455.361166618</v>
      </c>
      <c r="AF433" s="2">
        <v>18223478.69394416</v>
      </c>
      <c r="AG433" s="21">
        <f ca="1">AF433/AF$652</f>
        <v>0.27227043562611564</v>
      </c>
      <c r="AH433" s="22">
        <f ca="1">AG433*AH$682</f>
        <v>11335545.795144467</v>
      </c>
      <c r="AI433" s="2">
        <v>1597169.1583668662</v>
      </c>
      <c r="AJ433" s="21">
        <f ca="1">AI433/AI$652</f>
        <v>2.1322312386070283E-2</v>
      </c>
      <c r="AK433" s="22">
        <f ca="1">AJ433*AK$682</f>
        <v>903699.47368062357</v>
      </c>
      <c r="AL433" s="2">
        <v>23027757.963656668</v>
      </c>
    </row>
    <row r="434" spans="1:38" ht="12.75" x14ac:dyDescent="0.2">
      <c r="A434" s="8" t="s">
        <v>16</v>
      </c>
      <c r="B434" s="8" t="s">
        <v>17</v>
      </c>
      <c r="C434" s="8" t="s">
        <v>18</v>
      </c>
      <c r="D434" s="8" t="s">
        <v>141</v>
      </c>
      <c r="E434" s="8" t="s">
        <v>144</v>
      </c>
      <c r="F434" s="8" t="s">
        <v>26</v>
      </c>
      <c r="G434" s="8" t="s">
        <v>794</v>
      </c>
      <c r="H434" s="20">
        <v>216405.96020648474</v>
      </c>
      <c r="I434" s="21">
        <f>H434/H$655</f>
        <v>5.4562305769803483E-3</v>
      </c>
      <c r="J434" s="22">
        <f>I434*J$685</f>
        <v>13168.492460469377</v>
      </c>
      <c r="K434" s="2">
        <v>3025950.0317178839</v>
      </c>
      <c r="L434" s="21">
        <f ca="1">K434/K$655</f>
        <v>7.6218338677241149E-2</v>
      </c>
      <c r="M434" s="22">
        <f ca="1">L434*M$685</f>
        <v>210896.90530331302</v>
      </c>
      <c r="N434" s="2">
        <v>6252049.056055773</v>
      </c>
      <c r="O434" s="21">
        <f ca="1">N434/N$655</f>
        <v>5.4050082720855805E-2</v>
      </c>
      <c r="P434" s="22">
        <f ca="1">O434*P$685</f>
        <v>153445.60449356053</v>
      </c>
      <c r="Q434" s="2">
        <v>3159887.4306331538</v>
      </c>
      <c r="R434" s="21">
        <f ca="1">Q434/Q$655</f>
        <v>2.2697499192977255E-2</v>
      </c>
      <c r="S434" s="22">
        <f ca="1">R434*S$685</f>
        <v>65919.170267805675</v>
      </c>
      <c r="T434" s="2">
        <v>4694271.346003036</v>
      </c>
      <c r="U434" s="21">
        <f ca="1">T434/T$655</f>
        <v>4.7254593758860042E-2</v>
      </c>
      <c r="V434" s="22">
        <f ca="1">U434*V$685</f>
        <v>140121.08731794058</v>
      </c>
      <c r="W434" s="2">
        <v>3524688.2538995352</v>
      </c>
      <c r="X434" s="21">
        <f ca="1">W434/W$655</f>
        <v>3.2878104815705703E-2</v>
      </c>
      <c r="Y434" s="22">
        <f ca="1">X434*Y$685</f>
        <v>99441.212840876746</v>
      </c>
      <c r="Z434" s="2">
        <v>3314775.8134242902</v>
      </c>
      <c r="AA434" s="21">
        <f ca="1">Z434/Z$655</f>
        <v>2.873653162372861E-2</v>
      </c>
      <c r="AB434" s="22">
        <f ca="1">AA434*AB$685</f>
        <v>88479.317636570617</v>
      </c>
      <c r="AC434" s="2">
        <v>5206930.4702759897</v>
      </c>
      <c r="AD434" s="21">
        <f ca="1">AC434/AC$655</f>
        <v>4.6218058681868665E-2</v>
      </c>
      <c r="AE434" s="22">
        <f ca="1">AD434*AE$685</f>
        <v>145008.44596971746</v>
      </c>
      <c r="AF434" s="2">
        <v>3687410.7878551953</v>
      </c>
      <c r="AG434" s="21">
        <f ca="1">AF434/AF$655</f>
        <v>3.0613494447932346E-2</v>
      </c>
      <c r="AH434" s="22">
        <f ca="1">AG434*AH$685</f>
        <v>97778.255297471871</v>
      </c>
      <c r="AI434" s="2">
        <v>22812433.074698843</v>
      </c>
      <c r="AJ434" s="21">
        <f ca="1">AI434/AI$655</f>
        <v>0.12320242792361527</v>
      </c>
      <c r="AK434" s="22">
        <f ca="1">AJ434*AK$685</f>
        <v>400586.60326559853</v>
      </c>
      <c r="AL434" s="2">
        <v>55894802.224770188</v>
      </c>
    </row>
    <row r="435" spans="1:38" ht="12.75" x14ac:dyDescent="0.2">
      <c r="A435" s="8" t="s">
        <v>16</v>
      </c>
      <c r="B435" s="8" t="s">
        <v>17</v>
      </c>
      <c r="C435" s="8" t="s">
        <v>18</v>
      </c>
      <c r="D435" s="8" t="s">
        <v>141</v>
      </c>
      <c r="E435" s="8" t="s">
        <v>144</v>
      </c>
      <c r="F435" s="8" t="s">
        <v>27</v>
      </c>
      <c r="G435" s="8" t="s">
        <v>795</v>
      </c>
      <c r="H435" s="20">
        <v>6355260.4198331311</v>
      </c>
      <c r="I435" s="21">
        <f t="shared" ref="I435:I436" si="940">H435/H$657</f>
        <v>0.12460502234276456</v>
      </c>
      <c r="J435" s="22">
        <f t="shared" ref="J435:J436" si="941">I435*J$687</f>
        <v>1292525.5292660722</v>
      </c>
      <c r="K435" s="2">
        <v>2496555.0679638279</v>
      </c>
      <c r="L435" s="21">
        <f t="shared" ref="L435:L436" ca="1" si="942">K435/K$657</f>
        <v>6.3918632140887013E-2</v>
      </c>
      <c r="M435" s="22">
        <f t="shared" ref="M435:M436" ca="1" si="943">L435*M$687</f>
        <v>1003941.1277338167</v>
      </c>
      <c r="N435" s="2">
        <v>8696096.3177017272</v>
      </c>
      <c r="O435" s="21">
        <f t="shared" ref="O435:O436" ca="1" si="944">N435/N$657</f>
        <v>0.15722650990138662</v>
      </c>
      <c r="P435" s="22">
        <f t="shared" ref="P435:P436" ca="1" si="945">O435*P$687</f>
        <v>2533692.5141647011</v>
      </c>
      <c r="Q435" s="2">
        <v>0</v>
      </c>
      <c r="R435" s="21">
        <f t="shared" ref="R435:R436" ca="1" si="946">Q435/Q$657</f>
        <v>0</v>
      </c>
      <c r="S435" s="22">
        <f t="shared" ref="S435:S436" ca="1" si="947">R435*S$687</f>
        <v>0</v>
      </c>
      <c r="T435" s="2">
        <v>0</v>
      </c>
      <c r="U435" s="21">
        <f t="shared" ref="U435:U436" ca="1" si="948">T435/T$657</f>
        <v>0</v>
      </c>
      <c r="V435" s="22">
        <f t="shared" ref="V435:V436" ca="1" si="949">U435*V$687</f>
        <v>0</v>
      </c>
      <c r="W435" s="2">
        <v>0</v>
      </c>
      <c r="X435" s="21">
        <f t="shared" ref="X435:X436" ca="1" si="950">W435/W$657</f>
        <v>0</v>
      </c>
      <c r="Y435" s="22">
        <f t="shared" ref="Y435:Y436" ca="1" si="951">X435*Y$687</f>
        <v>0</v>
      </c>
      <c r="Z435" s="2">
        <v>0</v>
      </c>
      <c r="AA435" s="21">
        <f t="shared" ref="AA435:AA436" ca="1" si="952">Z435/Z$657</f>
        <v>0</v>
      </c>
      <c r="AB435" s="22">
        <f t="shared" ref="AB435:AB436" ca="1" si="953">AA435*AB$687</f>
        <v>0</v>
      </c>
      <c r="AC435" s="2">
        <v>5169892.1404790133</v>
      </c>
      <c r="AD435" s="21">
        <f t="shared" ref="AD435:AD436" ca="1" si="954">AC435/AC$657</f>
        <v>9.4122732345630289E-2</v>
      </c>
      <c r="AE435" s="22">
        <f t="shared" ref="AE435:AE436" ca="1" si="955">AD435*AE$687</f>
        <v>1676278.4816922129</v>
      </c>
      <c r="AF435" s="2">
        <v>0</v>
      </c>
      <c r="AG435" s="21">
        <f t="shared" ref="AG435:AG436" ca="1" si="956">AF435/AF$657</f>
        <v>0</v>
      </c>
      <c r="AH435" s="22">
        <f t="shared" ref="AH435:AH436" ca="1" si="957">AG435*AH$687</f>
        <v>0</v>
      </c>
      <c r="AI435" s="2">
        <v>76841.689568148737</v>
      </c>
      <c r="AJ435" s="21">
        <f t="shared" ref="AJ435:AJ436" ca="1" si="958">AI435/AI$657</f>
        <v>1.3847011386804811E-3</v>
      </c>
      <c r="AK435" s="22">
        <f t="shared" ref="AK435:AK436" ca="1" si="959">AJ435*AK$687</f>
        <v>25556.610212077394</v>
      </c>
      <c r="AL435" s="2">
        <v>22794645.635545846</v>
      </c>
    </row>
    <row r="436" spans="1:38" ht="12.75" x14ac:dyDescent="0.2">
      <c r="A436" s="8" t="s">
        <v>16</v>
      </c>
      <c r="B436" s="8" t="s">
        <v>17</v>
      </c>
      <c r="C436" s="8" t="s">
        <v>18</v>
      </c>
      <c r="D436" s="8" t="s">
        <v>141</v>
      </c>
      <c r="E436" s="8" t="s">
        <v>144</v>
      </c>
      <c r="F436" s="8" t="s">
        <v>27</v>
      </c>
      <c r="G436" s="8" t="s">
        <v>796</v>
      </c>
      <c r="H436" s="20">
        <v>0</v>
      </c>
      <c r="I436" s="21">
        <f t="shared" si="940"/>
        <v>0</v>
      </c>
      <c r="J436" s="22">
        <f t="shared" si="941"/>
        <v>0</v>
      </c>
      <c r="K436" s="2">
        <v>0</v>
      </c>
      <c r="L436" s="21">
        <f t="shared" ca="1" si="942"/>
        <v>0</v>
      </c>
      <c r="M436" s="22">
        <f t="shared" ca="1" si="943"/>
        <v>0</v>
      </c>
      <c r="N436" s="2">
        <v>0</v>
      </c>
      <c r="O436" s="21">
        <f t="shared" ca="1" si="944"/>
        <v>0</v>
      </c>
      <c r="P436" s="22">
        <f t="shared" ca="1" si="945"/>
        <v>0</v>
      </c>
      <c r="Q436" s="2">
        <v>0</v>
      </c>
      <c r="R436" s="21">
        <f t="shared" ca="1" si="946"/>
        <v>0</v>
      </c>
      <c r="S436" s="22">
        <f t="shared" ca="1" si="947"/>
        <v>0</v>
      </c>
      <c r="T436" s="2">
        <v>0</v>
      </c>
      <c r="U436" s="21">
        <f t="shared" ca="1" si="948"/>
        <v>0</v>
      </c>
      <c r="V436" s="22">
        <f t="shared" ca="1" si="949"/>
        <v>0</v>
      </c>
      <c r="W436" s="2">
        <v>0</v>
      </c>
      <c r="X436" s="21">
        <f t="shared" ca="1" si="950"/>
        <v>0</v>
      </c>
      <c r="Y436" s="22">
        <f t="shared" ca="1" si="951"/>
        <v>0</v>
      </c>
      <c r="Z436" s="2">
        <v>0</v>
      </c>
      <c r="AA436" s="21">
        <f t="shared" ca="1" si="952"/>
        <v>0</v>
      </c>
      <c r="AB436" s="22">
        <f t="shared" ca="1" si="953"/>
        <v>0</v>
      </c>
      <c r="AC436" s="2">
        <v>0</v>
      </c>
      <c r="AD436" s="21">
        <f t="shared" ca="1" si="954"/>
        <v>0</v>
      </c>
      <c r="AE436" s="22">
        <f t="shared" ca="1" si="955"/>
        <v>0</v>
      </c>
      <c r="AF436" s="2">
        <v>0</v>
      </c>
      <c r="AG436" s="21">
        <f t="shared" ca="1" si="956"/>
        <v>0</v>
      </c>
      <c r="AH436" s="22">
        <f t="shared" ca="1" si="957"/>
        <v>0</v>
      </c>
      <c r="AI436" s="2">
        <v>0</v>
      </c>
      <c r="AJ436" s="21">
        <f t="shared" ca="1" si="958"/>
        <v>0</v>
      </c>
      <c r="AK436" s="22">
        <f t="shared" ca="1" si="959"/>
        <v>0</v>
      </c>
      <c r="AL436" s="2">
        <v>0</v>
      </c>
    </row>
    <row r="437" spans="1:38" ht="12.75" x14ac:dyDescent="0.2">
      <c r="A437" s="8" t="s">
        <v>16</v>
      </c>
      <c r="B437" s="8" t="s">
        <v>17</v>
      </c>
      <c r="C437" s="8" t="s">
        <v>18</v>
      </c>
      <c r="D437" s="8" t="s">
        <v>141</v>
      </c>
      <c r="E437" s="8" t="s">
        <v>144</v>
      </c>
      <c r="F437" s="8" t="s">
        <v>28</v>
      </c>
      <c r="G437" s="8" t="s">
        <v>797</v>
      </c>
      <c r="H437" s="20">
        <v>0</v>
      </c>
      <c r="I437" s="21">
        <f>H437/H$669</f>
        <v>0</v>
      </c>
      <c r="J437" s="22">
        <f>I437*J$699</f>
        <v>0</v>
      </c>
      <c r="K437" s="2">
        <v>0</v>
      </c>
      <c r="L437" s="21">
        <f ca="1">K437/K$669</f>
        <v>0</v>
      </c>
      <c r="M437" s="22">
        <f ca="1">L437*M$699</f>
        <v>0</v>
      </c>
      <c r="N437" s="2">
        <v>0</v>
      </c>
      <c r="O437" s="21">
        <f ca="1">N437/N$669</f>
        <v>0</v>
      </c>
      <c r="P437" s="22">
        <f ca="1">O437*P$699</f>
        <v>0</v>
      </c>
      <c r="Q437" s="2">
        <v>0</v>
      </c>
      <c r="R437" s="21">
        <f ca="1">Q437/Q$669</f>
        <v>0</v>
      </c>
      <c r="S437" s="22">
        <f ca="1">R437*S$699</f>
        <v>0</v>
      </c>
      <c r="T437" s="2">
        <v>0</v>
      </c>
      <c r="U437" s="21">
        <f ca="1">T437/T$669</f>
        <v>0</v>
      </c>
      <c r="V437" s="22">
        <f ca="1">U437*V$699</f>
        <v>0</v>
      </c>
      <c r="W437" s="2">
        <v>157598.37424692191</v>
      </c>
      <c r="X437" s="21">
        <f ca="1">W437/W$669</f>
        <v>5.6499449076738099E-3</v>
      </c>
      <c r="Y437" s="22">
        <f ca="1">X437*Y$699</f>
        <v>29271.574421862671</v>
      </c>
      <c r="Z437" s="2">
        <v>0</v>
      </c>
      <c r="AA437" s="21">
        <f ca="1">Z437/Z$669</f>
        <v>0</v>
      </c>
      <c r="AB437" s="22">
        <f ca="1">AA437*AB$699</f>
        <v>0</v>
      </c>
      <c r="AC437" s="2">
        <v>0</v>
      </c>
      <c r="AD437" s="21">
        <f ca="1">AC437/AC$669</f>
        <v>0</v>
      </c>
      <c r="AE437" s="22">
        <f ca="1">AD437*AE$699</f>
        <v>0</v>
      </c>
      <c r="AF437" s="2">
        <v>0</v>
      </c>
      <c r="AG437" s="21">
        <f ca="1">AF437/AF$669</f>
        <v>0</v>
      </c>
      <c r="AH437" s="22">
        <f ca="1">AG437*AH$699</f>
        <v>0</v>
      </c>
      <c r="AI437" s="2">
        <v>2054528.1756906642</v>
      </c>
      <c r="AJ437" s="21">
        <f ca="1">AI437/AI$669</f>
        <v>4.6962804803766058E-2</v>
      </c>
      <c r="AK437" s="22">
        <f ca="1">AJ437*AK$699</f>
        <v>261561.2560281269</v>
      </c>
      <c r="AL437" s="2">
        <v>2212126.5499375863</v>
      </c>
    </row>
    <row r="438" spans="1:38" ht="12.75" x14ac:dyDescent="0.2">
      <c r="A438" s="8" t="s">
        <v>16</v>
      </c>
      <c r="B438" s="8" t="s">
        <v>17</v>
      </c>
      <c r="C438" s="8" t="s">
        <v>18</v>
      </c>
      <c r="D438" s="8" t="s">
        <v>141</v>
      </c>
      <c r="E438" s="8" t="s">
        <v>144</v>
      </c>
      <c r="F438" s="8" t="s">
        <v>30</v>
      </c>
      <c r="G438" s="8" t="s">
        <v>798</v>
      </c>
      <c r="H438" s="20">
        <v>9002.4350982014366</v>
      </c>
      <c r="I438" s="21">
        <f>H438/H$648</f>
        <v>1.3614389421732185E-4</v>
      </c>
      <c r="J438" s="22">
        <f>I438*J$678</f>
        <v>8956.1559669809958</v>
      </c>
      <c r="K438" s="2">
        <v>5176.4282312509376</v>
      </c>
      <c r="L438" s="21">
        <f ca="1">K438/K$648</f>
        <v>8.5351366899564051E-5</v>
      </c>
      <c r="M438" s="22">
        <f ca="1">L438*M$678</f>
        <v>6219.0000048973207</v>
      </c>
      <c r="N438" s="2">
        <v>5005.0411857246545</v>
      </c>
      <c r="O438" s="21">
        <f ca="1">N438/N$648</f>
        <v>4.2138357573214674E-4</v>
      </c>
      <c r="P438" s="22">
        <f ca="1">O438*P$678</f>
        <v>31501.776166347769</v>
      </c>
      <c r="Q438" s="2">
        <v>3777.3472189321569</v>
      </c>
      <c r="R438" s="21">
        <f ca="1">Q438/Q$648</f>
        <v>2.361402516127435E-4</v>
      </c>
      <c r="S438" s="22">
        <f ca="1">R438*S$678</f>
        <v>18059.390653324284</v>
      </c>
      <c r="T438" s="2">
        <v>3951.6402299430824</v>
      </c>
      <c r="U438" s="21">
        <f ca="1">T438/T$648</f>
        <v>3.4868088724542034E-4</v>
      </c>
      <c r="V438" s="22">
        <f ca="1">U438*V$678</f>
        <v>27226.195296541391</v>
      </c>
      <c r="W438" s="2">
        <v>21889949.578897372</v>
      </c>
      <c r="X438" s="21">
        <f ca="1">W438/W$648</f>
        <v>0.64859196442877365</v>
      </c>
      <c r="Y438" s="22">
        <f ca="1">X438*Y$678</f>
        <v>51657162.695035741</v>
      </c>
      <c r="Z438" s="2">
        <v>3206.3438748848571</v>
      </c>
      <c r="AA438" s="21">
        <f ca="1">Z438/Z$648</f>
        <v>2.1605958461026674E-4</v>
      </c>
      <c r="AB438" s="22">
        <f ca="1">AA438*AB$678</f>
        <v>17517.829680985516</v>
      </c>
      <c r="AC438" s="2">
        <v>3748.1585998755268</v>
      </c>
      <c r="AD438" s="21">
        <f ca="1">AC438/AC$648</f>
        <v>2.8639745418127058E-4</v>
      </c>
      <c r="AE438" s="22">
        <f ca="1">AD438*AE$678</f>
        <v>23661.926441471944</v>
      </c>
      <c r="AF438" s="2">
        <v>3663.7726517576016</v>
      </c>
      <c r="AG438" s="21">
        <f ca="1">AF438/AF$648</f>
        <v>2.6182248935704972E-4</v>
      </c>
      <c r="AH438" s="22">
        <f ca="1">AG438*AH$678</f>
        <v>22020.930817284127</v>
      </c>
      <c r="AI438" s="2">
        <v>3110.4629749214573</v>
      </c>
      <c r="AJ438" s="21">
        <f ca="1">AI438/AI$648</f>
        <v>1.644295897413011E-4</v>
      </c>
      <c r="AK438" s="22">
        <f ca="1">AJ438*AK$678</f>
        <v>14078.502944437028</v>
      </c>
      <c r="AL438" s="2">
        <v>21930591.208962865</v>
      </c>
    </row>
    <row r="439" spans="1:38" ht="12.75" x14ac:dyDescent="0.2">
      <c r="A439" s="8" t="s">
        <v>16</v>
      </c>
      <c r="B439" s="8" t="s">
        <v>17</v>
      </c>
      <c r="C439" s="8" t="s">
        <v>18</v>
      </c>
      <c r="D439" s="8" t="s">
        <v>141</v>
      </c>
      <c r="E439" s="8" t="s">
        <v>144</v>
      </c>
      <c r="F439" s="8" t="s">
        <v>47</v>
      </c>
      <c r="G439" s="8" t="s">
        <v>799</v>
      </c>
      <c r="H439" s="20">
        <v>19244831.46859074</v>
      </c>
      <c r="I439" s="21">
        <f>H439/H$658</f>
        <v>0.40996696936587507</v>
      </c>
      <c r="J439" s="22">
        <f>I439*J$688</f>
        <v>13080485.248212697</v>
      </c>
      <c r="K439" s="2">
        <v>18464785.629991598</v>
      </c>
      <c r="L439" s="21">
        <f ca="1">K439/K$658</f>
        <v>0.39154109828093053</v>
      </c>
      <c r="M439" s="22">
        <f ca="1">L439*M$688</f>
        <v>18398921.527650453</v>
      </c>
      <c r="N439" s="2">
        <v>11163271.183993269</v>
      </c>
      <c r="O439" s="21">
        <f ca="1">N439/N$658</f>
        <v>0.41243903695264034</v>
      </c>
      <c r="P439" s="22">
        <f ca="1">O439*P$688</f>
        <v>19884841.666912235</v>
      </c>
      <c r="Q439" s="2">
        <v>11965337.199174609</v>
      </c>
      <c r="R439" s="21">
        <f ca="1">Q439/Q$658</f>
        <v>0.3831556502029535</v>
      </c>
      <c r="S439" s="22">
        <f ca="1">R439*S$688</f>
        <v>18897886.710728016</v>
      </c>
      <c r="T439" s="2">
        <v>12426058.539349528</v>
      </c>
      <c r="U439" s="21">
        <f ca="1">T439/T$658</f>
        <v>0.44240715874178105</v>
      </c>
      <c r="V439" s="22">
        <f ca="1">U439*V$688</f>
        <v>22278497.340428907</v>
      </c>
      <c r="W439" s="2">
        <v>10779679.035217414</v>
      </c>
      <c r="X439" s="21">
        <f ca="1">W439/W$658</f>
        <v>0.41551869078840453</v>
      </c>
      <c r="Y439" s="22">
        <f ca="1">X439*Y$688</f>
        <v>21342951.851802886</v>
      </c>
      <c r="Z439" s="2">
        <v>10918537.678003499</v>
      </c>
      <c r="AA439" s="21">
        <f ca="1">Z439/Z$658</f>
        <v>0.4342911177127563</v>
      </c>
      <c r="AB439" s="22">
        <f ca="1">AA439*AB$688</f>
        <v>22708719.499540173</v>
      </c>
      <c r="AC439" s="2">
        <v>12271818.745091118</v>
      </c>
      <c r="AD439" s="21">
        <f ca="1">AC439/AC$658</f>
        <v>0.33585218379876763</v>
      </c>
      <c r="AE439" s="22">
        <f ca="1">AD439*AE$688</f>
        <v>17895097.101639226</v>
      </c>
      <c r="AF439" s="2">
        <v>15361943.618954737</v>
      </c>
      <c r="AG439" s="21">
        <f ca="1">AF439/AF$658</f>
        <v>0.31534249306967321</v>
      </c>
      <c r="AH439" s="22">
        <f ca="1">AG439*AH$688</f>
        <v>17104727.415245399</v>
      </c>
      <c r="AI439" s="2">
        <v>30061619.079734504</v>
      </c>
      <c r="AJ439" s="21">
        <f ca="1">AI439/AI$658</f>
        <v>0.46787617716806457</v>
      </c>
      <c r="AK439" s="22">
        <f ca="1">AJ439*AK$688</f>
        <v>25835232.340720892</v>
      </c>
      <c r="AL439" s="2">
        <v>152657882.178101</v>
      </c>
    </row>
    <row r="440" spans="1:38" ht="12.75" x14ac:dyDescent="0.2">
      <c r="A440" s="8" t="s">
        <v>16</v>
      </c>
      <c r="B440" s="8" t="s">
        <v>17</v>
      </c>
      <c r="C440" s="8" t="s">
        <v>18</v>
      </c>
      <c r="D440" s="8" t="s">
        <v>141</v>
      </c>
      <c r="E440" s="8" t="s">
        <v>144</v>
      </c>
      <c r="F440" s="8" t="s">
        <v>43</v>
      </c>
      <c r="G440" s="8" t="s">
        <v>800</v>
      </c>
      <c r="H440" s="20">
        <v>21872856.055892766</v>
      </c>
      <c r="I440" s="21">
        <f>H440/H$659</f>
        <v>0.74868167903314087</v>
      </c>
      <c r="J440" s="22">
        <f>I440*J$689</f>
        <v>35113359.414437421</v>
      </c>
      <c r="K440" s="2">
        <v>25772583.483676475</v>
      </c>
      <c r="L440" s="21">
        <f ca="1">K440/K$659</f>
        <v>0.38415867456809738</v>
      </c>
      <c r="M440" s="22">
        <f ca="1">L440*M$689</f>
        <v>18913424.627086028</v>
      </c>
      <c r="N440" s="2">
        <v>0</v>
      </c>
      <c r="O440" s="21">
        <f ca="1">N440/N$659</f>
        <v>0</v>
      </c>
      <c r="P440" s="22">
        <f ca="1">O440*P$689</f>
        <v>0</v>
      </c>
      <c r="Q440" s="2">
        <v>24960094.582634281</v>
      </c>
      <c r="R440" s="21">
        <f ca="1">Q440/Q$659</f>
        <v>0.40775752875515747</v>
      </c>
      <c r="S440" s="22">
        <f ca="1">R440*S$689</f>
        <v>21070969.175545912</v>
      </c>
      <c r="T440" s="2">
        <v>24260534.64096183</v>
      </c>
      <c r="U440" s="21">
        <f ca="1">T440/T$659</f>
        <v>0.42493733621506308</v>
      </c>
      <c r="V440" s="22">
        <f ca="1">U440*V$689</f>
        <v>22419873.428726263</v>
      </c>
      <c r="W440" s="2">
        <v>15631265.076922977</v>
      </c>
      <c r="X440" s="21">
        <f ca="1">W440/W$659</f>
        <v>0.41365901383647102</v>
      </c>
      <c r="Y440" s="22">
        <f ca="1">X440*Y$689</f>
        <v>22261320.860857189</v>
      </c>
      <c r="Z440" s="2">
        <v>24866081.496110979</v>
      </c>
      <c r="AA440" s="21">
        <f ca="1">Z440/Z$659</f>
        <v>0.42042436551930945</v>
      </c>
      <c r="AB440" s="22">
        <f ca="1">AA440*AB$689</f>
        <v>23032659.776977394</v>
      </c>
      <c r="AC440" s="2">
        <v>0</v>
      </c>
      <c r="AD440" s="21">
        <f ca="1">AC440/AC$659</f>
        <v>0</v>
      </c>
      <c r="AE440" s="22">
        <f ca="1">AD440*AE$689</f>
        <v>0</v>
      </c>
      <c r="AF440" s="2">
        <v>49992226.09549351</v>
      </c>
      <c r="AG440" s="21">
        <f ca="1">AF440/AF$659</f>
        <v>0.46638498439203191</v>
      </c>
      <c r="AH440" s="22">
        <f ca="1">AG440*AH$689</f>
        <v>26504690.461127408</v>
      </c>
      <c r="AI440" s="2">
        <v>24831570.977391966</v>
      </c>
      <c r="AJ440" s="21">
        <f ca="1">AI440/AI$659</f>
        <v>0.39125912064356638</v>
      </c>
      <c r="AK440" s="22">
        <f ca="1">AJ440*AK$689</f>
        <v>22635517.588340569</v>
      </c>
      <c r="AL440" s="2">
        <v>212187212.4090848</v>
      </c>
    </row>
    <row r="441" spans="1:38" ht="12.75" x14ac:dyDescent="0.2">
      <c r="A441" s="8" t="s">
        <v>16</v>
      </c>
      <c r="B441" s="8" t="s">
        <v>17</v>
      </c>
      <c r="C441" s="8" t="s">
        <v>18</v>
      </c>
      <c r="D441" s="8" t="s">
        <v>141</v>
      </c>
      <c r="E441" s="8" t="s">
        <v>144</v>
      </c>
      <c r="F441" s="8" t="s">
        <v>145</v>
      </c>
      <c r="G441" s="8" t="s">
        <v>801</v>
      </c>
      <c r="H441" s="20">
        <v>3203833.4309895528</v>
      </c>
      <c r="I441" s="21">
        <f>H441/H$661</f>
        <v>1.0040160376530443</v>
      </c>
      <c r="J441" s="22">
        <f>I441*J$691</f>
        <v>1538914.6178570425</v>
      </c>
      <c r="K441" s="2">
        <v>29123758.992361929</v>
      </c>
      <c r="L441" s="21">
        <f ca="1">K441/K$661</f>
        <v>1.0025450722026905</v>
      </c>
      <c r="M441" s="22">
        <f ca="1">L441*M$691</f>
        <v>1576761.7852124313</v>
      </c>
      <c r="N441" s="2">
        <v>-27875418.713899788</v>
      </c>
      <c r="O441" s="21">
        <f ca="1">N441/N$661</f>
        <v>0.6198057107877647</v>
      </c>
      <c r="P441" s="22">
        <f ca="1">O441*P$691</f>
        <v>1000149.9376708454</v>
      </c>
      <c r="Q441" s="2">
        <v>19385206.583704267</v>
      </c>
      <c r="R441" s="21">
        <f ca="1">Q441/Q$661</f>
        <v>1.1644565480474391</v>
      </c>
      <c r="S441" s="22">
        <f ca="1">R441*S$691</f>
        <v>1922243.7642005663</v>
      </c>
      <c r="T441" s="2">
        <v>1405611.096888063</v>
      </c>
      <c r="U441" s="21">
        <f ca="1">T441/T$661</f>
        <v>2.102879474453955</v>
      </c>
      <c r="V441" s="22">
        <f ca="1">U441*V$691</f>
        <v>3544257.7508173301</v>
      </c>
      <c r="W441" s="2">
        <v>2623625.3942253971</v>
      </c>
      <c r="X441" s="21">
        <f ca="1">W441/W$661</f>
        <v>1.1886327031066355</v>
      </c>
      <c r="Y441" s="22">
        <f ca="1">X441*Y$691</f>
        <v>2043425.2763801385</v>
      </c>
      <c r="Z441" s="2">
        <v>1653636.4718682016</v>
      </c>
      <c r="AA441" s="21">
        <f ca="1">Z441/Z$661</f>
        <v>1.3968485949536149</v>
      </c>
      <c r="AB441" s="22">
        <f ca="1">AA441*AB$691</f>
        <v>2444602.2088289708</v>
      </c>
      <c r="AC441" s="2">
        <v>0</v>
      </c>
      <c r="AD441" s="21">
        <f ca="1">AC441/AC$661</f>
        <v>0</v>
      </c>
      <c r="AE441" s="22">
        <f ca="1">AD441*AE$691</f>
        <v>0</v>
      </c>
      <c r="AF441" s="2">
        <v>0</v>
      </c>
      <c r="AG441" s="21">
        <f ca="1">AF441/AF$661</f>
        <v>0</v>
      </c>
      <c r="AH441" s="22">
        <f ca="1">AG441*AH$691</f>
        <v>0</v>
      </c>
      <c r="AI441" s="2">
        <v>1111265.386094891</v>
      </c>
      <c r="AJ441" s="21">
        <f ca="1">AI441/AI$661</f>
        <v>1.0286829334753138</v>
      </c>
      <c r="AK441" s="22">
        <f ca="1">AJ441*AK$691</f>
        <v>1901122.6725597188</v>
      </c>
      <c r="AL441" s="2">
        <v>30631518.642232511</v>
      </c>
    </row>
    <row r="442" spans="1:38" ht="12.75" x14ac:dyDescent="0.2">
      <c r="A442" s="8" t="s">
        <v>16</v>
      </c>
      <c r="B442" s="8" t="s">
        <v>17</v>
      </c>
      <c r="C442" s="8" t="s">
        <v>18</v>
      </c>
      <c r="D442" s="8" t="s">
        <v>141</v>
      </c>
      <c r="E442" s="8" t="s">
        <v>144</v>
      </c>
      <c r="F442" s="8" t="s">
        <v>139</v>
      </c>
      <c r="G442" s="8" t="s">
        <v>802</v>
      </c>
      <c r="H442" s="20">
        <v>5401050.7199270856</v>
      </c>
      <c r="I442" s="21">
        <f>H442/H$662</f>
        <v>0.8625777991131538</v>
      </c>
      <c r="J442" s="22">
        <f>I442*J$692</f>
        <v>2769031.7243126621</v>
      </c>
      <c r="K442" s="2">
        <v>4099280.3944615298</v>
      </c>
      <c r="L442" s="21">
        <f ca="1">K442/K$662</f>
        <v>0.70382425311223118</v>
      </c>
      <c r="M442" s="22">
        <f ca="1">L442*M$692</f>
        <v>1933926.7570708552</v>
      </c>
      <c r="N442" s="2">
        <v>4696522.342012397</v>
      </c>
      <c r="O442" s="21">
        <f ca="1">N442/N$662</f>
        <v>0.86860527322424497</v>
      </c>
      <c r="P442" s="22">
        <f ca="1">O442*P$692</f>
        <v>2448756.5859022969</v>
      </c>
      <c r="Q442" s="2">
        <v>4861443.909491579</v>
      </c>
      <c r="R442" s="21">
        <f ca="1">Q442/Q$662</f>
        <v>0.86974758363978066</v>
      </c>
      <c r="S442" s="22">
        <f ca="1">R442*S$692</f>
        <v>2508372.4354954395</v>
      </c>
      <c r="T442" s="2">
        <v>3153397.3248194442</v>
      </c>
      <c r="U442" s="21">
        <f ca="1">T442/T$662</f>
        <v>0.80709970415677945</v>
      </c>
      <c r="V442" s="22">
        <f ca="1">U442*V$692</f>
        <v>2376576.063308618</v>
      </c>
      <c r="W442" s="2">
        <v>3227345.3236679933</v>
      </c>
      <c r="X442" s="21">
        <f ca="1">W442/W$662</f>
        <v>0.80757429802885883</v>
      </c>
      <c r="Y442" s="22">
        <f ca="1">X442*Y$692</f>
        <v>2425533.0184471705</v>
      </c>
      <c r="Z442" s="2">
        <v>3476017.1078457455</v>
      </c>
      <c r="AA442" s="21">
        <f ca="1">Z442/Z$662</f>
        <v>0.81603899052399731</v>
      </c>
      <c r="AB442" s="22">
        <f ca="1">AA442*AB$692</f>
        <v>2495073.7646179805</v>
      </c>
      <c r="AC442" s="2">
        <v>2913629.4221845036</v>
      </c>
      <c r="AD442" s="21">
        <f ca="1">AC442/AC$662</f>
        <v>0.74943879929526358</v>
      </c>
      <c r="AE442" s="22">
        <f ca="1">AD442*AE$692</f>
        <v>2334978.240577518</v>
      </c>
      <c r="AF442" s="2">
        <v>2655506.9747884204</v>
      </c>
      <c r="AG442" s="21">
        <f ca="1">AF442/AF$662</f>
        <v>0.73864323480713545</v>
      </c>
      <c r="AH442" s="22">
        <f ca="1">AG442*AH$692</f>
        <v>2342767.3712506741</v>
      </c>
      <c r="AI442" s="2">
        <v>4224264.635123725</v>
      </c>
      <c r="AJ442" s="21">
        <f ca="1">AI442/AI$662</f>
        <v>0.81029037527777159</v>
      </c>
      <c r="AK442" s="22">
        <f ca="1">AJ442*AK$692</f>
        <v>2616272.0460198713</v>
      </c>
      <c r="AL442" s="2">
        <v>38708458.154322423</v>
      </c>
    </row>
    <row r="443" spans="1:38" ht="12.75" x14ac:dyDescent="0.2">
      <c r="A443" s="8" t="s">
        <v>16</v>
      </c>
      <c r="B443" s="8" t="s">
        <v>17</v>
      </c>
      <c r="C443" s="8" t="s">
        <v>18</v>
      </c>
      <c r="D443" s="8" t="s">
        <v>141</v>
      </c>
      <c r="E443" s="8" t="s">
        <v>144</v>
      </c>
      <c r="F443" s="8" t="s">
        <v>48</v>
      </c>
      <c r="G443" s="8" t="s">
        <v>803</v>
      </c>
      <c r="H443" s="20">
        <v>3647849.9483487736</v>
      </c>
      <c r="I443" s="21">
        <f>H443/H$663</f>
        <v>0.25254839763577297</v>
      </c>
      <c r="J443" s="22">
        <f>I443*J$693</f>
        <v>5093621.3566889605</v>
      </c>
      <c r="K443" s="2">
        <v>3847034.4710947075</v>
      </c>
      <c r="L443" s="21">
        <f ca="1">K443/K$663</f>
        <v>0.25411739516390924</v>
      </c>
      <c r="M443" s="22">
        <f ca="1">L443*M$693</f>
        <v>5807955.475781397</v>
      </c>
      <c r="N443" s="2">
        <v>5116521.9945559604</v>
      </c>
      <c r="O443" s="21">
        <f ca="1">N443/N$663</f>
        <v>0.2792528271792879</v>
      </c>
      <c r="P443" s="22">
        <f ca="1">O443*P$693</f>
        <v>6548379.2381363558</v>
      </c>
      <c r="Q443" s="2">
        <v>6580544.6923578354</v>
      </c>
      <c r="R443" s="21">
        <f ca="1">Q443/Q$663</f>
        <v>0.30219113431722017</v>
      </c>
      <c r="S443" s="22">
        <f ca="1">R443*S$693</f>
        <v>7249258.672882298</v>
      </c>
      <c r="T443" s="2">
        <v>6428115.39338951</v>
      </c>
      <c r="U443" s="21">
        <f ca="1">T443/T$663</f>
        <v>0.30331545050474035</v>
      </c>
      <c r="V443" s="22">
        <f ca="1">U443*V$693</f>
        <v>7429030.7045123177</v>
      </c>
      <c r="W443" s="2">
        <v>6858086.0096324822</v>
      </c>
      <c r="X443" s="21">
        <f ca="1">W443/W$663</f>
        <v>0.30630509684248175</v>
      </c>
      <c r="Y443" s="22">
        <f ca="1">X443*Y$693</f>
        <v>7652300.4844381111</v>
      </c>
      <c r="Z443" s="2">
        <v>7760253.3334243456</v>
      </c>
      <c r="AA443" s="21">
        <f ca="1">Z443/Z$663</f>
        <v>0.30575299454528299</v>
      </c>
      <c r="AB443" s="22">
        <f ca="1">AA443*AB$693</f>
        <v>7776000.6632195525</v>
      </c>
      <c r="AC443" s="2">
        <v>7375178.2040416487</v>
      </c>
      <c r="AD443" s="21">
        <f ca="1">AC443/AC$663</f>
        <v>0.48750796437529553</v>
      </c>
      <c r="AE443" s="22">
        <f ca="1">AD443*AE$693</f>
        <v>12634017.350344749</v>
      </c>
      <c r="AF443" s="2">
        <v>7571917.9662946928</v>
      </c>
      <c r="AG443" s="21">
        <f ca="1">AF443/AF$663</f>
        <v>0.2849261484059516</v>
      </c>
      <c r="AH443" s="22">
        <f ca="1">AG443*AH$693</f>
        <v>7516918.4589222139</v>
      </c>
      <c r="AI443" s="2">
        <v>13914505.1280965</v>
      </c>
      <c r="AJ443" s="21">
        <f ca="1">AI443/AI$663</f>
        <v>0.57983769054390932</v>
      </c>
      <c r="AK443" s="22">
        <f ca="1">AJ443*AK$693</f>
        <v>15572622.350712849</v>
      </c>
      <c r="AL443" s="2">
        <v>69100007.141236454</v>
      </c>
    </row>
    <row r="444" spans="1:38" ht="12.75" x14ac:dyDescent="0.2">
      <c r="A444" s="8" t="s">
        <v>16</v>
      </c>
      <c r="B444" s="8" t="s">
        <v>17</v>
      </c>
      <c r="C444" s="8" t="s">
        <v>18</v>
      </c>
      <c r="D444" s="8" t="s">
        <v>141</v>
      </c>
      <c r="E444" s="8" t="s">
        <v>144</v>
      </c>
      <c r="F444" s="8" t="s">
        <v>146</v>
      </c>
      <c r="G444" s="8" t="s">
        <v>804</v>
      </c>
      <c r="H444" s="20">
        <v>22177465.122000288</v>
      </c>
      <c r="I444" s="21">
        <f>H444/H$664</f>
        <v>0.73378634242630014</v>
      </c>
      <c r="J444" s="22">
        <f>I444*J$694</f>
        <v>47759936.993773751</v>
      </c>
      <c r="K444" s="2">
        <v>23232551.786229476</v>
      </c>
      <c r="L444" s="21">
        <f ca="1">K444/K$664</f>
        <v>0.8224854490862723</v>
      </c>
      <c r="M444" s="22">
        <f ca="1">L444*M$694</f>
        <v>34841616.185757883</v>
      </c>
      <c r="N444" s="2">
        <v>24213133.613151468</v>
      </c>
      <c r="O444" s="21">
        <f ca="1">N444/N$664</f>
        <v>0.83511447333102973</v>
      </c>
      <c r="P444" s="22">
        <f ca="1">O444*P$694</f>
        <v>36296390.616378203</v>
      </c>
      <c r="Q444" s="2">
        <v>28432151.635307547</v>
      </c>
      <c r="R444" s="21">
        <f ca="1">Q444/Q$664</f>
        <v>0.84934393408400144</v>
      </c>
      <c r="S444" s="22">
        <f ca="1">R444*S$694</f>
        <v>37763883.816938929</v>
      </c>
      <c r="T444" s="2">
        <v>24635734.744338378</v>
      </c>
      <c r="U444" s="21">
        <f ca="1">T444/T$664</f>
        <v>0.82499999999999996</v>
      </c>
      <c r="V444" s="22">
        <f ca="1">U444*V$694</f>
        <v>37451805.038999997</v>
      </c>
      <c r="W444" s="2">
        <v>24867630.498240024</v>
      </c>
      <c r="X444" s="21">
        <f ca="1">W444/W$664</f>
        <v>0.82130473014070304</v>
      </c>
      <c r="Y444" s="22">
        <f ca="1">X444*Y$694</f>
        <v>38029735.182902001</v>
      </c>
      <c r="Z444" s="2">
        <v>28343984.070118468</v>
      </c>
      <c r="AA444" s="21">
        <f ca="1">Z444/Z$664</f>
        <v>0.83486268243444317</v>
      </c>
      <c r="AB444" s="22">
        <f ca="1">AA444*AB$694</f>
        <v>39353358.703076847</v>
      </c>
      <c r="AC444" s="2">
        <v>60253271.02518028</v>
      </c>
      <c r="AD444" s="21">
        <f ca="1">AC444/AC$664</f>
        <v>0.91249999999999998</v>
      </c>
      <c r="AE444" s="22">
        <f ca="1">AD444*AE$694</f>
        <v>43830236.326250002</v>
      </c>
      <c r="AF444" s="2">
        <v>38925152.97482954</v>
      </c>
      <c r="AG444" s="21">
        <f ca="1">AF444/AF$664</f>
        <v>0.86721294191983123</v>
      </c>
      <c r="AH444" s="22">
        <f ca="1">AG444*AH$694</f>
        <v>42404746.142337285</v>
      </c>
      <c r="AI444" s="2">
        <v>39552658.937805429</v>
      </c>
      <c r="AJ444" s="21">
        <f ca="1">AI444/AI$664</f>
        <v>0.86569140340960526</v>
      </c>
      <c r="AK444" s="22">
        <f ca="1">AJ444*AK$694</f>
        <v>43092292.595581606</v>
      </c>
      <c r="AL444" s="2">
        <v>314633734.40720087</v>
      </c>
    </row>
    <row r="445" spans="1:38" ht="12.75" x14ac:dyDescent="0.2">
      <c r="A445" s="8" t="s">
        <v>16</v>
      </c>
      <c r="B445" s="8" t="s">
        <v>17</v>
      </c>
      <c r="C445" s="8" t="s">
        <v>18</v>
      </c>
      <c r="D445" s="8" t="s">
        <v>141</v>
      </c>
      <c r="E445" s="8" t="s">
        <v>144</v>
      </c>
      <c r="F445" s="8" t="s">
        <v>49</v>
      </c>
      <c r="G445" s="8" t="s">
        <v>805</v>
      </c>
      <c r="H445" s="20">
        <v>0</v>
      </c>
      <c r="I445" s="21">
        <f>H445/H$644</f>
        <v>0</v>
      </c>
      <c r="J445" s="22">
        <f>I445*J$674</f>
        <v>0</v>
      </c>
      <c r="K445" s="2">
        <v>0</v>
      </c>
      <c r="L445" s="21">
        <f>K445/K$644</f>
        <v>0</v>
      </c>
      <c r="M445" s="22">
        <f>L445*M$674</f>
        <v>0</v>
      </c>
      <c r="N445" s="2">
        <v>0</v>
      </c>
      <c r="O445" s="21">
        <f>N445/N$644</f>
        <v>0</v>
      </c>
      <c r="P445" s="22">
        <f>O445*P$674</f>
        <v>0</v>
      </c>
      <c r="Q445" s="2">
        <v>0</v>
      </c>
      <c r="R445" s="21">
        <f>Q445/Q$644</f>
        <v>0</v>
      </c>
      <c r="S445" s="22">
        <f>R445*S$674</f>
        <v>0</v>
      </c>
      <c r="T445" s="2">
        <v>0</v>
      </c>
      <c r="U445" s="21">
        <f>T445/T$644</f>
        <v>0</v>
      </c>
      <c r="V445" s="22">
        <f>U445*V$674</f>
        <v>0</v>
      </c>
      <c r="W445" s="2">
        <v>0</v>
      </c>
      <c r="X445" s="21">
        <f>W445/W$644</f>
        <v>0</v>
      </c>
      <c r="Y445" s="22">
        <f>X445*Y$674</f>
        <v>0</v>
      </c>
      <c r="Z445" s="2">
        <v>0</v>
      </c>
      <c r="AA445" s="21">
        <f>Z445/Z$644</f>
        <v>0</v>
      </c>
      <c r="AB445" s="22">
        <f>AA445*AB$674</f>
        <v>0</v>
      </c>
      <c r="AC445" s="2">
        <v>0</v>
      </c>
      <c r="AD445" s="21">
        <f>AC445/AC$644</f>
        <v>0</v>
      </c>
      <c r="AE445" s="22">
        <f>AD445*AE$674</f>
        <v>0</v>
      </c>
      <c r="AF445" s="2">
        <v>0</v>
      </c>
      <c r="AG445" s="21">
        <f>AF445/AF$644</f>
        <v>0</v>
      </c>
      <c r="AH445" s="22">
        <f>AG445*AH$674</f>
        <v>0</v>
      </c>
      <c r="AI445" s="2">
        <v>0</v>
      </c>
      <c r="AJ445" s="21">
        <f>AI445/AI$644</f>
        <v>0</v>
      </c>
      <c r="AK445" s="22">
        <f>AJ445*AK$674</f>
        <v>0</v>
      </c>
      <c r="AL445" s="2">
        <v>0</v>
      </c>
    </row>
    <row r="446" spans="1:38" ht="12.75" x14ac:dyDescent="0.2">
      <c r="A446" s="8" t="s">
        <v>16</v>
      </c>
      <c r="B446" s="8" t="s">
        <v>17</v>
      </c>
      <c r="C446" s="8" t="s">
        <v>18</v>
      </c>
      <c r="D446" s="8" t="s">
        <v>50</v>
      </c>
      <c r="E446" s="8" t="s">
        <v>147</v>
      </c>
      <c r="F446" s="8" t="s">
        <v>21</v>
      </c>
      <c r="G446" s="8" t="s">
        <v>806</v>
      </c>
      <c r="H446" s="20">
        <v>420000</v>
      </c>
      <c r="I446" s="21">
        <f>H446/H$645</f>
        <v>2.7797685914536858E-2</v>
      </c>
      <c r="J446" s="22">
        <f>I446*J$675</f>
        <v>3925.0332511326046</v>
      </c>
      <c r="K446" s="2">
        <v>420000</v>
      </c>
      <c r="L446" s="21">
        <f ca="1">K446/K$645</f>
        <v>2.7452891609550747E-2</v>
      </c>
      <c r="M446" s="22">
        <f ca="1">L446*M$675</f>
        <v>11844.824613856765</v>
      </c>
      <c r="N446" s="2">
        <v>420000</v>
      </c>
      <c r="O446" s="21">
        <f ca="1">N446/N$645</f>
        <v>1.9333173834341084E-2</v>
      </c>
      <c r="P446" s="22">
        <f ca="1">O446*P$675</f>
        <v>8558.3699533114905</v>
      </c>
      <c r="Q446" s="2">
        <v>420000</v>
      </c>
      <c r="R446" s="21">
        <f ca="1">Q446/Q$645</f>
        <v>1.6635499991977405E-2</v>
      </c>
      <c r="S446" s="22">
        <f ca="1">R446*S$675</f>
        <v>7533.5450403918912</v>
      </c>
      <c r="T446" s="2">
        <v>612311.5107561918</v>
      </c>
      <c r="U446" s="21">
        <f ca="1">T446/T$645</f>
        <v>2.9664595818757394E-2</v>
      </c>
      <c r="V446" s="22">
        <f ca="1">U446*V$675</f>
        <v>13716.007302880527</v>
      </c>
      <c r="W446" s="2">
        <v>420000</v>
      </c>
      <c r="X446" s="21">
        <f ca="1">W446/W$645</f>
        <v>2.0318938047778259E-2</v>
      </c>
      <c r="Y446" s="22">
        <f ca="1">X446*Y$675</f>
        <v>9582.7566052790389</v>
      </c>
      <c r="Z446" s="2">
        <v>228351.08861633655</v>
      </c>
      <c r="AA446" s="21">
        <f ca="1">Z446/Z$645</f>
        <v>1.1099436965507782E-2</v>
      </c>
      <c r="AB446" s="22">
        <f ca="1">AA446*AB$675</f>
        <v>5328.9073937057756</v>
      </c>
      <c r="AC446" s="2">
        <v>420000</v>
      </c>
      <c r="AD446" s="21">
        <f ca="1">AC446/AC$645</f>
        <v>1.7685441423174776E-2</v>
      </c>
      <c r="AE446" s="22">
        <f ca="1">AD446*AE$675</f>
        <v>8652.2152588299195</v>
      </c>
      <c r="AF446" s="2">
        <v>420000</v>
      </c>
      <c r="AG446" s="21">
        <f ca="1">AF446/AF$645</f>
        <v>1.9254951384515353E-2</v>
      </c>
      <c r="AH446" s="22">
        <f ca="1">AG446*AH$675</f>
        <v>9589.6246939250232</v>
      </c>
      <c r="AI446" s="2">
        <v>420000</v>
      </c>
      <c r="AJ446" s="21">
        <f ca="1">AI446/AI$645</f>
        <v>1.6473004933772739E-2</v>
      </c>
      <c r="AK446" s="22">
        <f ca="1">AJ446*AK$675</f>
        <v>8351.7943927370561</v>
      </c>
      <c r="AL446" s="2">
        <v>4200662.5993725285</v>
      </c>
    </row>
    <row r="447" spans="1:38" ht="12.75" x14ac:dyDescent="0.2">
      <c r="A447" s="8" t="s">
        <v>16</v>
      </c>
      <c r="B447" s="8" t="s">
        <v>17</v>
      </c>
      <c r="C447" s="8" t="s">
        <v>18</v>
      </c>
      <c r="D447" s="8" t="s">
        <v>50</v>
      </c>
      <c r="E447" s="8" t="s">
        <v>147</v>
      </c>
      <c r="F447" s="8" t="s">
        <v>24</v>
      </c>
      <c r="G447" s="8" t="s">
        <v>807</v>
      </c>
      <c r="H447" s="20">
        <v>453244.19770229922</v>
      </c>
      <c r="I447" s="21">
        <f t="shared" ref="I447:I448" si="960">H447/H$646</f>
        <v>5.5200239917566245E-3</v>
      </c>
      <c r="J447" s="22">
        <f t="shared" ref="J447:J448" si="961">I447*J$676</f>
        <v>11877.104421623224</v>
      </c>
      <c r="K447" s="2">
        <v>436609.25113273045</v>
      </c>
      <c r="L447" s="21">
        <f t="shared" ref="L447:L448" ca="1" si="962">K447/K$646</f>
        <v>6.9131568989265731E-3</v>
      </c>
      <c r="M447" s="22">
        <f t="shared" ref="M447:M448" ca="1" si="963">L447*M$676</f>
        <v>26878.445968013271</v>
      </c>
      <c r="N447" s="2">
        <v>527732.13280984003</v>
      </c>
      <c r="O447" s="21">
        <f t="shared" ref="O447:O448" ca="1" si="964">N447/N$646</f>
        <v>5.6297547061022798E-3</v>
      </c>
      <c r="P447" s="22">
        <f t="shared" ref="P447:P448" ca="1" si="965">O447*P$676</f>
        <v>95644.474966537498</v>
      </c>
      <c r="Q447" s="2">
        <v>597264.73097345443</v>
      </c>
      <c r="R447" s="21">
        <f t="shared" ref="R447:R448" ca="1" si="966">Q447/Q$646</f>
        <v>5.3699967098992498E-3</v>
      </c>
      <c r="S447" s="22">
        <f t="shared" ref="S447:S448" ca="1" si="967">R447*S$676</f>
        <v>93329.74258113926</v>
      </c>
      <c r="T447" s="2">
        <v>443825.41672103922</v>
      </c>
      <c r="U447" s="21">
        <f t="shared" ref="U447:U448" ca="1" si="968">T447/T$646</f>
        <v>5.2901165634049408E-3</v>
      </c>
      <c r="V447" s="22">
        <f t="shared" ref="V447:V448" ca="1" si="969">U447*V$676</f>
        <v>93872.207724054286</v>
      </c>
      <c r="W447" s="2">
        <v>395000</v>
      </c>
      <c r="X447" s="21">
        <f t="shared" ref="X447:X448" ca="1" si="970">W447/W$646</f>
        <v>4.5190964874312692E-3</v>
      </c>
      <c r="Y447" s="22">
        <f t="shared" ref="Y447:Y448" ca="1" si="971">X447*Y$676</f>
        <v>81794.401004704996</v>
      </c>
      <c r="Z447" s="2">
        <v>395000</v>
      </c>
      <c r="AA447" s="21">
        <f t="shared" ref="AA447:AA448" ca="1" si="972">Z447/Z$646</f>
        <v>3.403244869049664E-3</v>
      </c>
      <c r="AB447" s="22">
        <f t="shared" ref="AB447:AB448" ca="1" si="973">AA447*AB$676</f>
        <v>62706.554527787281</v>
      </c>
      <c r="AC447" s="2">
        <v>478515.67334185453</v>
      </c>
      <c r="AD447" s="21">
        <f t="shared" ref="AD447:AD448" ca="1" si="974">AC447/AC$646</f>
        <v>4.599086567391995E-3</v>
      </c>
      <c r="AE447" s="22">
        <f t="shared" ref="AE447:AE448" ca="1" si="975">AD447*AE$676</f>
        <v>86350.629622779117</v>
      </c>
      <c r="AF447" s="2">
        <v>476548.83402127877</v>
      </c>
      <c r="AG447" s="21">
        <f t="shared" ref="AG447:AG448" ca="1" si="976">AF447/AF$646</f>
        <v>5.0624662877707758E-3</v>
      </c>
      <c r="AH447" s="22">
        <f t="shared" ref="AH447:AH448" ca="1" si="977">AG447*AH$676</f>
        <v>96761.77946410868</v>
      </c>
      <c r="AI447" s="2">
        <v>522788.46049540967</v>
      </c>
      <c r="AJ447" s="21">
        <f t="shared" ref="AJ447:AJ448" ca="1" si="978">AI447/AI$646</f>
        <v>4.2314318417264515E-3</v>
      </c>
      <c r="AK447" s="22">
        <f t="shared" ref="AK447:AK448" ca="1" si="979">AJ447*AK$676</f>
        <v>82333.547852092961</v>
      </c>
      <c r="AL447" s="2">
        <v>4726528.6971979067</v>
      </c>
    </row>
    <row r="448" spans="1:38" ht="12.75" x14ac:dyDescent="0.2">
      <c r="A448" s="8" t="s">
        <v>16</v>
      </c>
      <c r="B448" s="8" t="s">
        <v>17</v>
      </c>
      <c r="C448" s="8" t="s">
        <v>18</v>
      </c>
      <c r="D448" s="8" t="s">
        <v>50</v>
      </c>
      <c r="E448" s="8" t="s">
        <v>147</v>
      </c>
      <c r="F448" s="8" t="s">
        <v>24</v>
      </c>
      <c r="G448" s="8" t="s">
        <v>808</v>
      </c>
      <c r="H448" s="20">
        <v>0</v>
      </c>
      <c r="I448" s="21">
        <f t="shared" si="960"/>
        <v>0</v>
      </c>
      <c r="J448" s="22">
        <f t="shared" si="961"/>
        <v>0</v>
      </c>
      <c r="K448" s="2">
        <v>0</v>
      </c>
      <c r="L448" s="21">
        <f t="shared" ca="1" si="962"/>
        <v>0</v>
      </c>
      <c r="M448" s="22">
        <f t="shared" ca="1" si="963"/>
        <v>0</v>
      </c>
      <c r="N448" s="2">
        <v>0</v>
      </c>
      <c r="O448" s="21">
        <f t="shared" ca="1" si="964"/>
        <v>0</v>
      </c>
      <c r="P448" s="22">
        <f t="shared" ca="1" si="965"/>
        <v>0</v>
      </c>
      <c r="Q448" s="2">
        <v>0</v>
      </c>
      <c r="R448" s="21">
        <f t="shared" ca="1" si="966"/>
        <v>0</v>
      </c>
      <c r="S448" s="22">
        <f t="shared" ca="1" si="967"/>
        <v>0</v>
      </c>
      <c r="T448" s="2">
        <v>0</v>
      </c>
      <c r="U448" s="21">
        <f t="shared" ca="1" si="968"/>
        <v>0</v>
      </c>
      <c r="V448" s="22">
        <f t="shared" ca="1" si="969"/>
        <v>0</v>
      </c>
      <c r="W448" s="2">
        <v>0</v>
      </c>
      <c r="X448" s="21">
        <f t="shared" ca="1" si="970"/>
        <v>0</v>
      </c>
      <c r="Y448" s="22">
        <f t="shared" ca="1" si="971"/>
        <v>0</v>
      </c>
      <c r="Z448" s="2">
        <v>0</v>
      </c>
      <c r="AA448" s="21">
        <f t="shared" ca="1" si="972"/>
        <v>0</v>
      </c>
      <c r="AB448" s="22">
        <f t="shared" ca="1" si="973"/>
        <v>0</v>
      </c>
      <c r="AC448" s="2">
        <v>0</v>
      </c>
      <c r="AD448" s="21">
        <f t="shared" ca="1" si="974"/>
        <v>0</v>
      </c>
      <c r="AE448" s="22">
        <f t="shared" ca="1" si="975"/>
        <v>0</v>
      </c>
      <c r="AF448" s="2">
        <v>51793.645986249219</v>
      </c>
      <c r="AG448" s="21">
        <f t="shared" ca="1" si="976"/>
        <v>5.5021346818448621E-4</v>
      </c>
      <c r="AH448" s="22">
        <f t="shared" ca="1" si="977"/>
        <v>10516.540998062303</v>
      </c>
      <c r="AI448" s="2">
        <v>0</v>
      </c>
      <c r="AJ448" s="21">
        <f t="shared" ca="1" si="978"/>
        <v>0</v>
      </c>
      <c r="AK448" s="22">
        <f t="shared" ca="1" si="979"/>
        <v>0</v>
      </c>
      <c r="AL448" s="2">
        <v>51793.645986249219</v>
      </c>
    </row>
    <row r="449" spans="1:38" ht="12.75" x14ac:dyDescent="0.2">
      <c r="A449" s="8" t="s">
        <v>16</v>
      </c>
      <c r="B449" s="8" t="s">
        <v>17</v>
      </c>
      <c r="C449" s="8" t="s">
        <v>18</v>
      </c>
      <c r="D449" s="8" t="s">
        <v>50</v>
      </c>
      <c r="E449" s="8" t="s">
        <v>147</v>
      </c>
      <c r="F449" s="8" t="s">
        <v>25</v>
      </c>
      <c r="G449" s="8" t="s">
        <v>809</v>
      </c>
      <c r="H449" s="20">
        <v>3302.8992705507439</v>
      </c>
      <c r="I449" s="21">
        <f>H449/H$652</f>
        <v>2.367636504102325E-4</v>
      </c>
      <c r="J449" s="22">
        <f>I449*J$682</f>
        <v>17040.948671142385</v>
      </c>
      <c r="K449" s="2">
        <v>30465.093539336729</v>
      </c>
      <c r="L449" s="21">
        <f ca="1">K449/K$652</f>
        <v>1.3561049832107963E-3</v>
      </c>
      <c r="M449" s="22">
        <f ca="1">L449*M$682</f>
        <v>48912.134213260273</v>
      </c>
      <c r="N449" s="2">
        <v>7044.841938684146</v>
      </c>
      <c r="O449" s="21">
        <f ca="1">N449/N$652</f>
        <v>1.4116620532488879E-4</v>
      </c>
      <c r="P449" s="22">
        <f ca="1">O449*P$682</f>
        <v>5223.9787621377782</v>
      </c>
      <c r="Q449" s="2">
        <v>0</v>
      </c>
      <c r="R449" s="21">
        <f ca="1">Q449/Q$652</f>
        <v>0</v>
      </c>
      <c r="S449" s="22">
        <f ca="1">R449*S$682</f>
        <v>0</v>
      </c>
      <c r="T449" s="2">
        <v>0</v>
      </c>
      <c r="U449" s="21">
        <f ca="1">T449/T$652</f>
        <v>0</v>
      </c>
      <c r="V449" s="22">
        <f ca="1">U449*V$682</f>
        <v>0</v>
      </c>
      <c r="W449" s="2">
        <v>0</v>
      </c>
      <c r="X449" s="21">
        <f ca="1">W449/W$652</f>
        <v>0</v>
      </c>
      <c r="Y449" s="22">
        <f ca="1">X449*Y$682</f>
        <v>0</v>
      </c>
      <c r="Z449" s="2">
        <v>0</v>
      </c>
      <c r="AA449" s="21">
        <f ca="1">Z449/Z$652</f>
        <v>0</v>
      </c>
      <c r="AB449" s="22">
        <f ca="1">AA449*AB$682</f>
        <v>0</v>
      </c>
      <c r="AC449" s="2">
        <v>0</v>
      </c>
      <c r="AD449" s="21">
        <f ca="1">AC449/AC$652</f>
        <v>0</v>
      </c>
      <c r="AE449" s="22">
        <f ca="1">AD449*AE$682</f>
        <v>0</v>
      </c>
      <c r="AF449" s="2">
        <v>0</v>
      </c>
      <c r="AG449" s="21">
        <f ca="1">AF449/AF$652</f>
        <v>0</v>
      </c>
      <c r="AH449" s="22">
        <f ca="1">AG449*AH$682</f>
        <v>0</v>
      </c>
      <c r="AI449" s="2">
        <v>23884.72826725951</v>
      </c>
      <c r="AJ449" s="21">
        <f ca="1">AI449/AI$652</f>
        <v>3.1886267944946788E-4</v>
      </c>
      <c r="AK449" s="22">
        <f ca="1">AJ449*AK$682</f>
        <v>13514.295746981357</v>
      </c>
      <c r="AL449" s="2">
        <v>64697.563015831132</v>
      </c>
    </row>
    <row r="450" spans="1:38" ht="12.75" x14ac:dyDescent="0.2">
      <c r="A450" s="8" t="s">
        <v>16</v>
      </c>
      <c r="B450" s="8" t="s">
        <v>17</v>
      </c>
      <c r="C450" s="8" t="s">
        <v>18</v>
      </c>
      <c r="D450" s="8" t="s">
        <v>50</v>
      </c>
      <c r="E450" s="8" t="s">
        <v>147</v>
      </c>
      <c r="F450" s="8" t="s">
        <v>26</v>
      </c>
      <c r="G450" s="8" t="s">
        <v>810</v>
      </c>
      <c r="H450" s="20">
        <v>7926.9582493217849</v>
      </c>
      <c r="I450" s="21">
        <f t="shared" ref="I450:I451" si="980">H450/H$655</f>
        <v>1.9986192589671606E-4</v>
      </c>
      <c r="J450" s="22">
        <f t="shared" ref="J450:J451" si="981">I450*J$685</f>
        <v>482.36236118935449</v>
      </c>
      <c r="K450" s="2">
        <v>0</v>
      </c>
      <c r="L450" s="21">
        <f t="shared" ref="L450:L451" ca="1" si="982">K450/K$655</f>
        <v>0</v>
      </c>
      <c r="M450" s="22">
        <f t="shared" ref="M450:M451" ca="1" si="983">L450*M$685</f>
        <v>0</v>
      </c>
      <c r="N450" s="2">
        <v>0</v>
      </c>
      <c r="O450" s="21">
        <f t="shared" ref="O450:O451" ca="1" si="984">N450/N$655</f>
        <v>0</v>
      </c>
      <c r="P450" s="22">
        <f t="shared" ref="P450:P451" ca="1" si="985">O450*P$685</f>
        <v>0</v>
      </c>
      <c r="Q450" s="2">
        <v>148363.04804913016</v>
      </c>
      <c r="R450" s="21">
        <f t="shared" ref="R450:R451" ca="1" si="986">Q450/Q$655</f>
        <v>1.065693078404388E-3</v>
      </c>
      <c r="S450" s="22">
        <f t="shared" ref="S450:S451" ca="1" si="987">R450*S$685</f>
        <v>3095.0371620806795</v>
      </c>
      <c r="T450" s="2">
        <v>104702.20653527018</v>
      </c>
      <c r="U450" s="21">
        <f t="shared" ref="U450:U451" ca="1" si="988">T450/T$655</f>
        <v>1.0539783218311755E-3</v>
      </c>
      <c r="V450" s="22">
        <f t="shared" ref="V450:V451" ca="1" si="989">U450*V$685</f>
        <v>3125.2959070636884</v>
      </c>
      <c r="W450" s="2">
        <v>0</v>
      </c>
      <c r="X450" s="21">
        <f t="shared" ref="X450:X451" ca="1" si="990">W450/W$655</f>
        <v>0</v>
      </c>
      <c r="Y450" s="22">
        <f t="shared" ref="Y450:Y451" ca="1" si="991">X450*Y$685</f>
        <v>0</v>
      </c>
      <c r="Z450" s="2">
        <v>79986.247138271079</v>
      </c>
      <c r="AA450" s="21">
        <f t="shared" ref="AA450:AA451" ca="1" si="992">Z450/Z$655</f>
        <v>6.9341863514378436E-4</v>
      </c>
      <c r="AB450" s="22">
        <f t="shared" ref="AB450:AB451" ca="1" si="993">AA450*AB$685</f>
        <v>2135.0247996993135</v>
      </c>
      <c r="AC450" s="2">
        <v>0</v>
      </c>
      <c r="AD450" s="21">
        <f t="shared" ref="AD450:AD451" ca="1" si="994">AC450/AC$655</f>
        <v>0</v>
      </c>
      <c r="AE450" s="22">
        <f t="shared" ref="AE450:AE451" ca="1" si="995">AD450*AE$685</f>
        <v>0</v>
      </c>
      <c r="AF450" s="2">
        <v>0</v>
      </c>
      <c r="AG450" s="21">
        <f t="shared" ref="AG450:AG451" ca="1" si="996">AF450/AF$655</f>
        <v>0</v>
      </c>
      <c r="AH450" s="22">
        <f t="shared" ref="AH450:AH451" ca="1" si="997">AG450*AH$685</f>
        <v>0</v>
      </c>
      <c r="AI450" s="2">
        <v>113226.52265073833</v>
      </c>
      <c r="AJ450" s="21">
        <f t="shared" ref="AJ450:AJ451" ca="1" si="998">AI450/AI$655</f>
        <v>6.1149910885177855E-4</v>
      </c>
      <c r="AK450" s="22">
        <f t="shared" ref="AK450:AK451" ca="1" si="999">AJ450*AK$685</f>
        <v>1988.2591199156163</v>
      </c>
      <c r="AL450" s="2">
        <v>454204.98262273159</v>
      </c>
    </row>
    <row r="451" spans="1:38" ht="12.75" x14ac:dyDescent="0.2">
      <c r="A451" s="8" t="s">
        <v>16</v>
      </c>
      <c r="B451" s="8" t="s">
        <v>17</v>
      </c>
      <c r="C451" s="8" t="s">
        <v>18</v>
      </c>
      <c r="D451" s="8" t="s">
        <v>50</v>
      </c>
      <c r="E451" s="8" t="s">
        <v>147</v>
      </c>
      <c r="F451" s="8" t="s">
        <v>26</v>
      </c>
      <c r="G451" s="8" t="s">
        <v>811</v>
      </c>
      <c r="H451" s="20">
        <v>0</v>
      </c>
      <c r="I451" s="21">
        <f t="shared" si="980"/>
        <v>0</v>
      </c>
      <c r="J451" s="22">
        <f t="shared" si="981"/>
        <v>0</v>
      </c>
      <c r="K451" s="2">
        <v>0</v>
      </c>
      <c r="L451" s="21">
        <f t="shared" ca="1" si="982"/>
        <v>0</v>
      </c>
      <c r="M451" s="22">
        <f t="shared" ca="1" si="983"/>
        <v>0</v>
      </c>
      <c r="N451" s="2">
        <v>0</v>
      </c>
      <c r="O451" s="21">
        <f t="shared" ca="1" si="984"/>
        <v>0</v>
      </c>
      <c r="P451" s="22">
        <f t="shared" ca="1" si="985"/>
        <v>0</v>
      </c>
      <c r="Q451" s="2">
        <v>0</v>
      </c>
      <c r="R451" s="21">
        <f t="shared" ca="1" si="986"/>
        <v>0</v>
      </c>
      <c r="S451" s="22">
        <f t="shared" ca="1" si="987"/>
        <v>0</v>
      </c>
      <c r="T451" s="2">
        <v>0</v>
      </c>
      <c r="U451" s="21">
        <f t="shared" ca="1" si="988"/>
        <v>0</v>
      </c>
      <c r="V451" s="22">
        <f t="shared" ca="1" si="989"/>
        <v>0</v>
      </c>
      <c r="W451" s="2">
        <v>0</v>
      </c>
      <c r="X451" s="21">
        <f t="shared" ca="1" si="990"/>
        <v>0</v>
      </c>
      <c r="Y451" s="22">
        <f t="shared" ca="1" si="991"/>
        <v>0</v>
      </c>
      <c r="Z451" s="2">
        <v>55098.679393085236</v>
      </c>
      <c r="AA451" s="21">
        <f t="shared" ca="1" si="992"/>
        <v>4.7766275365977826E-4</v>
      </c>
      <c r="AB451" s="22">
        <f t="shared" ca="1" si="993"/>
        <v>1470.7159185948683</v>
      </c>
      <c r="AC451" s="2">
        <v>0</v>
      </c>
      <c r="AD451" s="21">
        <f t="shared" ca="1" si="994"/>
        <v>0</v>
      </c>
      <c r="AE451" s="22">
        <f t="shared" ca="1" si="995"/>
        <v>0</v>
      </c>
      <c r="AF451" s="2">
        <v>0</v>
      </c>
      <c r="AG451" s="21">
        <f t="shared" ca="1" si="996"/>
        <v>0</v>
      </c>
      <c r="AH451" s="22">
        <f t="shared" ca="1" si="997"/>
        <v>0</v>
      </c>
      <c r="AI451" s="2">
        <v>0</v>
      </c>
      <c r="AJ451" s="21">
        <f t="shared" ca="1" si="998"/>
        <v>0</v>
      </c>
      <c r="AK451" s="22">
        <f t="shared" ca="1" si="999"/>
        <v>0</v>
      </c>
      <c r="AL451" s="2">
        <v>55098.679393085236</v>
      </c>
    </row>
    <row r="452" spans="1:38" ht="12.75" x14ac:dyDescent="0.2">
      <c r="A452" s="8" t="s">
        <v>16</v>
      </c>
      <c r="B452" s="8" t="s">
        <v>17</v>
      </c>
      <c r="C452" s="8" t="s">
        <v>18</v>
      </c>
      <c r="D452" s="8" t="s">
        <v>50</v>
      </c>
      <c r="E452" s="8" t="s">
        <v>147</v>
      </c>
      <c r="F452" s="8" t="s">
        <v>38</v>
      </c>
      <c r="G452" s="8" t="s">
        <v>812</v>
      </c>
      <c r="H452" s="20">
        <v>110000</v>
      </c>
      <c r="I452" s="21">
        <f>H452/H$656</f>
        <v>5.1389225769565621E-3</v>
      </c>
      <c r="J452" s="22">
        <f>I452*J$686</f>
        <v>200789.04668382023</v>
      </c>
      <c r="K452" s="2">
        <v>110000</v>
      </c>
      <c r="L452" s="21">
        <f ca="1">K452/K$656</f>
        <v>8.1077548440717309E-3</v>
      </c>
      <c r="M452" s="22">
        <f ca="1">L452*M$686</f>
        <v>309892.53817262448</v>
      </c>
      <c r="N452" s="2">
        <v>267618.36926210683</v>
      </c>
      <c r="O452" s="21">
        <f ca="1">N452/N$656</f>
        <v>1.8003467570232003E-2</v>
      </c>
      <c r="P452" s="22">
        <f ca="1">O452*P$686</f>
        <v>706015.16919639171</v>
      </c>
      <c r="Q452" s="2">
        <v>110000</v>
      </c>
      <c r="R452" s="21">
        <f ca="1">Q452/Q$656</f>
        <v>7.7883238784032484E-3</v>
      </c>
      <c r="S452" s="22">
        <f ca="1">R452*S$686</f>
        <v>312447.82703386992</v>
      </c>
      <c r="T452" s="2">
        <v>110000</v>
      </c>
      <c r="U452" s="21">
        <f ca="1">T452/T$656</f>
        <v>1.1678111563947742E-2</v>
      </c>
      <c r="V452" s="22">
        <f ca="1">U452*V$686</f>
        <v>478334.67796968739</v>
      </c>
      <c r="W452" s="2">
        <v>110000</v>
      </c>
      <c r="X452" s="21">
        <f ca="1">W452/W$656</f>
        <v>6.4736488667308427E-3</v>
      </c>
      <c r="Y452" s="22">
        <f ca="1">X452*Y$686</f>
        <v>270463.43440898764</v>
      </c>
      <c r="Z452" s="2">
        <v>110000</v>
      </c>
      <c r="AA452" s="21">
        <f ca="1">Z452/Z$656</f>
        <v>2.7079235656573227E-3</v>
      </c>
      <c r="AB452" s="22">
        <f ca="1">AA452*AB$686</f>
        <v>115171.12226081292</v>
      </c>
      <c r="AC452" s="2">
        <v>110000</v>
      </c>
      <c r="AD452" s="21">
        <f ca="1">AC452/AC$656</f>
        <v>1.0072694356043924E-2</v>
      </c>
      <c r="AE452" s="22">
        <f ca="1">AD452*AE$686</f>
        <v>436543.00849530142</v>
      </c>
      <c r="AF452" s="2">
        <v>110000</v>
      </c>
      <c r="AG452" s="21">
        <f ca="1">AF452/AF$656</f>
        <v>5.466023241393783E-3</v>
      </c>
      <c r="AH452" s="22">
        <f ca="1">AG452*AH$686</f>
        <v>241157.42228501348</v>
      </c>
      <c r="AI452" s="2">
        <v>110000</v>
      </c>
      <c r="AJ452" s="21">
        <f ca="1">AI452/AI$656</f>
        <v>2.7575118540717623E-3</v>
      </c>
      <c r="AK452" s="22">
        <f ca="1">AJ452*AK$686</f>
        <v>123849.51924669763</v>
      </c>
      <c r="AL452" s="2">
        <v>1257618.3692621067</v>
      </c>
    </row>
    <row r="453" spans="1:38" ht="12.75" x14ac:dyDescent="0.2">
      <c r="A453" s="8" t="s">
        <v>16</v>
      </c>
      <c r="B453" s="8" t="s">
        <v>17</v>
      </c>
      <c r="C453" s="8" t="s">
        <v>18</v>
      </c>
      <c r="D453" s="8" t="s">
        <v>50</v>
      </c>
      <c r="E453" s="8" t="s">
        <v>147</v>
      </c>
      <c r="F453" s="8" t="s">
        <v>27</v>
      </c>
      <c r="G453" s="8" t="s">
        <v>813</v>
      </c>
      <c r="H453" s="20">
        <v>54563.895949498285</v>
      </c>
      <c r="I453" s="21">
        <f t="shared" ref="I453:I454" si="1000">H453/H$657</f>
        <v>1.0698122539050938E-3</v>
      </c>
      <c r="J453" s="22">
        <f t="shared" ref="J453:J454" si="1001">I453*J$687</f>
        <v>11097.142183324715</v>
      </c>
      <c r="K453" s="2">
        <v>0</v>
      </c>
      <c r="L453" s="21">
        <f t="shared" ref="L453:L454" ca="1" si="1002">K453/K$657</f>
        <v>0</v>
      </c>
      <c r="M453" s="22">
        <f t="shared" ref="M453:M454" ca="1" si="1003">L453*M$687</f>
        <v>0</v>
      </c>
      <c r="N453" s="2">
        <v>0</v>
      </c>
      <c r="O453" s="21">
        <f t="shared" ref="O453:O454" ca="1" si="1004">N453/N$657</f>
        <v>0</v>
      </c>
      <c r="P453" s="22">
        <f t="shared" ref="P453:P454" ca="1" si="1005">O453*P$687</f>
        <v>0</v>
      </c>
      <c r="Q453" s="2">
        <v>0</v>
      </c>
      <c r="R453" s="21">
        <f t="shared" ref="R453:R454" ca="1" si="1006">Q453/Q$657</f>
        <v>0</v>
      </c>
      <c r="S453" s="22">
        <f t="shared" ref="S453:S454" ca="1" si="1007">R453*S$687</f>
        <v>0</v>
      </c>
      <c r="T453" s="2">
        <v>0</v>
      </c>
      <c r="U453" s="21">
        <f t="shared" ref="U453:U454" ca="1" si="1008">T453/T$657</f>
        <v>0</v>
      </c>
      <c r="V453" s="22">
        <f t="shared" ref="V453:V454" ca="1" si="1009">U453*V$687</f>
        <v>0</v>
      </c>
      <c r="W453" s="2">
        <v>662577.48282728449</v>
      </c>
      <c r="X453" s="21">
        <f t="shared" ref="X453:X454" ca="1" si="1010">W453/W$657</f>
        <v>1.6908418380999064E-2</v>
      </c>
      <c r="Y453" s="22">
        <f t="shared" ref="Y453:Y454" ca="1" si="1011">X453*Y$687</f>
        <v>290290.3956142856</v>
      </c>
      <c r="Z453" s="2">
        <v>0</v>
      </c>
      <c r="AA453" s="21">
        <f t="shared" ref="AA453:AA454" ca="1" si="1012">Z453/Z$657</f>
        <v>0</v>
      </c>
      <c r="AB453" s="22">
        <f t="shared" ref="AB453:AB454" ca="1" si="1013">AA453*AB$687</f>
        <v>0</v>
      </c>
      <c r="AC453" s="2">
        <v>0</v>
      </c>
      <c r="AD453" s="21">
        <f t="shared" ref="AD453:AD454" ca="1" si="1014">AC453/AC$657</f>
        <v>0</v>
      </c>
      <c r="AE453" s="22">
        <f t="shared" ref="AE453:AE454" ca="1" si="1015">AD453*AE$687</f>
        <v>0</v>
      </c>
      <c r="AF453" s="2">
        <v>0</v>
      </c>
      <c r="AG453" s="21">
        <f t="shared" ref="AG453:AG454" ca="1" si="1016">AF453/AF$657</f>
        <v>0</v>
      </c>
      <c r="AH453" s="22">
        <f t="shared" ref="AH453:AH454" ca="1" si="1017">AG453*AH$687</f>
        <v>0</v>
      </c>
      <c r="AI453" s="2">
        <v>0</v>
      </c>
      <c r="AJ453" s="21">
        <f t="shared" ref="AJ453:AJ454" ca="1" si="1018">AI453/AI$657</f>
        <v>0</v>
      </c>
      <c r="AK453" s="22">
        <f t="shared" ref="AK453:AK454" ca="1" si="1019">AJ453*AK$687</f>
        <v>0</v>
      </c>
      <c r="AL453" s="2">
        <v>717141.37877678277</v>
      </c>
    </row>
    <row r="454" spans="1:38" ht="12.75" x14ac:dyDescent="0.2">
      <c r="A454" s="8" t="s">
        <v>16</v>
      </c>
      <c r="B454" s="8" t="s">
        <v>17</v>
      </c>
      <c r="C454" s="8" t="s">
        <v>18</v>
      </c>
      <c r="D454" s="8" t="s">
        <v>50</v>
      </c>
      <c r="E454" s="8" t="s">
        <v>147</v>
      </c>
      <c r="F454" s="8" t="s">
        <v>27</v>
      </c>
      <c r="G454" s="8" t="s">
        <v>814</v>
      </c>
      <c r="H454" s="20">
        <v>728463.88328811899</v>
      </c>
      <c r="I454" s="21">
        <f t="shared" si="1000"/>
        <v>1.4282696924541835E-2</v>
      </c>
      <c r="J454" s="22">
        <f t="shared" si="1001"/>
        <v>148154.14382703087</v>
      </c>
      <c r="K454" s="2">
        <v>235608.55089013383</v>
      </c>
      <c r="L454" s="21">
        <f t="shared" ca="1" si="1002"/>
        <v>6.0322227564067171E-3</v>
      </c>
      <c r="M454" s="22">
        <f t="shared" ca="1" si="1003"/>
        <v>94745.402302417162</v>
      </c>
      <c r="N454" s="2">
        <v>387552.3014242138</v>
      </c>
      <c r="O454" s="21">
        <f t="shared" ca="1" si="1004"/>
        <v>7.0069941190903581E-3</v>
      </c>
      <c r="P454" s="22">
        <f t="shared" ca="1" si="1005"/>
        <v>112917.14455450588</v>
      </c>
      <c r="Q454" s="2">
        <v>532215.81802368176</v>
      </c>
      <c r="R454" s="21">
        <f t="shared" ca="1" si="1006"/>
        <v>9.6360710420931531E-3</v>
      </c>
      <c r="S454" s="22">
        <f t="shared" ca="1" si="1007"/>
        <v>158856.05064798112</v>
      </c>
      <c r="T454" s="2">
        <v>1446677.4209269732</v>
      </c>
      <c r="U454" s="21">
        <f t="shared" ca="1" si="1008"/>
        <v>3.739579269174316E-2</v>
      </c>
      <c r="V454" s="22">
        <f t="shared" ca="1" si="1009"/>
        <v>629436.97880241449</v>
      </c>
      <c r="W454" s="2">
        <v>200000</v>
      </c>
      <c r="X454" s="21">
        <f t="shared" ca="1" si="1010"/>
        <v>5.1038312708271182E-3</v>
      </c>
      <c r="Y454" s="22">
        <f t="shared" ca="1" si="1011"/>
        <v>87624.588259651486</v>
      </c>
      <c r="Z454" s="2">
        <v>200000</v>
      </c>
      <c r="AA454" s="21">
        <f t="shared" ca="1" si="1012"/>
        <v>4.1233064650794387E-3</v>
      </c>
      <c r="AB454" s="22">
        <f t="shared" ca="1" si="1013"/>
        <v>72064.781598327318</v>
      </c>
      <c r="AC454" s="2">
        <v>713424.68167320942</v>
      </c>
      <c r="AD454" s="21">
        <f t="shared" ca="1" si="1014"/>
        <v>1.2988565048800473E-2</v>
      </c>
      <c r="AE454" s="22">
        <f t="shared" ca="1" si="1015"/>
        <v>231319.80507549088</v>
      </c>
      <c r="AF454" s="2">
        <v>200000</v>
      </c>
      <c r="AG454" s="21">
        <f t="shared" ca="1" si="1016"/>
        <v>4.0018013134842639E-3</v>
      </c>
      <c r="AH454" s="22">
        <f t="shared" ca="1" si="1017"/>
        <v>72552.92809513041</v>
      </c>
      <c r="AI454" s="2">
        <v>200000</v>
      </c>
      <c r="AJ454" s="21">
        <f t="shared" ca="1" si="1018"/>
        <v>3.6040361591800464E-3</v>
      </c>
      <c r="AK454" s="22">
        <f t="shared" ca="1" si="1019"/>
        <v>66517.564503607005</v>
      </c>
      <c r="AL454" s="2">
        <v>4843942.6562263314</v>
      </c>
    </row>
    <row r="455" spans="1:38" ht="12.75" x14ac:dyDescent="0.2">
      <c r="A455" s="8" t="s">
        <v>16</v>
      </c>
      <c r="B455" s="8" t="s">
        <v>17</v>
      </c>
      <c r="C455" s="8" t="s">
        <v>18</v>
      </c>
      <c r="D455" s="8" t="s">
        <v>50</v>
      </c>
      <c r="E455" s="8" t="s">
        <v>147</v>
      </c>
      <c r="F455" s="8" t="s">
        <v>28</v>
      </c>
      <c r="G455" s="8" t="s">
        <v>815</v>
      </c>
      <c r="H455" s="20">
        <v>1042993.3113217748</v>
      </c>
      <c r="I455" s="21">
        <f>H455/H$669</f>
        <v>0.12275665539500598</v>
      </c>
      <c r="J455" s="22">
        <f>I455*J$699</f>
        <v>1368118.7506510583</v>
      </c>
      <c r="K455" s="2">
        <v>277878.03613169189</v>
      </c>
      <c r="L455" s="21">
        <f ca="1">K455/K$669</f>
        <v>3.8304980833965337E-2</v>
      </c>
      <c r="M455" s="22">
        <f ca="1">L455*M$699</f>
        <v>181554.99867330468</v>
      </c>
      <c r="N455" s="2">
        <v>130409.15381778078</v>
      </c>
      <c r="O455" s="21">
        <f ca="1">N455/N$669</f>
        <v>4.6237109537176297E-3</v>
      </c>
      <c r="P455" s="22">
        <f ca="1">O455*P$699</f>
        <v>22484.90199990468</v>
      </c>
      <c r="Q455" s="2">
        <v>80000</v>
      </c>
      <c r="R455" s="21">
        <f ca="1">Q455/Q$669</f>
        <v>2.1163582783795165E-3</v>
      </c>
      <c r="S455" s="22">
        <f ca="1">R455*S$699</f>
        <v>10528.467163116711</v>
      </c>
      <c r="T455" s="2">
        <v>80000</v>
      </c>
      <c r="U455" s="21">
        <f ca="1">T455/T$669</f>
        <v>2.8023745617352003E-3</v>
      </c>
      <c r="V455" s="22">
        <f ca="1">U455*V$699</f>
        <v>14234.030099250209</v>
      </c>
      <c r="W455" s="2">
        <v>92651.000777848705</v>
      </c>
      <c r="X455" s="21">
        <f ca="1">W455/W$669</f>
        <v>3.3215637695317951E-3</v>
      </c>
      <c r="Y455" s="22">
        <f ca="1">X455*Y$699</f>
        <v>17208.557369251062</v>
      </c>
      <c r="Z455" s="2">
        <v>906719.75037190062</v>
      </c>
      <c r="AA455" s="21">
        <f ca="1">Z455/Z$669</f>
        <v>3.0820620377859258E-2</v>
      </c>
      <c r="AB455" s="22">
        <f ca="1">AA455*AB$699</f>
        <v>162551.5159693702</v>
      </c>
      <c r="AC455" s="2">
        <v>80000</v>
      </c>
      <c r="AD455" s="21">
        <f ca="1">AC455/AC$669</f>
        <v>2.5367284231308271E-3</v>
      </c>
      <c r="AE455" s="22">
        <f ca="1">AD455*AE$699</f>
        <v>13633.200014670327</v>
      </c>
      <c r="AF455" s="2">
        <v>80000</v>
      </c>
      <c r="AG455" s="21">
        <f ca="1">AF455/AF$669</f>
        <v>1.9930586794431526E-3</v>
      </c>
      <c r="AH455" s="22">
        <f ca="1">AG455*AH$699</f>
        <v>10904.146927231663</v>
      </c>
      <c r="AI455" s="2">
        <v>80000</v>
      </c>
      <c r="AJ455" s="21">
        <f ca="1">AI455/AI$669</f>
        <v>1.8286555661561066E-3</v>
      </c>
      <c r="AK455" s="22">
        <f ca="1">AJ455*AK$699</f>
        <v>10184.771729993867</v>
      </c>
      <c r="AL455" s="2">
        <v>2850651.2524209968</v>
      </c>
    </row>
    <row r="456" spans="1:38" ht="12.75" x14ac:dyDescent="0.2">
      <c r="A456" s="8" t="s">
        <v>16</v>
      </c>
      <c r="B456" s="8" t="s">
        <v>17</v>
      </c>
      <c r="C456" s="8" t="s">
        <v>18</v>
      </c>
      <c r="D456" s="8" t="s">
        <v>50</v>
      </c>
      <c r="E456" s="8" t="s">
        <v>147</v>
      </c>
      <c r="F456" s="8" t="s">
        <v>34</v>
      </c>
      <c r="G456" s="8" t="s">
        <v>816</v>
      </c>
      <c r="H456" s="20">
        <v>35000</v>
      </c>
      <c r="I456" s="21">
        <f>H456/H$653</f>
        <v>1.5643003453065529E-2</v>
      </c>
      <c r="J456" s="22">
        <f>I456*J$683</f>
        <v>32962.405014182281</v>
      </c>
      <c r="K456" s="2">
        <v>35000</v>
      </c>
      <c r="L456" s="21">
        <f ca="1">K456/K$653</f>
        <v>1.0494910979478729E-2</v>
      </c>
      <c r="M456" s="22">
        <f ca="1">L456*M$683</f>
        <v>16169.761223946385</v>
      </c>
      <c r="N456" s="2">
        <v>35000</v>
      </c>
      <c r="O456" s="21">
        <f ca="1">N456/N$653</f>
        <v>3.1339078009977755E-3</v>
      </c>
      <c r="P456" s="22">
        <f ca="1">O456*P$683</f>
        <v>4954.0276112812626</v>
      </c>
      <c r="Q456" s="2">
        <v>35000</v>
      </c>
      <c r="R456" s="21">
        <f ca="1">Q456/Q$653</f>
        <v>2.67540219316823E-3</v>
      </c>
      <c r="S456" s="22">
        <f ca="1">R456*S$683</f>
        <v>4326.5021232438921</v>
      </c>
      <c r="T456" s="2">
        <v>35000</v>
      </c>
      <c r="U456" s="21">
        <f ca="1">T456/T$653</f>
        <v>2.6541234438608482E-3</v>
      </c>
      <c r="V456" s="22">
        <f ca="1">U456*V$683</f>
        <v>4382.225314916167</v>
      </c>
      <c r="W456" s="2">
        <v>35000</v>
      </c>
      <c r="X456" s="21">
        <f ca="1">W456/W$653</f>
        <v>3.1469613517552124E-3</v>
      </c>
      <c r="Y456" s="22">
        <f ca="1">X456*Y$683</f>
        <v>5299.8693632097729</v>
      </c>
      <c r="Z456" s="2">
        <v>35000</v>
      </c>
      <c r="AA456" s="21">
        <f ca="1">Z456/Z$653</f>
        <v>3.1320095769443246E-3</v>
      </c>
      <c r="AB456" s="22">
        <f ca="1">AA456*AB$683</f>
        <v>5369.6331343877928</v>
      </c>
      <c r="AC456" s="2">
        <v>35000</v>
      </c>
      <c r="AD456" s="21">
        <f ca="1">AC456/AC$653</f>
        <v>2.6962321728803765E-3</v>
      </c>
      <c r="AE456" s="22">
        <f ca="1">AD456*AE$683</f>
        <v>4710.3481273702146</v>
      </c>
      <c r="AF456" s="2">
        <v>35000</v>
      </c>
      <c r="AG456" s="21">
        <f ca="1">AF456/AF$653</f>
        <v>2.9271574985641606E-3</v>
      </c>
      <c r="AH456" s="22">
        <f ca="1">AG456*AH$683</f>
        <v>5205.8252655458209</v>
      </c>
      <c r="AI456" s="2">
        <v>35000</v>
      </c>
      <c r="AJ456" s="21">
        <f ca="1">AI456/AI$653</f>
        <v>2.5746472199480457E-3</v>
      </c>
      <c r="AK456" s="22">
        <f ca="1">AJ456*AK$683</f>
        <v>4661.3209086375336</v>
      </c>
      <c r="AL456" s="2">
        <v>350000</v>
      </c>
    </row>
    <row r="457" spans="1:38" ht="12.75" x14ac:dyDescent="0.2">
      <c r="A457" s="8" t="s">
        <v>16</v>
      </c>
      <c r="B457" s="8" t="s">
        <v>17</v>
      </c>
      <c r="C457" s="8" t="s">
        <v>18</v>
      </c>
      <c r="D457" s="8" t="s">
        <v>50</v>
      </c>
      <c r="E457" s="8" t="s">
        <v>148</v>
      </c>
      <c r="F457" s="8" t="s">
        <v>21</v>
      </c>
      <c r="G457" s="8" t="s">
        <v>817</v>
      </c>
      <c r="H457" s="20">
        <v>120000</v>
      </c>
      <c r="I457" s="21">
        <f>H457/H$645</f>
        <v>7.9421959755819598E-3</v>
      </c>
      <c r="J457" s="22">
        <f>I457*J$675</f>
        <v>1121.4380717521726</v>
      </c>
      <c r="K457" s="2">
        <v>120000</v>
      </c>
      <c r="L457" s="21">
        <f ca="1">K457/K$645</f>
        <v>7.8436833170144986E-3</v>
      </c>
      <c r="M457" s="22">
        <f ca="1">L457*M$675</f>
        <v>3384.2356039590754</v>
      </c>
      <c r="N457" s="2">
        <v>120000</v>
      </c>
      <c r="O457" s="21">
        <f ca="1">N457/N$645</f>
        <v>5.5237639526688805E-3</v>
      </c>
      <c r="P457" s="22">
        <f ca="1">O457*P$675</f>
        <v>2445.2485580889966</v>
      </c>
      <c r="Q457" s="2">
        <v>120000</v>
      </c>
      <c r="R457" s="21">
        <f ca="1">Q457/Q$645</f>
        <v>4.7529999977078304E-3</v>
      </c>
      <c r="S457" s="22">
        <f ca="1">R457*S$675</f>
        <v>2152.4414401119689</v>
      </c>
      <c r="T457" s="2">
        <v>120000</v>
      </c>
      <c r="U457" s="21">
        <f ca="1">T457/T$645</f>
        <v>5.8136282524799661E-3</v>
      </c>
      <c r="V457" s="22">
        <f ca="1">U457*V$675</f>
        <v>2688.0449696478609</v>
      </c>
      <c r="W457" s="2">
        <v>120000</v>
      </c>
      <c r="X457" s="21">
        <f ca="1">W457/W$645</f>
        <v>5.8054108707937882E-3</v>
      </c>
      <c r="Y457" s="22">
        <f ca="1">X457*Y$675</f>
        <v>2737.9304586511539</v>
      </c>
      <c r="Z457" s="2">
        <v>120000</v>
      </c>
      <c r="AA457" s="21">
        <f ca="1">Z457/Z$645</f>
        <v>5.8328271782350748E-3</v>
      </c>
      <c r="AB457" s="22">
        <f ca="1">AA457*AB$675</f>
        <v>2800.3759085164465</v>
      </c>
      <c r="AC457" s="2">
        <v>120000</v>
      </c>
      <c r="AD457" s="21">
        <f ca="1">AC457/AC$645</f>
        <v>5.0529832637642219E-3</v>
      </c>
      <c r="AE457" s="22">
        <f ca="1">AD457*AE$675</f>
        <v>2472.0615025228344</v>
      </c>
      <c r="AF457" s="2">
        <v>120000</v>
      </c>
      <c r="AG457" s="21">
        <f ca="1">AF457/AF$645</f>
        <v>5.5014146812901012E-3</v>
      </c>
      <c r="AH457" s="22">
        <f ca="1">AG457*AH$675</f>
        <v>2739.892769692864</v>
      </c>
      <c r="AI457" s="2">
        <v>120000</v>
      </c>
      <c r="AJ457" s="21">
        <f ca="1">AI457/AI$645</f>
        <v>4.7065728382207827E-3</v>
      </c>
      <c r="AK457" s="22">
        <f ca="1">AJ457*AK$675</f>
        <v>2386.2269693534445</v>
      </c>
      <c r="AL457" s="2">
        <v>1200000</v>
      </c>
    </row>
    <row r="458" spans="1:38" ht="12.75" x14ac:dyDescent="0.2">
      <c r="A458" s="8" t="s">
        <v>16</v>
      </c>
      <c r="B458" s="8" t="s">
        <v>17</v>
      </c>
      <c r="C458" s="8" t="s">
        <v>18</v>
      </c>
      <c r="D458" s="8" t="s">
        <v>50</v>
      </c>
      <c r="E458" s="8" t="s">
        <v>148</v>
      </c>
      <c r="F458" s="8" t="s">
        <v>24</v>
      </c>
      <c r="G458" s="8" t="s">
        <v>818</v>
      </c>
      <c r="H458" s="20">
        <v>600000</v>
      </c>
      <c r="I458" s="21">
        <f t="shared" ref="I458:I459" si="1020">H458/H$646</f>
        <v>7.3073508979134881E-3</v>
      </c>
      <c r="J458" s="22">
        <f t="shared" ref="J458:J459" si="1021">I458*J$676</f>
        <v>15722.788485986577</v>
      </c>
      <c r="K458" s="2">
        <v>698121.34023059101</v>
      </c>
      <c r="L458" s="21">
        <f t="shared" ref="L458:L459" ca="1" si="1022">K458/K$646</f>
        <v>1.1053871045979716E-2</v>
      </c>
      <c r="M458" s="22">
        <f t="shared" ref="M458:M459" ca="1" si="1023">L458*M$676</f>
        <v>42977.597643254048</v>
      </c>
      <c r="N458" s="2">
        <v>600000</v>
      </c>
      <c r="O458" s="21">
        <f t="shared" ref="O458:O459" ca="1" si="1024">N458/N$646</f>
        <v>6.4006957576686436E-3</v>
      </c>
      <c r="P458" s="22">
        <f t="shared" ref="P458:P459" ca="1" si="1025">O458*P$676</f>
        <v>108742.07085775635</v>
      </c>
      <c r="Q458" s="2">
        <v>600000</v>
      </c>
      <c r="R458" s="21">
        <f t="shared" ref="R458:R459" ca="1" si="1026">Q458/Q$646</f>
        <v>5.3945894656933164E-3</v>
      </c>
      <c r="S458" s="22">
        <f t="shared" ref="S458:S459" ca="1" si="1027">R458*S$676</f>
        <v>93757.16101202766</v>
      </c>
      <c r="T458" s="2">
        <v>600000</v>
      </c>
      <c r="U458" s="21">
        <f t="shared" ref="U458:U459" ca="1" si="1028">T458/T$646</f>
        <v>7.1516182229779453E-3</v>
      </c>
      <c r="V458" s="22">
        <f t="shared" ref="V458:V459" ca="1" si="1029">U458*V$676</f>
        <v>126904.23421566657</v>
      </c>
      <c r="W458" s="2">
        <v>600000</v>
      </c>
      <c r="X458" s="21">
        <f t="shared" ref="X458:X459" ca="1" si="1030">W458/W$646</f>
        <v>6.8644503606550928E-3</v>
      </c>
      <c r="Y458" s="22">
        <f t="shared" ref="Y458:Y459" ca="1" si="1031">X458*Y$676</f>
        <v>124244.65975398228</v>
      </c>
      <c r="Z458" s="2">
        <v>600000</v>
      </c>
      <c r="AA458" s="21">
        <f t="shared" ref="AA458:AA459" ca="1" si="1032">Z458/Z$646</f>
        <v>5.1694858770374641E-3</v>
      </c>
      <c r="AB458" s="22">
        <f t="shared" ref="AB458:AB459" ca="1" si="1033">AA458*AB$676</f>
        <v>95250.462573854093</v>
      </c>
      <c r="AC458" s="2">
        <v>600000</v>
      </c>
      <c r="AD458" s="21">
        <f t="shared" ref="AD458:AD459" ca="1" si="1034">AC458/AC$646</f>
        <v>5.7666908194746371E-3</v>
      </c>
      <c r="AE458" s="22">
        <f t="shared" ref="AE458:AE459" ca="1" si="1035">AD458*AE$676</f>
        <v>108273.10506223234</v>
      </c>
      <c r="AF458" s="2">
        <v>600000</v>
      </c>
      <c r="AG458" s="21">
        <f t="shared" ref="AG458:AG459" ca="1" si="1036">AF458/AF$646</f>
        <v>6.3739108267901806E-3</v>
      </c>
      <c r="AH458" s="22">
        <f t="shared" ref="AH458:AH459" ca="1" si="1037">AG458*AH$676</f>
        <v>121828.16016684003</v>
      </c>
      <c r="AI458" s="2">
        <v>600000</v>
      </c>
      <c r="AJ458" s="21">
        <f t="shared" ref="AJ458:AJ459" ca="1" si="1038">AI458/AI$646</f>
        <v>4.8563793902986563E-3</v>
      </c>
      <c r="AK458" s="22">
        <f t="shared" ref="AK458:AK459" ca="1" si="1039">AJ458*AK$676</f>
        <v>94493.533128950032</v>
      </c>
      <c r="AL458" s="2">
        <v>6098121.3402305916</v>
      </c>
    </row>
    <row r="459" spans="1:38" ht="12.75" x14ac:dyDescent="0.2">
      <c r="A459" s="8" t="s">
        <v>16</v>
      </c>
      <c r="B459" s="8" t="s">
        <v>17</v>
      </c>
      <c r="C459" s="8" t="s">
        <v>18</v>
      </c>
      <c r="D459" s="8" t="s">
        <v>50</v>
      </c>
      <c r="E459" s="8" t="s">
        <v>148</v>
      </c>
      <c r="F459" s="8" t="s">
        <v>24</v>
      </c>
      <c r="G459" s="8" t="s">
        <v>819</v>
      </c>
      <c r="H459" s="20">
        <v>0</v>
      </c>
      <c r="I459" s="21">
        <f t="shared" si="1020"/>
        <v>0</v>
      </c>
      <c r="J459" s="22">
        <f t="shared" si="1021"/>
        <v>0</v>
      </c>
      <c r="K459" s="2">
        <v>0</v>
      </c>
      <c r="L459" s="21">
        <f t="shared" ca="1" si="1022"/>
        <v>0</v>
      </c>
      <c r="M459" s="22">
        <f t="shared" ca="1" si="1023"/>
        <v>0</v>
      </c>
      <c r="N459" s="2">
        <v>0</v>
      </c>
      <c r="O459" s="21">
        <f t="shared" ca="1" si="1024"/>
        <v>0</v>
      </c>
      <c r="P459" s="22">
        <f t="shared" ca="1" si="1025"/>
        <v>0</v>
      </c>
      <c r="Q459" s="2">
        <v>0</v>
      </c>
      <c r="R459" s="21">
        <f t="shared" ca="1" si="1026"/>
        <v>0</v>
      </c>
      <c r="S459" s="22">
        <f t="shared" ca="1" si="1027"/>
        <v>0</v>
      </c>
      <c r="T459" s="2">
        <v>0</v>
      </c>
      <c r="U459" s="21">
        <f t="shared" ca="1" si="1028"/>
        <v>0</v>
      </c>
      <c r="V459" s="22">
        <f t="shared" ca="1" si="1029"/>
        <v>0</v>
      </c>
      <c r="W459" s="2">
        <v>0</v>
      </c>
      <c r="X459" s="21">
        <f t="shared" ca="1" si="1030"/>
        <v>0</v>
      </c>
      <c r="Y459" s="22">
        <f t="shared" ca="1" si="1031"/>
        <v>0</v>
      </c>
      <c r="Z459" s="2">
        <v>0</v>
      </c>
      <c r="AA459" s="21">
        <f t="shared" ca="1" si="1032"/>
        <v>0</v>
      </c>
      <c r="AB459" s="22">
        <f t="shared" ca="1" si="1033"/>
        <v>0</v>
      </c>
      <c r="AC459" s="2">
        <v>0</v>
      </c>
      <c r="AD459" s="21">
        <f t="shared" ca="1" si="1034"/>
        <v>0</v>
      </c>
      <c r="AE459" s="22">
        <f t="shared" ca="1" si="1035"/>
        <v>0</v>
      </c>
      <c r="AF459" s="2">
        <v>0</v>
      </c>
      <c r="AG459" s="21">
        <f t="shared" ca="1" si="1036"/>
        <v>0</v>
      </c>
      <c r="AH459" s="22">
        <f t="shared" ca="1" si="1037"/>
        <v>0</v>
      </c>
      <c r="AI459" s="2">
        <v>0</v>
      </c>
      <c r="AJ459" s="21">
        <f t="shared" ca="1" si="1038"/>
        <v>0</v>
      </c>
      <c r="AK459" s="22">
        <f t="shared" ca="1" si="1039"/>
        <v>0</v>
      </c>
      <c r="AL459" s="2">
        <v>0</v>
      </c>
    </row>
    <row r="460" spans="1:38" ht="12.75" x14ac:dyDescent="0.2">
      <c r="A460" s="8" t="s">
        <v>16</v>
      </c>
      <c r="B460" s="8" t="s">
        <v>17</v>
      </c>
      <c r="C460" s="8" t="s">
        <v>18</v>
      </c>
      <c r="D460" s="8" t="s">
        <v>50</v>
      </c>
      <c r="E460" s="8" t="s">
        <v>148</v>
      </c>
      <c r="F460" s="23" t="s">
        <v>22</v>
      </c>
      <c r="G460" s="8" t="s">
        <v>820</v>
      </c>
      <c r="H460" s="20">
        <v>180000</v>
      </c>
      <c r="I460" s="21">
        <f t="shared" ref="I460:I461" si="1040">H460/H$650</f>
        <v>3.60068915316979E-3</v>
      </c>
      <c r="J460" s="22">
        <f t="shared" ref="J460:J461" si="1041">I460*J$680</f>
        <v>61732.281637516797</v>
      </c>
      <c r="K460" s="2">
        <v>180000</v>
      </c>
      <c r="L460" s="21">
        <f t="shared" ref="L460:L461" ca="1" si="1042">K460/K$650</f>
        <v>4.2373043479451049E-3</v>
      </c>
      <c r="M460" s="22">
        <f t="shared" ref="M460:M461" ca="1" si="1043">L460*M$680</f>
        <v>46806.797731575585</v>
      </c>
      <c r="N460" s="2">
        <v>180000</v>
      </c>
      <c r="O460" s="21">
        <f t="shared" ref="O460:O461" ca="1" si="1044">N460/N$650</f>
        <v>2.2716992054200896E-3</v>
      </c>
      <c r="P460" s="22">
        <f t="shared" ref="P460:P461" ca="1" si="1045">O460*P$680</f>
        <v>25746.456079872023</v>
      </c>
      <c r="Q460" s="2">
        <v>180000</v>
      </c>
      <c r="R460" s="21">
        <f t="shared" ref="R460:R461" ca="1" si="1046">Q460/Q$650</f>
        <v>2.858775485063126E-3</v>
      </c>
      <c r="S460" s="22">
        <f t="shared" ref="S460:S461" ca="1" si="1047">R460*S$680</f>
        <v>33145.32753619954</v>
      </c>
      <c r="T460" s="2">
        <v>180000</v>
      </c>
      <c r="U460" s="21">
        <f t="shared" ref="U460:U461" ca="1" si="1048">T460/T$650</f>
        <v>6.3179937378164902E-3</v>
      </c>
      <c r="V460" s="22">
        <f t="shared" ref="V460:V461" ca="1" si="1049">U460*V$680</f>
        <v>74790.631289854486</v>
      </c>
      <c r="W460" s="2">
        <v>180000</v>
      </c>
      <c r="X460" s="21">
        <f t="shared" ref="X460:X461" ca="1" si="1050">W460/W$650</f>
        <v>4.5212195995321808E-3</v>
      </c>
      <c r="Y460" s="22">
        <f t="shared" ref="Y460:Y461" ca="1" si="1051">X460*Y$680</f>
        <v>54591.343348651382</v>
      </c>
      <c r="Z460" s="2">
        <v>180000</v>
      </c>
      <c r="AA460" s="21">
        <f t="shared" ref="AA460:AA461" ca="1" si="1052">Z460/Z$650</f>
        <v>5.5084778734214666E-3</v>
      </c>
      <c r="AB460" s="22">
        <f t="shared" ref="AB460:AB461" ca="1" si="1053">AA460*AB$680</f>
        <v>67709.181972871142</v>
      </c>
      <c r="AC460" s="2">
        <v>180000</v>
      </c>
      <c r="AD460" s="21">
        <f t="shared" ref="AD460:AD461" ca="1" si="1054">AC460/AC$650</f>
        <v>5.6404524880430433E-3</v>
      </c>
      <c r="AE460" s="22">
        <f t="shared" ref="AE460:AE461" ca="1" si="1055">AD460*AE$680</f>
        <v>70648.685735852909</v>
      </c>
      <c r="AF460" s="2">
        <v>180000</v>
      </c>
      <c r="AG460" s="21">
        <f t="shared" ref="AG460:AG461" ca="1" si="1056">AF460/AF$650</f>
        <v>5.1054193625951327E-3</v>
      </c>
      <c r="AH460" s="22">
        <f t="shared" ref="AH460:AH461" ca="1" si="1057">AG460*AH$680</f>
        <v>65098.254062912318</v>
      </c>
      <c r="AI460" s="2">
        <v>180000</v>
      </c>
      <c r="AJ460" s="21">
        <f t="shared" ref="AJ460:AJ461" ca="1" si="1058">AI460/AI$650</f>
        <v>3.7975828385942868E-3</v>
      </c>
      <c r="AK460" s="22">
        <f t="shared" ref="AK460:AK461" ca="1" si="1059">AJ460*AK$680</f>
        <v>49293.874345901109</v>
      </c>
      <c r="AL460" s="2">
        <v>1800000</v>
      </c>
    </row>
    <row r="461" spans="1:38" ht="12.75" x14ac:dyDescent="0.2">
      <c r="A461" s="8" t="s">
        <v>16</v>
      </c>
      <c r="B461" s="8" t="s">
        <v>17</v>
      </c>
      <c r="C461" s="8" t="s">
        <v>18</v>
      </c>
      <c r="D461" s="8" t="s">
        <v>50</v>
      </c>
      <c r="E461" s="8" t="s">
        <v>148</v>
      </c>
      <c r="F461" s="23" t="s">
        <v>22</v>
      </c>
      <c r="G461" s="8" t="s">
        <v>821</v>
      </c>
      <c r="H461" s="20">
        <v>750000</v>
      </c>
      <c r="I461" s="21">
        <f t="shared" si="1040"/>
        <v>1.5002871471540792E-2</v>
      </c>
      <c r="J461" s="22">
        <f t="shared" si="1041"/>
        <v>257217.84015631999</v>
      </c>
      <c r="K461" s="2">
        <v>750000</v>
      </c>
      <c r="L461" s="21">
        <f t="shared" ca="1" si="1042"/>
        <v>1.7655434783104603E-2</v>
      </c>
      <c r="M461" s="22">
        <f t="shared" ca="1" si="1043"/>
        <v>195028.32388156492</v>
      </c>
      <c r="N461" s="2">
        <v>750000</v>
      </c>
      <c r="O461" s="21">
        <f t="shared" ca="1" si="1044"/>
        <v>9.4654133559170395E-3</v>
      </c>
      <c r="P461" s="22">
        <f t="shared" ca="1" si="1045"/>
        <v>107276.9003328001</v>
      </c>
      <c r="Q461" s="2">
        <v>750000</v>
      </c>
      <c r="R461" s="21">
        <f t="shared" ca="1" si="1046"/>
        <v>1.1911564521096358E-2</v>
      </c>
      <c r="S461" s="22">
        <f t="shared" ca="1" si="1047"/>
        <v>138105.53140083142</v>
      </c>
      <c r="T461" s="2">
        <v>750000</v>
      </c>
      <c r="U461" s="21">
        <f t="shared" ca="1" si="1048"/>
        <v>2.6324973907568709E-2</v>
      </c>
      <c r="V461" s="22">
        <f t="shared" ca="1" si="1049"/>
        <v>311627.63037439366</v>
      </c>
      <c r="W461" s="2">
        <v>750000</v>
      </c>
      <c r="X461" s="21">
        <f t="shared" ca="1" si="1050"/>
        <v>1.8838414998050754E-2</v>
      </c>
      <c r="Y461" s="22">
        <f t="shared" ca="1" si="1051"/>
        <v>227463.93061938079</v>
      </c>
      <c r="Z461" s="2">
        <v>750000</v>
      </c>
      <c r="AA461" s="21">
        <f t="shared" ca="1" si="1052"/>
        <v>2.2951991139256112E-2</v>
      </c>
      <c r="AB461" s="22">
        <f t="shared" ca="1" si="1053"/>
        <v>282121.59155362978</v>
      </c>
      <c r="AC461" s="2">
        <v>750000</v>
      </c>
      <c r="AD461" s="21">
        <f t="shared" ca="1" si="1054"/>
        <v>2.3501885366846012E-2</v>
      </c>
      <c r="AE461" s="22">
        <f t="shared" ca="1" si="1055"/>
        <v>294369.5238993871</v>
      </c>
      <c r="AF461" s="2">
        <v>750000</v>
      </c>
      <c r="AG461" s="21">
        <f t="shared" ca="1" si="1056"/>
        <v>2.1272580677479721E-2</v>
      </c>
      <c r="AH461" s="22">
        <f t="shared" ca="1" si="1057"/>
        <v>271242.72526213469</v>
      </c>
      <c r="AI461" s="2">
        <v>750000</v>
      </c>
      <c r="AJ461" s="21">
        <f t="shared" ca="1" si="1058"/>
        <v>1.5823261827476193E-2</v>
      </c>
      <c r="AK461" s="22">
        <f t="shared" ca="1" si="1059"/>
        <v>205391.14310792129</v>
      </c>
      <c r="AL461" s="2">
        <v>7500000</v>
      </c>
    </row>
    <row r="462" spans="1:38" ht="12.75" x14ac:dyDescent="0.2">
      <c r="A462" s="8" t="s">
        <v>16</v>
      </c>
      <c r="B462" s="8" t="s">
        <v>17</v>
      </c>
      <c r="C462" s="8" t="s">
        <v>18</v>
      </c>
      <c r="D462" s="8" t="s">
        <v>50</v>
      </c>
      <c r="E462" s="8" t="s">
        <v>148</v>
      </c>
      <c r="F462" s="8" t="s">
        <v>26</v>
      </c>
      <c r="G462" s="8" t="s">
        <v>822</v>
      </c>
      <c r="H462" s="20">
        <v>0</v>
      </c>
      <c r="I462" s="21">
        <f>H462/H$655</f>
        <v>0</v>
      </c>
      <c r="J462" s="22">
        <f>I462*J$685</f>
        <v>0</v>
      </c>
      <c r="K462" s="2">
        <v>24068.742731294169</v>
      </c>
      <c r="L462" s="21">
        <f ca="1">K462/K$655</f>
        <v>6.0624913359448292E-4</v>
      </c>
      <c r="M462" s="22">
        <f ca="1">L462*M$685</f>
        <v>1677.4974151472702</v>
      </c>
      <c r="N462" s="2">
        <v>0</v>
      </c>
      <c r="O462" s="21">
        <f ca="1">N462/N$655</f>
        <v>0</v>
      </c>
      <c r="P462" s="22">
        <f ca="1">O462*P$685</f>
        <v>0</v>
      </c>
      <c r="Q462" s="2">
        <v>0</v>
      </c>
      <c r="R462" s="21">
        <f ca="1">Q462/Q$655</f>
        <v>0</v>
      </c>
      <c r="S462" s="22">
        <f ca="1">R462*S$685</f>
        <v>0</v>
      </c>
      <c r="T462" s="2">
        <v>0</v>
      </c>
      <c r="U462" s="21">
        <f ca="1">T462/T$655</f>
        <v>0</v>
      </c>
      <c r="V462" s="22">
        <f ca="1">U462*V$685</f>
        <v>0</v>
      </c>
      <c r="W462" s="2">
        <v>140121.84405845078</v>
      </c>
      <c r="X462" s="21">
        <f ca="1">W462/W$655</f>
        <v>1.3070491186920801E-3</v>
      </c>
      <c r="Y462" s="22">
        <f ca="1">X462*Y$685</f>
        <v>3953.2251123930755</v>
      </c>
      <c r="Z462" s="2">
        <v>67875.184759597745</v>
      </c>
      <c r="AA462" s="21">
        <f ca="1">Z462/Z$655</f>
        <v>5.8842513132001666E-4</v>
      </c>
      <c r="AB462" s="22">
        <f ca="1">AA462*AB$685</f>
        <v>1811.7514939212144</v>
      </c>
      <c r="AC462" s="2">
        <v>0</v>
      </c>
      <c r="AD462" s="21">
        <f ca="1">AC462/AC$655</f>
        <v>0</v>
      </c>
      <c r="AE462" s="22">
        <f ca="1">AD462*AE$685</f>
        <v>0</v>
      </c>
      <c r="AF462" s="2">
        <v>0</v>
      </c>
      <c r="AG462" s="21">
        <f ca="1">AF462/AF$655</f>
        <v>0</v>
      </c>
      <c r="AH462" s="22">
        <f ca="1">AG462*AH$685</f>
        <v>0</v>
      </c>
      <c r="AI462" s="2">
        <v>0</v>
      </c>
      <c r="AJ462" s="21">
        <f ca="1">AI462/AI$655</f>
        <v>0</v>
      </c>
      <c r="AK462" s="22">
        <f ca="1">AJ462*AK$685</f>
        <v>0</v>
      </c>
      <c r="AL462" s="2">
        <v>232065.77154934267</v>
      </c>
    </row>
    <row r="463" spans="1:38" ht="12.75" x14ac:dyDescent="0.2">
      <c r="A463" s="8" t="s">
        <v>16</v>
      </c>
      <c r="B463" s="8" t="s">
        <v>17</v>
      </c>
      <c r="C463" s="8" t="s">
        <v>18</v>
      </c>
      <c r="D463" s="8" t="s">
        <v>50</v>
      </c>
      <c r="E463" s="8" t="s">
        <v>148</v>
      </c>
      <c r="F463" s="8" t="s">
        <v>27</v>
      </c>
      <c r="G463" s="8" t="s">
        <v>823</v>
      </c>
      <c r="H463" s="20">
        <v>874704.47307582945</v>
      </c>
      <c r="I463" s="21">
        <f>H463/H$657</f>
        <v>1.7149977060073273E-2</v>
      </c>
      <c r="J463" s="22">
        <f>I463*J$687</f>
        <v>177896.38619457593</v>
      </c>
      <c r="K463" s="2">
        <v>1232812.1497996913</v>
      </c>
      <c r="L463" s="21">
        <f ca="1">K463/K$657</f>
        <v>3.156335997272073E-2</v>
      </c>
      <c r="M463" s="22">
        <f ca="1">L463*M$687</f>
        <v>495751.4600161768</v>
      </c>
      <c r="N463" s="2">
        <v>300000</v>
      </c>
      <c r="O463" s="21">
        <f ca="1">N463/N$657</f>
        <v>5.4240375505502569E-3</v>
      </c>
      <c r="P463" s="22">
        <f ca="1">O463*P$687</f>
        <v>87407.92724456593</v>
      </c>
      <c r="Q463" s="2">
        <v>300000</v>
      </c>
      <c r="R463" s="21">
        <f ca="1">Q463/Q$657</f>
        <v>5.4316711655859025E-3</v>
      </c>
      <c r="S463" s="22">
        <f ca="1">R463*S$687</f>
        <v>89544.154045180549</v>
      </c>
      <c r="T463" s="2">
        <v>300000</v>
      </c>
      <c r="U463" s="21">
        <f ca="1">T463/T$657</f>
        <v>7.7548302373686246E-3</v>
      </c>
      <c r="V463" s="22">
        <f ca="1">U463*V$687</f>
        <v>130527.43542491244</v>
      </c>
      <c r="W463" s="2">
        <v>519317.37582653423</v>
      </c>
      <c r="X463" s="21">
        <f ca="1">W463/W$657</f>
        <v>1.3252541311136722E-2</v>
      </c>
      <c r="Y463" s="22">
        <f ca="1">X463*Y$687</f>
        <v>227524.85616441377</v>
      </c>
      <c r="Z463" s="2">
        <v>300000</v>
      </c>
      <c r="AA463" s="21">
        <f ca="1">Z463/Z$657</f>
        <v>6.184959697619158E-3</v>
      </c>
      <c r="AB463" s="22">
        <f ca="1">AA463*AB$687</f>
        <v>108097.17239749097</v>
      </c>
      <c r="AC463" s="2">
        <v>300000</v>
      </c>
      <c r="AD463" s="21">
        <f ca="1">AC463/AC$657</f>
        <v>5.4617812009271089E-3</v>
      </c>
      <c r="AE463" s="22">
        <f ca="1">AD463*AE$687</f>
        <v>97271.57372785527</v>
      </c>
      <c r="AF463" s="2">
        <v>300000</v>
      </c>
      <c r="AG463" s="21">
        <f ca="1">AF463/AF$657</f>
        <v>6.0027019702263949E-3</v>
      </c>
      <c r="AH463" s="22">
        <f ca="1">AG463*AH$687</f>
        <v>108829.39214269561</v>
      </c>
      <c r="AI463" s="2">
        <v>300000</v>
      </c>
      <c r="AJ463" s="21">
        <f ca="1">AI463/AI$657</f>
        <v>5.4060542387700701E-3</v>
      </c>
      <c r="AK463" s="22">
        <f ca="1">AJ463*AK$687</f>
        <v>99776.346755410515</v>
      </c>
      <c r="AL463" s="2">
        <v>4726833.9987020548</v>
      </c>
    </row>
    <row r="464" spans="1:38" ht="12.75" x14ac:dyDescent="0.2">
      <c r="A464" s="8" t="s">
        <v>16</v>
      </c>
      <c r="B464" s="8" t="s">
        <v>17</v>
      </c>
      <c r="C464" s="8" t="s">
        <v>18</v>
      </c>
      <c r="D464" s="8" t="s">
        <v>50</v>
      </c>
      <c r="E464" s="8" t="s">
        <v>148</v>
      </c>
      <c r="F464" s="8" t="s">
        <v>28</v>
      </c>
      <c r="G464" s="8" t="s">
        <v>824</v>
      </c>
      <c r="H464" s="20">
        <v>0</v>
      </c>
      <c r="I464" s="21">
        <f>H464/H$669</f>
        <v>0</v>
      </c>
      <c r="J464" s="22">
        <f>I464*J$699</f>
        <v>0</v>
      </c>
      <c r="K464" s="2">
        <v>0</v>
      </c>
      <c r="L464" s="21">
        <f ca="1">K464/K$669</f>
        <v>0</v>
      </c>
      <c r="M464" s="22">
        <f ca="1">L464*M$699</f>
        <v>0</v>
      </c>
      <c r="N464" s="2">
        <v>0</v>
      </c>
      <c r="O464" s="21">
        <f ca="1">N464/N$669</f>
        <v>0</v>
      </c>
      <c r="P464" s="22">
        <f ca="1">O464*P$699</f>
        <v>0</v>
      </c>
      <c r="Q464" s="2">
        <v>0</v>
      </c>
      <c r="R464" s="21">
        <f ca="1">Q464/Q$669</f>
        <v>0</v>
      </c>
      <c r="S464" s="22">
        <f ca="1">R464*S$699</f>
        <v>0</v>
      </c>
      <c r="T464" s="2">
        <v>0</v>
      </c>
      <c r="U464" s="21">
        <f ca="1">T464/T$669</f>
        <v>0</v>
      </c>
      <c r="V464" s="22">
        <f ca="1">U464*V$699</f>
        <v>0</v>
      </c>
      <c r="W464" s="2">
        <v>83108.267451696564</v>
      </c>
      <c r="X464" s="21">
        <f ca="1">W464/W$669</f>
        <v>2.979454164537342E-3</v>
      </c>
      <c r="Y464" s="22">
        <f ca="1">X464*Y$699</f>
        <v>15436.135349803058</v>
      </c>
      <c r="Z464" s="2">
        <v>0</v>
      </c>
      <c r="AA464" s="21">
        <f ca="1">Z464/Z$669</f>
        <v>0</v>
      </c>
      <c r="AB464" s="22">
        <f ca="1">AA464*AB$699</f>
        <v>0</v>
      </c>
      <c r="AC464" s="2">
        <v>0</v>
      </c>
      <c r="AD464" s="21">
        <f ca="1">AC464/AC$669</f>
        <v>0</v>
      </c>
      <c r="AE464" s="22">
        <f ca="1">AD464*AE$699</f>
        <v>0</v>
      </c>
      <c r="AF464" s="2">
        <v>0</v>
      </c>
      <c r="AG464" s="21">
        <f ca="1">AF464/AF$669</f>
        <v>0</v>
      </c>
      <c r="AH464" s="22">
        <f ca="1">AG464*AH$699</f>
        <v>0</v>
      </c>
      <c r="AI464" s="2">
        <v>0</v>
      </c>
      <c r="AJ464" s="21">
        <f ca="1">AI464/AI$669</f>
        <v>0</v>
      </c>
      <c r="AK464" s="22">
        <f ca="1">AJ464*AK$699</f>
        <v>0</v>
      </c>
      <c r="AL464" s="2">
        <v>83108.267451696564</v>
      </c>
    </row>
    <row r="465" spans="1:38" ht="12.75" x14ac:dyDescent="0.2">
      <c r="A465" s="8" t="s">
        <v>16</v>
      </c>
      <c r="B465" s="8" t="s">
        <v>17</v>
      </c>
      <c r="C465" s="8" t="s">
        <v>18</v>
      </c>
      <c r="D465" s="8" t="s">
        <v>50</v>
      </c>
      <c r="E465" s="8" t="s">
        <v>148</v>
      </c>
      <c r="F465" s="8" t="s">
        <v>55</v>
      </c>
      <c r="G465" s="8" t="s">
        <v>825</v>
      </c>
      <c r="H465" s="20">
        <v>0</v>
      </c>
      <c r="I465" s="21">
        <f>H465/H$654</f>
        <v>0</v>
      </c>
      <c r="J465" s="22">
        <f>I465*J$684</f>
        <v>0</v>
      </c>
      <c r="K465" s="2">
        <v>0</v>
      </c>
      <c r="L465" s="21">
        <f ca="1">K465/K$654</f>
        <v>0</v>
      </c>
      <c r="M465" s="22">
        <f ca="1">L465*M$684</f>
        <v>0</v>
      </c>
      <c r="N465" s="2">
        <v>0</v>
      </c>
      <c r="O465" s="21">
        <f ca="1">N465/N$654</f>
        <v>0</v>
      </c>
      <c r="P465" s="22">
        <f ca="1">O465*P$684</f>
        <v>0</v>
      </c>
      <c r="Q465" s="2">
        <v>0</v>
      </c>
      <c r="R465" s="21">
        <f ca="1">Q465/Q$654</f>
        <v>0</v>
      </c>
      <c r="S465" s="22">
        <f ca="1">R465*S$684</f>
        <v>0</v>
      </c>
      <c r="T465" s="2">
        <v>0</v>
      </c>
      <c r="U465" s="21">
        <f ca="1">T465/T$654</f>
        <v>0</v>
      </c>
      <c r="V465" s="22">
        <f ca="1">U465*V$684</f>
        <v>0</v>
      </c>
      <c r="W465" s="2">
        <v>0</v>
      </c>
      <c r="X465" s="21">
        <f ca="1">W465/W$654</f>
        <v>0</v>
      </c>
      <c r="Y465" s="22">
        <f ca="1">X465*Y$684</f>
        <v>0</v>
      </c>
      <c r="Z465" s="2">
        <v>0</v>
      </c>
      <c r="AA465" s="21">
        <f ca="1">Z465/Z$654</f>
        <v>0</v>
      </c>
      <c r="AB465" s="22">
        <f ca="1">AA465*AB$684</f>
        <v>0</v>
      </c>
      <c r="AC465" s="2">
        <v>0</v>
      </c>
      <c r="AD465" s="21">
        <f ca="1">AC465/AC$654</f>
        <v>0</v>
      </c>
      <c r="AE465" s="22">
        <f ca="1">AD465*AE$684</f>
        <v>0</v>
      </c>
      <c r="AF465" s="2">
        <v>0</v>
      </c>
      <c r="AG465" s="21">
        <f ca="1">AF465/AF$654</f>
        <v>0</v>
      </c>
      <c r="AH465" s="22">
        <f ca="1">AG465*AH$684</f>
        <v>0</v>
      </c>
      <c r="AI465" s="2">
        <v>0</v>
      </c>
      <c r="AJ465" s="21">
        <f ca="1">AI465/AI$654</f>
        <v>0</v>
      </c>
      <c r="AK465" s="22">
        <f ca="1">AJ465*AK$684</f>
        <v>0</v>
      </c>
      <c r="AL465" s="2">
        <v>0</v>
      </c>
    </row>
    <row r="466" spans="1:38" ht="12.75" x14ac:dyDescent="0.2">
      <c r="A466" s="8" t="s">
        <v>16</v>
      </c>
      <c r="B466" s="8" t="s">
        <v>17</v>
      </c>
      <c r="C466" s="8" t="s">
        <v>18</v>
      </c>
      <c r="D466" s="8" t="s">
        <v>130</v>
      </c>
      <c r="E466" s="8" t="s">
        <v>149</v>
      </c>
      <c r="F466" s="8" t="s">
        <v>21</v>
      </c>
      <c r="G466" s="8" t="s">
        <v>826</v>
      </c>
      <c r="H466" s="20">
        <v>73324.363806226509</v>
      </c>
      <c r="I466" s="21">
        <f>H466/H$645</f>
        <v>4.8529705594493305E-3</v>
      </c>
      <c r="J466" s="22">
        <f>I466*J$675</f>
        <v>685.23944299424545</v>
      </c>
      <c r="K466" s="2">
        <v>0</v>
      </c>
      <c r="L466" s="21">
        <f ca="1">K466/K$645</f>
        <v>0</v>
      </c>
      <c r="M466" s="22">
        <f ca="1">L466*M$675</f>
        <v>0</v>
      </c>
      <c r="N466" s="2">
        <v>0</v>
      </c>
      <c r="O466" s="21">
        <f ca="1">N466/N$645</f>
        <v>0</v>
      </c>
      <c r="P466" s="22">
        <f ca="1">O466*P$675</f>
        <v>0</v>
      </c>
      <c r="Q466" s="2">
        <v>0</v>
      </c>
      <c r="R466" s="21">
        <f ca="1">Q466/Q$645</f>
        <v>0</v>
      </c>
      <c r="S466" s="22">
        <f ca="1">R466*S$675</f>
        <v>0</v>
      </c>
      <c r="T466" s="2">
        <v>0</v>
      </c>
      <c r="U466" s="21">
        <f ca="1">T466/T$645</f>
        <v>0</v>
      </c>
      <c r="V466" s="22">
        <f ca="1">U466*V$675</f>
        <v>0</v>
      </c>
      <c r="W466" s="2">
        <v>0</v>
      </c>
      <c r="X466" s="21">
        <f ca="1">W466/W$645</f>
        <v>0</v>
      </c>
      <c r="Y466" s="22">
        <f ca="1">X466*Y$675</f>
        <v>0</v>
      </c>
      <c r="Z466" s="2">
        <v>0</v>
      </c>
      <c r="AA466" s="21">
        <f ca="1">Z466/Z$645</f>
        <v>0</v>
      </c>
      <c r="AB466" s="22">
        <f ca="1">AA466*AB$675</f>
        <v>0</v>
      </c>
      <c r="AC466" s="2">
        <v>0</v>
      </c>
      <c r="AD466" s="21">
        <f ca="1">AC466/AC$645</f>
        <v>0</v>
      </c>
      <c r="AE466" s="22">
        <f ca="1">AD466*AE$675</f>
        <v>0</v>
      </c>
      <c r="AF466" s="2">
        <v>0</v>
      </c>
      <c r="AG466" s="21">
        <f ca="1">AF466/AF$645</f>
        <v>0</v>
      </c>
      <c r="AH466" s="22">
        <f ca="1">AG466*AH$675</f>
        <v>0</v>
      </c>
      <c r="AI466" s="2">
        <v>0</v>
      </c>
      <c r="AJ466" s="21">
        <f ca="1">AI466/AI$645</f>
        <v>0</v>
      </c>
      <c r="AK466" s="22">
        <f ca="1">AJ466*AK$675</f>
        <v>0</v>
      </c>
      <c r="AL466" s="2">
        <v>73324.363806226509</v>
      </c>
    </row>
    <row r="467" spans="1:38" ht="12.75" x14ac:dyDescent="0.2">
      <c r="A467" s="8" t="s">
        <v>16</v>
      </c>
      <c r="B467" s="8" t="s">
        <v>17</v>
      </c>
      <c r="C467" s="8" t="s">
        <v>18</v>
      </c>
      <c r="D467" s="8" t="s">
        <v>130</v>
      </c>
      <c r="E467" s="8" t="s">
        <v>149</v>
      </c>
      <c r="F467" s="8" t="s">
        <v>25</v>
      </c>
      <c r="G467" s="8" t="s">
        <v>827</v>
      </c>
      <c r="H467" s="20">
        <v>0</v>
      </c>
      <c r="I467" s="21">
        <f>H467/H$652</f>
        <v>0</v>
      </c>
      <c r="J467" s="22">
        <f>I467*J$682</f>
        <v>0</v>
      </c>
      <c r="K467" s="2">
        <v>0</v>
      </c>
      <c r="L467" s="21">
        <f ca="1">K467/K$652</f>
        <v>0</v>
      </c>
      <c r="M467" s="22">
        <f ca="1">L467*M$682</f>
        <v>0</v>
      </c>
      <c r="N467" s="2">
        <v>0</v>
      </c>
      <c r="O467" s="21">
        <f ca="1">N467/N$652</f>
        <v>0</v>
      </c>
      <c r="P467" s="22">
        <f ca="1">O467*P$682</f>
        <v>0</v>
      </c>
      <c r="Q467" s="2">
        <v>0</v>
      </c>
      <c r="R467" s="21">
        <f ca="1">Q467/Q$652</f>
        <v>0</v>
      </c>
      <c r="S467" s="22">
        <f ca="1">R467*S$682</f>
        <v>0</v>
      </c>
      <c r="T467" s="2">
        <v>0</v>
      </c>
      <c r="U467" s="21">
        <f ca="1">T467/T$652</f>
        <v>0</v>
      </c>
      <c r="V467" s="22">
        <f ca="1">U467*V$682</f>
        <v>0</v>
      </c>
      <c r="W467" s="2">
        <v>0</v>
      </c>
      <c r="X467" s="21">
        <f ca="1">W467/W$652</f>
        <v>0</v>
      </c>
      <c r="Y467" s="22">
        <f ca="1">X467*Y$682</f>
        <v>0</v>
      </c>
      <c r="Z467" s="2">
        <v>185259.32781443151</v>
      </c>
      <c r="AA467" s="21">
        <f ca="1">Z467/Z$652</f>
        <v>4.0096762850361043E-3</v>
      </c>
      <c r="AB467" s="22">
        <f ca="1">AA467*AB$682</f>
        <v>160927.1424071388</v>
      </c>
      <c r="AC467" s="2">
        <v>0</v>
      </c>
      <c r="AD467" s="21">
        <f ca="1">AC467/AC$652</f>
        <v>0</v>
      </c>
      <c r="AE467" s="22">
        <f ca="1">AD467*AE$682</f>
        <v>0</v>
      </c>
      <c r="AF467" s="2">
        <v>0</v>
      </c>
      <c r="AG467" s="21">
        <f ca="1">AF467/AF$652</f>
        <v>0</v>
      </c>
      <c r="AH467" s="22">
        <f ca="1">AG467*AH$682</f>
        <v>0</v>
      </c>
      <c r="AI467" s="2">
        <v>376770.30449574551</v>
      </c>
      <c r="AJ467" s="21">
        <f ca="1">AI467/AI$652</f>
        <v>5.0299081272440925E-3</v>
      </c>
      <c r="AK467" s="22">
        <f ca="1">AJ467*AK$682</f>
        <v>213181.63081701859</v>
      </c>
      <c r="AL467" s="2">
        <v>562029.63231017697</v>
      </c>
    </row>
    <row r="468" spans="1:38" ht="12.75" x14ac:dyDescent="0.2">
      <c r="A468" s="8" t="s">
        <v>16</v>
      </c>
      <c r="B468" s="8" t="s">
        <v>17</v>
      </c>
      <c r="C468" s="8" t="s">
        <v>18</v>
      </c>
      <c r="D468" s="8" t="s">
        <v>130</v>
      </c>
      <c r="E468" s="8" t="s">
        <v>149</v>
      </c>
      <c r="F468" s="8" t="s">
        <v>27</v>
      </c>
      <c r="G468" s="8" t="s">
        <v>828</v>
      </c>
      <c r="H468" s="20">
        <v>528463.88328811899</v>
      </c>
      <c r="I468" s="21">
        <f>H468/H$657</f>
        <v>1.0361377761792676E-2</v>
      </c>
      <c r="J468" s="22">
        <f>I468*J$687</f>
        <v>107478.37465689795</v>
      </c>
      <c r="K468" s="2">
        <v>0</v>
      </c>
      <c r="L468" s="21">
        <f ca="1">K468/K$657</f>
        <v>0</v>
      </c>
      <c r="M468" s="22">
        <f ca="1">L468*M$687</f>
        <v>0</v>
      </c>
      <c r="N468" s="2">
        <v>0</v>
      </c>
      <c r="O468" s="21">
        <f ca="1">N468/N$657</f>
        <v>0</v>
      </c>
      <c r="P468" s="22">
        <f ca="1">O468*P$687</f>
        <v>0</v>
      </c>
      <c r="Q468" s="2">
        <v>0</v>
      </c>
      <c r="R468" s="21">
        <f ca="1">Q468/Q$657</f>
        <v>0</v>
      </c>
      <c r="S468" s="22">
        <f ca="1">R468*S$687</f>
        <v>0</v>
      </c>
      <c r="T468" s="2">
        <v>0</v>
      </c>
      <c r="U468" s="21">
        <f ca="1">T468/T$657</f>
        <v>0</v>
      </c>
      <c r="V468" s="22">
        <f ca="1">U468*V$687</f>
        <v>0</v>
      </c>
      <c r="W468" s="2">
        <v>0</v>
      </c>
      <c r="X468" s="21">
        <f ca="1">W468/W$657</f>
        <v>0</v>
      </c>
      <c r="Y468" s="22">
        <f ca="1">X468*Y$687</f>
        <v>0</v>
      </c>
      <c r="Z468" s="2">
        <v>0</v>
      </c>
      <c r="AA468" s="21">
        <f ca="1">Z468/Z$657</f>
        <v>0</v>
      </c>
      <c r="AB468" s="22">
        <f ca="1">AA468*AB$687</f>
        <v>0</v>
      </c>
      <c r="AC468" s="2">
        <v>0</v>
      </c>
      <c r="AD468" s="21">
        <f ca="1">AC468/AC$657</f>
        <v>0</v>
      </c>
      <c r="AE468" s="22">
        <f ca="1">AD468*AE$687</f>
        <v>0</v>
      </c>
      <c r="AF468" s="2">
        <v>0</v>
      </c>
      <c r="AG468" s="21">
        <f ca="1">AF468/AF$657</f>
        <v>0</v>
      </c>
      <c r="AH468" s="22">
        <f ca="1">AG468*AH$687</f>
        <v>0</v>
      </c>
      <c r="AI468" s="2">
        <v>0</v>
      </c>
      <c r="AJ468" s="21">
        <f ca="1">AI468/AI$657</f>
        <v>0</v>
      </c>
      <c r="AK468" s="22">
        <f ca="1">AJ468*AK$687</f>
        <v>0</v>
      </c>
      <c r="AL468" s="2">
        <v>528463.88328811899</v>
      </c>
    </row>
    <row r="469" spans="1:38" ht="12.75" x14ac:dyDescent="0.2">
      <c r="A469" s="8" t="s">
        <v>16</v>
      </c>
      <c r="B469" s="8" t="s">
        <v>17</v>
      </c>
      <c r="C469" s="8" t="s">
        <v>18</v>
      </c>
      <c r="D469" s="8" t="s">
        <v>130</v>
      </c>
      <c r="E469" s="8" t="s">
        <v>149</v>
      </c>
      <c r="F469" s="8" t="s">
        <v>28</v>
      </c>
      <c r="G469" s="8" t="s">
        <v>829</v>
      </c>
      <c r="H469" s="20">
        <v>0</v>
      </c>
      <c r="I469" s="21">
        <f>H469/H$669</f>
        <v>0</v>
      </c>
      <c r="J469" s="22">
        <f>I469*J$699</f>
        <v>0</v>
      </c>
      <c r="K469" s="2">
        <v>0</v>
      </c>
      <c r="L469" s="21">
        <f ca="1">K469/K$669</f>
        <v>0</v>
      </c>
      <c r="M469" s="22">
        <f ca="1">L469*M$699</f>
        <v>0</v>
      </c>
      <c r="N469" s="2">
        <v>0</v>
      </c>
      <c r="O469" s="21">
        <f ca="1">N469/N$669</f>
        <v>0</v>
      </c>
      <c r="P469" s="22">
        <f ca="1">O469*P$699</f>
        <v>0</v>
      </c>
      <c r="Q469" s="2">
        <v>0</v>
      </c>
      <c r="R469" s="21">
        <f ca="1">Q469/Q$669</f>
        <v>0</v>
      </c>
      <c r="S469" s="22">
        <f ca="1">R469*S$699</f>
        <v>0</v>
      </c>
      <c r="T469" s="2">
        <v>0</v>
      </c>
      <c r="U469" s="21">
        <f ca="1">T469/T$669</f>
        <v>0</v>
      </c>
      <c r="V469" s="22">
        <f ca="1">U469*V$699</f>
        <v>0</v>
      </c>
      <c r="W469" s="2">
        <v>13477.933176794028</v>
      </c>
      <c r="X469" s="21">
        <f ca="1">W469/W$669</f>
        <v>4.8318759810863092E-4</v>
      </c>
      <c r="Y469" s="22">
        <f ca="1">X469*Y$699</f>
        <v>2503.3273720152215</v>
      </c>
      <c r="Z469" s="2">
        <v>0</v>
      </c>
      <c r="AA469" s="21">
        <f ca="1">Z469/Z$669</f>
        <v>0</v>
      </c>
      <c r="AB469" s="22">
        <f ca="1">AA469*AB$699</f>
        <v>0</v>
      </c>
      <c r="AC469" s="2">
        <v>46206.90115341304</v>
      </c>
      <c r="AD469" s="21">
        <f ca="1">AC469/AC$669</f>
        <v>1.4651794937582431E-3</v>
      </c>
      <c r="AE469" s="22">
        <f ca="1">AD469*AE$699</f>
        <v>7874.3490685322622</v>
      </c>
      <c r="AF469" s="2">
        <v>0</v>
      </c>
      <c r="AG469" s="21">
        <f ca="1">AF469/AF$669</f>
        <v>0</v>
      </c>
      <c r="AH469" s="22">
        <f ca="1">AG469*AH$699</f>
        <v>0</v>
      </c>
      <c r="AI469" s="2">
        <v>0</v>
      </c>
      <c r="AJ469" s="21">
        <f ca="1">AI469/AI$669</f>
        <v>0</v>
      </c>
      <c r="AK469" s="22">
        <f ca="1">AJ469*AK$699</f>
        <v>0</v>
      </c>
      <c r="AL469" s="2">
        <v>59684.834330207072</v>
      </c>
    </row>
    <row r="470" spans="1:38" ht="12.75" x14ac:dyDescent="0.2">
      <c r="A470" s="8" t="s">
        <v>16</v>
      </c>
      <c r="B470" s="8" t="s">
        <v>17</v>
      </c>
      <c r="C470" s="8" t="s">
        <v>18</v>
      </c>
      <c r="D470" s="8" t="s">
        <v>130</v>
      </c>
      <c r="E470" s="8" t="s">
        <v>149</v>
      </c>
      <c r="F470" s="8" t="s">
        <v>34</v>
      </c>
      <c r="G470" s="8" t="s">
        <v>830</v>
      </c>
      <c r="H470" s="20">
        <v>0</v>
      </c>
      <c r="I470" s="21">
        <f t="shared" ref="I470:I471" si="1060">H470/H$653</f>
        <v>0</v>
      </c>
      <c r="J470" s="22">
        <f t="shared" ref="J470:J471" si="1061">I470*J$683</f>
        <v>0</v>
      </c>
      <c r="K470" s="2">
        <v>0</v>
      </c>
      <c r="L470" s="21">
        <f t="shared" ref="L470:L471" ca="1" si="1062">K470/K$653</f>
        <v>0</v>
      </c>
      <c r="M470" s="22">
        <f t="shared" ref="M470:M471" ca="1" si="1063">L470*M$683</f>
        <v>0</v>
      </c>
      <c r="N470" s="2">
        <v>0</v>
      </c>
      <c r="O470" s="21">
        <f t="shared" ref="O470:O471" ca="1" si="1064">N470/N$653</f>
        <v>0</v>
      </c>
      <c r="P470" s="22">
        <f t="shared" ref="P470:P471" ca="1" si="1065">O470*P$683</f>
        <v>0</v>
      </c>
      <c r="Q470" s="2">
        <v>0</v>
      </c>
      <c r="R470" s="21">
        <f t="shared" ref="R470:R471" ca="1" si="1066">Q470/Q$653</f>
        <v>0</v>
      </c>
      <c r="S470" s="22">
        <f t="shared" ref="S470:S471" ca="1" si="1067">R470*S$683</f>
        <v>0</v>
      </c>
      <c r="T470" s="2">
        <v>0</v>
      </c>
      <c r="U470" s="21">
        <f t="shared" ref="U470:U471" ca="1" si="1068">T470/T$653</f>
        <v>0</v>
      </c>
      <c r="V470" s="22">
        <f t="shared" ref="V470:V471" ca="1" si="1069">U470*V$683</f>
        <v>0</v>
      </c>
      <c r="W470" s="2">
        <v>0</v>
      </c>
      <c r="X470" s="21">
        <f t="shared" ref="X470:X471" ca="1" si="1070">W470/W$653</f>
        <v>0</v>
      </c>
      <c r="Y470" s="22">
        <f t="shared" ref="Y470:Y471" ca="1" si="1071">X470*Y$683</f>
        <v>0</v>
      </c>
      <c r="Z470" s="2">
        <v>0</v>
      </c>
      <c r="AA470" s="21">
        <f t="shared" ref="AA470:AA471" ca="1" si="1072">Z470/Z$653</f>
        <v>0</v>
      </c>
      <c r="AB470" s="22">
        <f t="shared" ref="AB470:AB471" ca="1" si="1073">AA470*AB$683</f>
        <v>0</v>
      </c>
      <c r="AC470" s="2">
        <v>0</v>
      </c>
      <c r="AD470" s="21">
        <f t="shared" ref="AD470:AD471" ca="1" si="1074">AC470/AC$653</f>
        <v>0</v>
      </c>
      <c r="AE470" s="22">
        <f t="shared" ref="AE470:AE471" ca="1" si="1075">AD470*AE$683</f>
        <v>0</v>
      </c>
      <c r="AF470" s="2">
        <v>74120.85351384223</v>
      </c>
      <c r="AG470" s="21">
        <f t="shared" ref="AG470:AG471" ca="1" si="1076">AF470/AF$653</f>
        <v>6.1989546332291146E-3</v>
      </c>
      <c r="AH470" s="22">
        <f t="shared" ref="AH470:AH471" ca="1" si="1077">AG470*AH$683</f>
        <v>11024.577483605161</v>
      </c>
      <c r="AI470" s="2">
        <v>0</v>
      </c>
      <c r="AJ470" s="21">
        <f t="shared" ref="AJ470:AJ471" ca="1" si="1078">AI470/AI$653</f>
        <v>0</v>
      </c>
      <c r="AK470" s="22">
        <f t="shared" ref="AK470:AK471" ca="1" si="1079">AJ470*AK$683</f>
        <v>0</v>
      </c>
      <c r="AL470" s="2">
        <v>74120.85351384223</v>
      </c>
    </row>
    <row r="471" spans="1:38" ht="12.75" x14ac:dyDescent="0.2">
      <c r="A471" s="8" t="s">
        <v>16</v>
      </c>
      <c r="B471" s="8" t="s">
        <v>17</v>
      </c>
      <c r="C471" s="8" t="s">
        <v>18</v>
      </c>
      <c r="D471" s="8" t="s">
        <v>130</v>
      </c>
      <c r="E471" s="8" t="s">
        <v>149</v>
      </c>
      <c r="F471" s="8" t="s">
        <v>34</v>
      </c>
      <c r="G471" s="8" t="s">
        <v>831</v>
      </c>
      <c r="H471" s="20">
        <v>0</v>
      </c>
      <c r="I471" s="21">
        <f t="shared" si="1060"/>
        <v>0</v>
      </c>
      <c r="J471" s="22">
        <f t="shared" si="1061"/>
        <v>0</v>
      </c>
      <c r="K471" s="2">
        <v>0</v>
      </c>
      <c r="L471" s="21">
        <f t="shared" ca="1" si="1062"/>
        <v>0</v>
      </c>
      <c r="M471" s="22">
        <f t="shared" ca="1" si="1063"/>
        <v>0</v>
      </c>
      <c r="N471" s="2">
        <v>0</v>
      </c>
      <c r="O471" s="21">
        <f t="shared" ca="1" si="1064"/>
        <v>0</v>
      </c>
      <c r="P471" s="22">
        <f t="shared" ca="1" si="1065"/>
        <v>0</v>
      </c>
      <c r="Q471" s="2">
        <v>0</v>
      </c>
      <c r="R471" s="21">
        <f t="shared" ca="1" si="1066"/>
        <v>0</v>
      </c>
      <c r="S471" s="22">
        <f t="shared" ca="1" si="1067"/>
        <v>0</v>
      </c>
      <c r="T471" s="2">
        <v>0</v>
      </c>
      <c r="U471" s="21">
        <f t="shared" ca="1" si="1068"/>
        <v>0</v>
      </c>
      <c r="V471" s="22">
        <f t="shared" ca="1" si="1069"/>
        <v>0</v>
      </c>
      <c r="W471" s="2">
        <v>0</v>
      </c>
      <c r="X471" s="21">
        <f t="shared" ca="1" si="1070"/>
        <v>0</v>
      </c>
      <c r="Y471" s="22">
        <f t="shared" ca="1" si="1071"/>
        <v>0</v>
      </c>
      <c r="Z471" s="2">
        <v>0</v>
      </c>
      <c r="AA471" s="21">
        <f t="shared" ca="1" si="1072"/>
        <v>0</v>
      </c>
      <c r="AB471" s="22">
        <f t="shared" ca="1" si="1073"/>
        <v>0</v>
      </c>
      <c r="AC471" s="2">
        <v>0</v>
      </c>
      <c r="AD471" s="21">
        <f t="shared" ca="1" si="1074"/>
        <v>0</v>
      </c>
      <c r="AE471" s="22">
        <f t="shared" ca="1" si="1075"/>
        <v>0</v>
      </c>
      <c r="AF471" s="2">
        <v>0</v>
      </c>
      <c r="AG471" s="21">
        <f t="shared" ca="1" si="1076"/>
        <v>0</v>
      </c>
      <c r="AH471" s="22">
        <f t="shared" ca="1" si="1077"/>
        <v>0</v>
      </c>
      <c r="AI471" s="2">
        <v>0</v>
      </c>
      <c r="AJ471" s="21">
        <f t="shared" ca="1" si="1078"/>
        <v>0</v>
      </c>
      <c r="AK471" s="22">
        <f t="shared" ca="1" si="1079"/>
        <v>0</v>
      </c>
      <c r="AL471" s="2">
        <v>0</v>
      </c>
    </row>
    <row r="472" spans="1:38" ht="12.75" x14ac:dyDescent="0.2">
      <c r="A472" s="8" t="s">
        <v>16</v>
      </c>
      <c r="B472" s="8" t="s">
        <v>17</v>
      </c>
      <c r="C472" s="8" t="s">
        <v>18</v>
      </c>
      <c r="D472" s="8" t="s">
        <v>130</v>
      </c>
      <c r="E472" s="8" t="s">
        <v>140</v>
      </c>
      <c r="F472" s="8" t="s">
        <v>24</v>
      </c>
      <c r="G472" s="8" t="s">
        <v>832</v>
      </c>
      <c r="H472" s="20">
        <v>0</v>
      </c>
      <c r="I472" s="21">
        <f>H472/H$646</f>
        <v>0</v>
      </c>
      <c r="J472" s="22">
        <f>I472*J$676</f>
        <v>0</v>
      </c>
      <c r="K472" s="2">
        <v>0</v>
      </c>
      <c r="L472" s="21">
        <f ca="1">K472/K$646</f>
        <v>0</v>
      </c>
      <c r="M472" s="22">
        <f ca="1">L472*M$676</f>
        <v>0</v>
      </c>
      <c r="N472" s="2">
        <v>0</v>
      </c>
      <c r="O472" s="21">
        <f ca="1">N472/N$646</f>
        <v>0</v>
      </c>
      <c r="P472" s="22">
        <f ca="1">O472*P$676</f>
        <v>0</v>
      </c>
      <c r="Q472" s="2">
        <v>0</v>
      </c>
      <c r="R472" s="21">
        <f ca="1">Q472/Q$646</f>
        <v>0</v>
      </c>
      <c r="S472" s="22">
        <f ca="1">R472*S$676</f>
        <v>0</v>
      </c>
      <c r="T472" s="2">
        <v>0</v>
      </c>
      <c r="U472" s="21">
        <f ca="1">T472/T$646</f>
        <v>0</v>
      </c>
      <c r="V472" s="22">
        <f ca="1">U472*V$676</f>
        <v>0</v>
      </c>
      <c r="W472" s="2">
        <v>0</v>
      </c>
      <c r="X472" s="21">
        <f ca="1">W472/W$646</f>
        <v>0</v>
      </c>
      <c r="Y472" s="22">
        <f ca="1">X472*Y$676</f>
        <v>0</v>
      </c>
      <c r="Z472" s="2">
        <v>0</v>
      </c>
      <c r="AA472" s="21">
        <f ca="1">Z472/Z$646</f>
        <v>0</v>
      </c>
      <c r="AB472" s="22">
        <f ca="1">AA472*AB$676</f>
        <v>0</v>
      </c>
      <c r="AC472" s="2">
        <v>0</v>
      </c>
      <c r="AD472" s="21">
        <f ca="1">AC472/AC$646</f>
        <v>0</v>
      </c>
      <c r="AE472" s="22">
        <f ca="1">AD472*AE$676</f>
        <v>0</v>
      </c>
      <c r="AF472" s="2">
        <v>0</v>
      </c>
      <c r="AG472" s="21">
        <f ca="1">AF472/AF$646</f>
        <v>0</v>
      </c>
      <c r="AH472" s="22">
        <f ca="1">AG472*AH$676</f>
        <v>0</v>
      </c>
      <c r="AI472" s="2">
        <v>0</v>
      </c>
      <c r="AJ472" s="21">
        <f ca="1">AI472/AI$646</f>
        <v>0</v>
      </c>
      <c r="AK472" s="22">
        <f ca="1">AJ472*AK$676</f>
        <v>0</v>
      </c>
      <c r="AL472" s="2">
        <v>0</v>
      </c>
    </row>
    <row r="473" spans="1:38" ht="12.75" x14ac:dyDescent="0.2">
      <c r="A473" s="8" t="s">
        <v>16</v>
      </c>
      <c r="B473" s="8" t="s">
        <v>17</v>
      </c>
      <c r="C473" s="8" t="s">
        <v>18</v>
      </c>
      <c r="D473" s="8" t="s">
        <v>130</v>
      </c>
      <c r="E473" s="8" t="s">
        <v>140</v>
      </c>
      <c r="F473" s="23" t="s">
        <v>22</v>
      </c>
      <c r="G473" s="8" t="s">
        <v>833</v>
      </c>
      <c r="H473" s="20">
        <v>0</v>
      </c>
      <c r="I473" s="21">
        <f>H473/H$650</f>
        <v>0</v>
      </c>
      <c r="J473" s="22">
        <f>I473*J$680</f>
        <v>0</v>
      </c>
      <c r="K473" s="2">
        <v>0</v>
      </c>
      <c r="L473" s="21">
        <f ca="1">K473/K$650</f>
        <v>0</v>
      </c>
      <c r="M473" s="22">
        <f ca="1">L473*M$680</f>
        <v>0</v>
      </c>
      <c r="N473" s="2">
        <v>0</v>
      </c>
      <c r="O473" s="21">
        <f ca="1">N473/N$650</f>
        <v>0</v>
      </c>
      <c r="P473" s="22">
        <f ca="1">O473*P$680</f>
        <v>0</v>
      </c>
      <c r="Q473" s="2">
        <v>0</v>
      </c>
      <c r="R473" s="21">
        <f ca="1">Q473/Q$650</f>
        <v>0</v>
      </c>
      <c r="S473" s="22">
        <f ca="1">R473*S$680</f>
        <v>0</v>
      </c>
      <c r="T473" s="2">
        <v>0</v>
      </c>
      <c r="U473" s="21">
        <f ca="1">T473/T$650</f>
        <v>0</v>
      </c>
      <c r="V473" s="22">
        <f ca="1">U473*V$680</f>
        <v>0</v>
      </c>
      <c r="W473" s="2">
        <v>0</v>
      </c>
      <c r="X473" s="21">
        <f ca="1">W473/W$650</f>
        <v>0</v>
      </c>
      <c r="Y473" s="22">
        <f ca="1">X473*Y$680</f>
        <v>0</v>
      </c>
      <c r="Z473" s="2">
        <v>0</v>
      </c>
      <c r="AA473" s="21">
        <f ca="1">Z473/Z$650</f>
        <v>0</v>
      </c>
      <c r="AB473" s="22">
        <f ca="1">AA473*AB$680</f>
        <v>0</v>
      </c>
      <c r="AC473" s="2">
        <v>0</v>
      </c>
      <c r="AD473" s="21">
        <f ca="1">AC473/AC$650</f>
        <v>0</v>
      </c>
      <c r="AE473" s="22">
        <f ca="1">AD473*AE$680</f>
        <v>0</v>
      </c>
      <c r="AF473" s="2">
        <v>0</v>
      </c>
      <c r="AG473" s="21">
        <f ca="1">AF473/AF$650</f>
        <v>0</v>
      </c>
      <c r="AH473" s="22">
        <f ca="1">AG473*AH$680</f>
        <v>0</v>
      </c>
      <c r="AI473" s="2">
        <v>0</v>
      </c>
      <c r="AJ473" s="21">
        <f ca="1">AI473/AI$650</f>
        <v>0</v>
      </c>
      <c r="AK473" s="22">
        <f ca="1">AJ473*AK$680</f>
        <v>0</v>
      </c>
      <c r="AL473" s="2">
        <v>0</v>
      </c>
    </row>
    <row r="474" spans="1:38" ht="12.75" x14ac:dyDescent="0.2">
      <c r="A474" s="8" t="s">
        <v>16</v>
      </c>
      <c r="B474" s="8" t="s">
        <v>17</v>
      </c>
      <c r="C474" s="8" t="s">
        <v>18</v>
      </c>
      <c r="D474" s="8" t="s">
        <v>130</v>
      </c>
      <c r="E474" s="8" t="s">
        <v>140</v>
      </c>
      <c r="F474" s="8" t="s">
        <v>26</v>
      </c>
      <c r="G474" s="8" t="s">
        <v>834</v>
      </c>
      <c r="H474" s="20">
        <v>0</v>
      </c>
      <c r="I474" s="21">
        <f>H474/H$655</f>
        <v>0</v>
      </c>
      <c r="J474" s="22">
        <f>I474*J$685</f>
        <v>0</v>
      </c>
      <c r="K474" s="2">
        <v>0</v>
      </c>
      <c r="L474" s="21">
        <f ca="1">K474/K$655</f>
        <v>0</v>
      </c>
      <c r="M474" s="22">
        <f ca="1">L474*M$685</f>
        <v>0</v>
      </c>
      <c r="N474" s="2">
        <v>0</v>
      </c>
      <c r="O474" s="21">
        <f ca="1">N474/N$655</f>
        <v>0</v>
      </c>
      <c r="P474" s="22">
        <f ca="1">O474*P$685</f>
        <v>0</v>
      </c>
      <c r="Q474" s="2">
        <v>0</v>
      </c>
      <c r="R474" s="21">
        <f ca="1">Q474/Q$655</f>
        <v>0</v>
      </c>
      <c r="S474" s="22">
        <f ca="1">R474*S$685</f>
        <v>0</v>
      </c>
      <c r="T474" s="2">
        <v>0</v>
      </c>
      <c r="U474" s="21">
        <f ca="1">T474/T$655</f>
        <v>0</v>
      </c>
      <c r="V474" s="22">
        <f ca="1">U474*V$685</f>
        <v>0</v>
      </c>
      <c r="W474" s="2">
        <v>0</v>
      </c>
      <c r="X474" s="21">
        <f ca="1">W474/W$655</f>
        <v>0</v>
      </c>
      <c r="Y474" s="22">
        <f ca="1">X474*Y$685</f>
        <v>0</v>
      </c>
      <c r="Z474" s="2">
        <v>0</v>
      </c>
      <c r="AA474" s="21">
        <f ca="1">Z474/Z$655</f>
        <v>0</v>
      </c>
      <c r="AB474" s="22">
        <f ca="1">AA474*AB$685</f>
        <v>0</v>
      </c>
      <c r="AC474" s="2">
        <v>0</v>
      </c>
      <c r="AD474" s="21">
        <f ca="1">AC474/AC$655</f>
        <v>0</v>
      </c>
      <c r="AE474" s="22">
        <f ca="1">AD474*AE$685</f>
        <v>0</v>
      </c>
      <c r="AF474" s="2">
        <v>0</v>
      </c>
      <c r="AG474" s="21">
        <f ca="1">AF474/AF$655</f>
        <v>0</v>
      </c>
      <c r="AH474" s="22">
        <f ca="1">AG474*AH$685</f>
        <v>0</v>
      </c>
      <c r="AI474" s="2">
        <v>0</v>
      </c>
      <c r="AJ474" s="21">
        <f ca="1">AI474/AI$655</f>
        <v>0</v>
      </c>
      <c r="AK474" s="22">
        <f ca="1">AJ474*AK$685</f>
        <v>0</v>
      </c>
      <c r="AL474" s="2">
        <v>0</v>
      </c>
    </row>
    <row r="475" spans="1:38" ht="12.75" x14ac:dyDescent="0.2">
      <c r="A475" s="8" t="s">
        <v>16</v>
      </c>
      <c r="B475" s="8" t="s">
        <v>17</v>
      </c>
      <c r="C475" s="8" t="s">
        <v>18</v>
      </c>
      <c r="D475" s="8" t="s">
        <v>130</v>
      </c>
      <c r="E475" s="8" t="s">
        <v>140</v>
      </c>
      <c r="F475" s="8" t="s">
        <v>28</v>
      </c>
      <c r="G475" s="8" t="s">
        <v>835</v>
      </c>
      <c r="H475" s="20">
        <v>0</v>
      </c>
      <c r="I475" s="21">
        <f>H475/H$669</f>
        <v>0</v>
      </c>
      <c r="J475" s="22">
        <f>I475*J$699</f>
        <v>0</v>
      </c>
      <c r="K475" s="2">
        <v>0</v>
      </c>
      <c r="L475" s="21">
        <f ca="1">K475/K$669</f>
        <v>0</v>
      </c>
      <c r="M475" s="22">
        <f ca="1">L475*M$699</f>
        <v>0</v>
      </c>
      <c r="N475" s="2">
        <v>0</v>
      </c>
      <c r="O475" s="21">
        <f ca="1">N475/N$669</f>
        <v>0</v>
      </c>
      <c r="P475" s="22">
        <f ca="1">O475*P$699</f>
        <v>0</v>
      </c>
      <c r="Q475" s="2">
        <v>0</v>
      </c>
      <c r="R475" s="21">
        <f ca="1">Q475/Q$669</f>
        <v>0</v>
      </c>
      <c r="S475" s="22">
        <f ca="1">R475*S$699</f>
        <v>0</v>
      </c>
      <c r="T475" s="2">
        <v>0</v>
      </c>
      <c r="U475" s="21">
        <f ca="1">T475/T$669</f>
        <v>0</v>
      </c>
      <c r="V475" s="22">
        <f ca="1">U475*V$699</f>
        <v>0</v>
      </c>
      <c r="W475" s="2">
        <v>0</v>
      </c>
      <c r="X475" s="21">
        <f ca="1">W475/W$669</f>
        <v>0</v>
      </c>
      <c r="Y475" s="22">
        <f ca="1">X475*Y$699</f>
        <v>0</v>
      </c>
      <c r="Z475" s="2">
        <v>0</v>
      </c>
      <c r="AA475" s="21">
        <f ca="1">Z475/Z$669</f>
        <v>0</v>
      </c>
      <c r="AB475" s="22">
        <f ca="1">AA475*AB$699</f>
        <v>0</v>
      </c>
      <c r="AC475" s="2">
        <v>0</v>
      </c>
      <c r="AD475" s="21">
        <f ca="1">AC475/AC$669</f>
        <v>0</v>
      </c>
      <c r="AE475" s="22">
        <f ca="1">AD475*AE$699</f>
        <v>0</v>
      </c>
      <c r="AF475" s="2">
        <v>0</v>
      </c>
      <c r="AG475" s="21">
        <f ca="1">AF475/AF$669</f>
        <v>0</v>
      </c>
      <c r="AH475" s="22">
        <f ca="1">AG475*AH$699</f>
        <v>0</v>
      </c>
      <c r="AI475" s="2">
        <v>0</v>
      </c>
      <c r="AJ475" s="21">
        <f ca="1">AI475/AI$669</f>
        <v>0</v>
      </c>
      <c r="AK475" s="22">
        <f ca="1">AJ475*AK$699</f>
        <v>0</v>
      </c>
      <c r="AL475" s="2">
        <v>0</v>
      </c>
    </row>
    <row r="476" spans="1:38" ht="12.75" x14ac:dyDescent="0.2">
      <c r="A476" s="8" t="s">
        <v>16</v>
      </c>
      <c r="B476" s="8" t="s">
        <v>17</v>
      </c>
      <c r="C476" s="8" t="s">
        <v>18</v>
      </c>
      <c r="D476" s="8" t="s">
        <v>130</v>
      </c>
      <c r="E476" s="8" t="s">
        <v>131</v>
      </c>
      <c r="F476" s="8" t="s">
        <v>24</v>
      </c>
      <c r="G476" s="8" t="s">
        <v>836</v>
      </c>
      <c r="H476" s="20">
        <v>0</v>
      </c>
      <c r="I476" s="21">
        <f t="shared" ref="I476:I477" si="1080">H476/H$646</f>
        <v>0</v>
      </c>
      <c r="J476" s="22">
        <f t="shared" ref="J476:J477" si="1081">I476*J$676</f>
        <v>0</v>
      </c>
      <c r="K476" s="2">
        <v>0</v>
      </c>
      <c r="L476" s="21">
        <f t="shared" ref="L476:L477" ca="1" si="1082">K476/K$646</f>
        <v>0</v>
      </c>
      <c r="M476" s="22">
        <f t="shared" ref="M476:M477" ca="1" si="1083">L476*M$676</f>
        <v>0</v>
      </c>
      <c r="N476" s="2">
        <v>0</v>
      </c>
      <c r="O476" s="21">
        <f t="shared" ref="O476:O477" ca="1" si="1084">N476/N$646</f>
        <v>0</v>
      </c>
      <c r="P476" s="22">
        <f t="shared" ref="P476:P477" ca="1" si="1085">O476*P$676</f>
        <v>0</v>
      </c>
      <c r="Q476" s="2">
        <v>0</v>
      </c>
      <c r="R476" s="21">
        <f t="shared" ref="R476:R477" ca="1" si="1086">Q476/Q$646</f>
        <v>0</v>
      </c>
      <c r="S476" s="22">
        <f t="shared" ref="S476:S477" ca="1" si="1087">R476*S$676</f>
        <v>0</v>
      </c>
      <c r="T476" s="2">
        <v>0</v>
      </c>
      <c r="U476" s="21">
        <f t="shared" ref="U476:U477" ca="1" si="1088">T476/T$646</f>
        <v>0</v>
      </c>
      <c r="V476" s="22">
        <f t="shared" ref="V476:V477" ca="1" si="1089">U476*V$676</f>
        <v>0</v>
      </c>
      <c r="W476" s="2">
        <v>0</v>
      </c>
      <c r="X476" s="21">
        <f t="shared" ref="X476:X477" ca="1" si="1090">W476/W$646</f>
        <v>0</v>
      </c>
      <c r="Y476" s="22">
        <f t="shared" ref="Y476:Y477" ca="1" si="1091">X476*Y$676</f>
        <v>0</v>
      </c>
      <c r="Z476" s="2">
        <v>0</v>
      </c>
      <c r="AA476" s="21">
        <f t="shared" ref="AA476:AA477" ca="1" si="1092">Z476/Z$646</f>
        <v>0</v>
      </c>
      <c r="AB476" s="22">
        <f t="shared" ref="AB476:AB477" ca="1" si="1093">AA476*AB$676</f>
        <v>0</v>
      </c>
      <c r="AC476" s="2">
        <v>0</v>
      </c>
      <c r="AD476" s="21">
        <f t="shared" ref="AD476:AD477" ca="1" si="1094">AC476/AC$646</f>
        <v>0</v>
      </c>
      <c r="AE476" s="22">
        <f t="shared" ref="AE476:AE477" ca="1" si="1095">AD476*AE$676</f>
        <v>0</v>
      </c>
      <c r="AF476" s="2">
        <v>0</v>
      </c>
      <c r="AG476" s="21">
        <f t="shared" ref="AG476:AG477" ca="1" si="1096">AF476/AF$646</f>
        <v>0</v>
      </c>
      <c r="AH476" s="22">
        <f t="shared" ref="AH476:AH477" ca="1" si="1097">AG476*AH$676</f>
        <v>0</v>
      </c>
      <c r="AI476" s="2">
        <v>0</v>
      </c>
      <c r="AJ476" s="21">
        <f t="shared" ref="AJ476:AJ477" ca="1" si="1098">AI476/AI$646</f>
        <v>0</v>
      </c>
      <c r="AK476" s="22">
        <f t="shared" ref="AK476:AK477" ca="1" si="1099">AJ476*AK$676</f>
        <v>0</v>
      </c>
      <c r="AL476" s="2">
        <v>0</v>
      </c>
    </row>
    <row r="477" spans="1:38" ht="12.75" x14ac:dyDescent="0.2">
      <c r="A477" s="8" t="s">
        <v>16</v>
      </c>
      <c r="B477" s="8" t="s">
        <v>17</v>
      </c>
      <c r="C477" s="8" t="s">
        <v>18</v>
      </c>
      <c r="D477" s="8" t="s">
        <v>19</v>
      </c>
      <c r="E477" s="8" t="s">
        <v>150</v>
      </c>
      <c r="F477" s="8" t="s">
        <v>24</v>
      </c>
      <c r="G477" s="8" t="s">
        <v>837</v>
      </c>
      <c r="H477" s="20">
        <v>0</v>
      </c>
      <c r="I477" s="21">
        <f t="shared" si="1080"/>
        <v>0</v>
      </c>
      <c r="J477" s="22">
        <f t="shared" si="1081"/>
        <v>0</v>
      </c>
      <c r="K477" s="2">
        <v>0</v>
      </c>
      <c r="L477" s="21">
        <f t="shared" ca="1" si="1082"/>
        <v>0</v>
      </c>
      <c r="M477" s="22">
        <f t="shared" ca="1" si="1083"/>
        <v>0</v>
      </c>
      <c r="N477" s="2">
        <v>0</v>
      </c>
      <c r="O477" s="21">
        <f t="shared" ca="1" si="1084"/>
        <v>0</v>
      </c>
      <c r="P477" s="22">
        <f t="shared" ca="1" si="1085"/>
        <v>0</v>
      </c>
      <c r="Q477" s="2">
        <v>0</v>
      </c>
      <c r="R477" s="21">
        <f t="shared" ca="1" si="1086"/>
        <v>0</v>
      </c>
      <c r="S477" s="22">
        <f t="shared" ca="1" si="1087"/>
        <v>0</v>
      </c>
      <c r="T477" s="2">
        <v>0</v>
      </c>
      <c r="U477" s="21">
        <f t="shared" ca="1" si="1088"/>
        <v>0</v>
      </c>
      <c r="V477" s="22">
        <f t="shared" ca="1" si="1089"/>
        <v>0</v>
      </c>
      <c r="W477" s="2">
        <v>0</v>
      </c>
      <c r="X477" s="21">
        <f t="shared" ca="1" si="1090"/>
        <v>0</v>
      </c>
      <c r="Y477" s="22">
        <f t="shared" ca="1" si="1091"/>
        <v>0</v>
      </c>
      <c r="Z477" s="2">
        <v>0</v>
      </c>
      <c r="AA477" s="21">
        <f t="shared" ca="1" si="1092"/>
        <v>0</v>
      </c>
      <c r="AB477" s="22">
        <f t="shared" ca="1" si="1093"/>
        <v>0</v>
      </c>
      <c r="AC477" s="2">
        <v>0</v>
      </c>
      <c r="AD477" s="21">
        <f t="shared" ca="1" si="1094"/>
        <v>0</v>
      </c>
      <c r="AE477" s="22">
        <f t="shared" ca="1" si="1095"/>
        <v>0</v>
      </c>
      <c r="AF477" s="2">
        <v>0</v>
      </c>
      <c r="AG477" s="21">
        <f t="shared" ca="1" si="1096"/>
        <v>0</v>
      </c>
      <c r="AH477" s="22">
        <f t="shared" ca="1" si="1097"/>
        <v>0</v>
      </c>
      <c r="AI477" s="2">
        <v>0</v>
      </c>
      <c r="AJ477" s="21">
        <f t="shared" ca="1" si="1098"/>
        <v>0</v>
      </c>
      <c r="AK477" s="22">
        <f t="shared" ca="1" si="1099"/>
        <v>0</v>
      </c>
      <c r="AL477" s="2">
        <v>0</v>
      </c>
    </row>
    <row r="478" spans="1:38" ht="12.75" x14ac:dyDescent="0.2">
      <c r="A478" s="8" t="s">
        <v>16</v>
      </c>
      <c r="B478" s="8" t="s">
        <v>17</v>
      </c>
      <c r="C478" s="8" t="s">
        <v>18</v>
      </c>
      <c r="D478" s="8" t="s">
        <v>19</v>
      </c>
      <c r="E478" s="8" t="s">
        <v>150</v>
      </c>
      <c r="F478" s="8" t="s">
        <v>25</v>
      </c>
      <c r="G478" s="8" t="s">
        <v>838</v>
      </c>
      <c r="H478" s="20">
        <v>0</v>
      </c>
      <c r="I478" s="21">
        <f>H478/H$652</f>
        <v>0</v>
      </c>
      <c r="J478" s="22">
        <f>I478*J$682</f>
        <v>0</v>
      </c>
      <c r="K478" s="2">
        <v>0</v>
      </c>
      <c r="L478" s="21">
        <f ca="1">K478/K$652</f>
        <v>0</v>
      </c>
      <c r="M478" s="22">
        <f ca="1">L478*M$682</f>
        <v>0</v>
      </c>
      <c r="N478" s="2">
        <v>0</v>
      </c>
      <c r="O478" s="21">
        <f ca="1">N478/N$652</f>
        <v>0</v>
      </c>
      <c r="P478" s="22">
        <f ca="1">O478*P$682</f>
        <v>0</v>
      </c>
      <c r="Q478" s="2">
        <v>0</v>
      </c>
      <c r="R478" s="21">
        <f ca="1">Q478/Q$652</f>
        <v>0</v>
      </c>
      <c r="S478" s="22">
        <f ca="1">R478*S$682</f>
        <v>0</v>
      </c>
      <c r="T478" s="2">
        <v>0</v>
      </c>
      <c r="U478" s="21">
        <f ca="1">T478/T$652</f>
        <v>0</v>
      </c>
      <c r="V478" s="22">
        <f ca="1">U478*V$682</f>
        <v>0</v>
      </c>
      <c r="W478" s="2">
        <v>0</v>
      </c>
      <c r="X478" s="21">
        <f ca="1">W478/W$652</f>
        <v>0</v>
      </c>
      <c r="Y478" s="22">
        <f ca="1">X478*Y$682</f>
        <v>0</v>
      </c>
      <c r="Z478" s="2">
        <v>0</v>
      </c>
      <c r="AA478" s="21">
        <f ca="1">Z478/Z$652</f>
        <v>0</v>
      </c>
      <c r="AB478" s="22">
        <f ca="1">AA478*AB$682</f>
        <v>0</v>
      </c>
      <c r="AC478" s="2">
        <v>0</v>
      </c>
      <c r="AD478" s="21">
        <f ca="1">AC478/AC$652</f>
        <v>0</v>
      </c>
      <c r="AE478" s="22">
        <f ca="1">AD478*AE$682</f>
        <v>0</v>
      </c>
      <c r="AF478" s="2">
        <v>0</v>
      </c>
      <c r="AG478" s="21">
        <f ca="1">AF478/AF$652</f>
        <v>0</v>
      </c>
      <c r="AH478" s="22">
        <f ca="1">AG478*AH$682</f>
        <v>0</v>
      </c>
      <c r="AI478" s="2">
        <v>0</v>
      </c>
      <c r="AJ478" s="21">
        <f ca="1">AI478/AI$652</f>
        <v>0</v>
      </c>
      <c r="AK478" s="22">
        <f ca="1">AJ478*AK$682</f>
        <v>0</v>
      </c>
      <c r="AL478" s="2">
        <v>489156.73964914872</v>
      </c>
    </row>
    <row r="479" spans="1:38" ht="12.75" x14ac:dyDescent="0.2">
      <c r="A479" s="8" t="s">
        <v>16</v>
      </c>
      <c r="B479" s="8" t="s">
        <v>17</v>
      </c>
      <c r="C479" s="8" t="s">
        <v>18</v>
      </c>
      <c r="D479" s="8" t="s">
        <v>19</v>
      </c>
      <c r="E479" s="8" t="s">
        <v>150</v>
      </c>
      <c r="F479" s="8" t="s">
        <v>27</v>
      </c>
      <c r="G479" s="8" t="s">
        <v>839</v>
      </c>
      <c r="H479" s="20">
        <v>264231.94164405949</v>
      </c>
      <c r="I479" s="21">
        <f>H479/H$657</f>
        <v>5.1806888808963378E-3</v>
      </c>
      <c r="J479" s="22">
        <f>I479*J$687</f>
        <v>53739.187328448977</v>
      </c>
      <c r="K479" s="2">
        <v>0</v>
      </c>
      <c r="L479" s="21">
        <f ca="1">K479/K$657</f>
        <v>0</v>
      </c>
      <c r="M479" s="22">
        <f ca="1">L479*M$687</f>
        <v>0</v>
      </c>
      <c r="N479" s="2">
        <v>0</v>
      </c>
      <c r="O479" s="21">
        <f ca="1">N479/N$657</f>
        <v>0</v>
      </c>
      <c r="P479" s="22">
        <f ca="1">O479*P$687</f>
        <v>0</v>
      </c>
      <c r="Q479" s="2">
        <v>0</v>
      </c>
      <c r="R479" s="21">
        <f ca="1">Q479/Q$657</f>
        <v>0</v>
      </c>
      <c r="S479" s="22">
        <f ca="1">R479*S$687</f>
        <v>0</v>
      </c>
      <c r="T479" s="2">
        <v>0</v>
      </c>
      <c r="U479" s="21">
        <f ca="1">T479/T$657</f>
        <v>0</v>
      </c>
      <c r="V479" s="22">
        <f ca="1">U479*V$687</f>
        <v>0</v>
      </c>
      <c r="W479" s="2">
        <v>0</v>
      </c>
      <c r="X479" s="21">
        <f ca="1">W479/W$657</f>
        <v>0</v>
      </c>
      <c r="Y479" s="22">
        <f ca="1">X479*Y$687</f>
        <v>0</v>
      </c>
      <c r="Z479" s="2">
        <v>0</v>
      </c>
      <c r="AA479" s="21">
        <f ca="1">Z479/Z$657</f>
        <v>0</v>
      </c>
      <c r="AB479" s="22">
        <f ca="1">AA479*AB$687</f>
        <v>0</v>
      </c>
      <c r="AC479" s="2">
        <v>0</v>
      </c>
      <c r="AD479" s="21">
        <f ca="1">AC479/AC$657</f>
        <v>0</v>
      </c>
      <c r="AE479" s="22">
        <f ca="1">AD479*AE$687</f>
        <v>0</v>
      </c>
      <c r="AF479" s="2">
        <v>0</v>
      </c>
      <c r="AG479" s="21">
        <f ca="1">AF479/AF$657</f>
        <v>0</v>
      </c>
      <c r="AH479" s="22">
        <f ca="1">AG479*AH$687</f>
        <v>0</v>
      </c>
      <c r="AI479" s="2">
        <v>862610.51756920188</v>
      </c>
      <c r="AJ479" s="21">
        <f ca="1">AI479/AI$657</f>
        <v>1.5544397483042092E-2</v>
      </c>
      <c r="AK479" s="22">
        <f ca="1">AJ479*AK$687</f>
        <v>286893.75371949608</v>
      </c>
      <c r="AL479" s="2">
        <v>862610.51756920188</v>
      </c>
    </row>
    <row r="480" spans="1:38" ht="12.75" x14ac:dyDescent="0.2">
      <c r="A480" s="8" t="s">
        <v>16</v>
      </c>
      <c r="B480" s="8" t="s">
        <v>17</v>
      </c>
      <c r="C480" s="8" t="s">
        <v>18</v>
      </c>
      <c r="D480" s="8" t="s">
        <v>19</v>
      </c>
      <c r="E480" s="8" t="s">
        <v>150</v>
      </c>
      <c r="F480" s="8" t="s">
        <v>28</v>
      </c>
      <c r="G480" s="8" t="s">
        <v>840</v>
      </c>
      <c r="H480" s="20">
        <v>0</v>
      </c>
      <c r="I480" s="21">
        <f>H480/H$669</f>
        <v>0</v>
      </c>
      <c r="J480" s="22">
        <f>I480*J$699</f>
        <v>0</v>
      </c>
      <c r="K480" s="2">
        <v>0</v>
      </c>
      <c r="L480" s="21">
        <f ca="1">K480/K$669</f>
        <v>0</v>
      </c>
      <c r="M480" s="22">
        <f ca="1">L480*M$699</f>
        <v>0</v>
      </c>
      <c r="N480" s="2">
        <v>150000</v>
      </c>
      <c r="O480" s="21">
        <f ca="1">N480/N$669</f>
        <v>5.3183125781702655E-3</v>
      </c>
      <c r="P480" s="22">
        <f ca="1">O480*P$699</f>
        <v>25862.718998226046</v>
      </c>
      <c r="Q480" s="2">
        <v>150000</v>
      </c>
      <c r="R480" s="21">
        <f ca="1">Q480/Q$669</f>
        <v>3.9681717719615931E-3</v>
      </c>
      <c r="S480" s="22">
        <f ca="1">R480*S$699</f>
        <v>19740.875930843831</v>
      </c>
      <c r="T480" s="2">
        <v>150000</v>
      </c>
      <c r="U480" s="21">
        <f ca="1">T480/T$669</f>
        <v>5.254452303253501E-3</v>
      </c>
      <c r="V480" s="22">
        <f ca="1">U480*V$699</f>
        <v>26688.806436094143</v>
      </c>
      <c r="W480" s="2">
        <v>150000</v>
      </c>
      <c r="X480" s="21">
        <f ca="1">W480/W$669</f>
        <v>5.3775411085347797E-3</v>
      </c>
      <c r="Y480" s="22">
        <f ca="1">X480*Y$699</f>
        <v>27860.288434194666</v>
      </c>
      <c r="Z480" s="2">
        <v>150000</v>
      </c>
      <c r="AA480" s="21">
        <f ca="1">Z480/Z$669</f>
        <v>5.0987011750683476E-3</v>
      </c>
      <c r="AB480" s="22">
        <f ca="1">AA480*AB$699</f>
        <v>26891.139611114348</v>
      </c>
      <c r="AC480" s="2">
        <v>150000</v>
      </c>
      <c r="AD480" s="21">
        <f ca="1">AC480/AC$669</f>
        <v>4.7563657933703003E-3</v>
      </c>
      <c r="AE480" s="22">
        <f ca="1">AD480*AE$699</f>
        <v>25562.25002750686</v>
      </c>
      <c r="AF480" s="2">
        <v>150000</v>
      </c>
      <c r="AG480" s="21">
        <f ca="1">AF480/AF$669</f>
        <v>3.736985023955911E-3</v>
      </c>
      <c r="AH480" s="22">
        <f ca="1">AG480*AH$699</f>
        <v>20445.275488559368</v>
      </c>
      <c r="AI480" s="2">
        <v>150000</v>
      </c>
      <c r="AJ480" s="21">
        <f ca="1">AI480/AI$669</f>
        <v>3.4287291865426998E-3</v>
      </c>
      <c r="AK480" s="22">
        <f ca="1">AJ480*AK$699</f>
        <v>19096.4469937385</v>
      </c>
      <c r="AL480" s="2">
        <v>1500000</v>
      </c>
    </row>
    <row r="481" spans="1:38" ht="12.75" x14ac:dyDescent="0.2">
      <c r="A481" s="8" t="s">
        <v>16</v>
      </c>
      <c r="B481" s="8" t="s">
        <v>17</v>
      </c>
      <c r="C481" s="8" t="s">
        <v>18</v>
      </c>
      <c r="D481" s="8" t="s">
        <v>19</v>
      </c>
      <c r="E481" s="8" t="s">
        <v>19</v>
      </c>
      <c r="F481" s="8" t="s">
        <v>24</v>
      </c>
      <c r="G481" s="8" t="s">
        <v>841</v>
      </c>
      <c r="H481" s="20">
        <v>0</v>
      </c>
      <c r="I481" s="21">
        <f>H481/H$646</f>
        <v>0</v>
      </c>
      <c r="J481" s="22">
        <f>I481*J$676</f>
        <v>0</v>
      </c>
      <c r="K481" s="2">
        <v>0</v>
      </c>
      <c r="L481" s="21">
        <f ca="1">K481/K$646</f>
        <v>0</v>
      </c>
      <c r="M481" s="22">
        <f ca="1">L481*M$676</f>
        <v>0</v>
      </c>
      <c r="N481" s="2">
        <v>0</v>
      </c>
      <c r="O481" s="21">
        <f ca="1">N481/N$646</f>
        <v>0</v>
      </c>
      <c r="P481" s="22">
        <f ca="1">O481*P$676</f>
        <v>0</v>
      </c>
      <c r="Q481" s="2">
        <v>0</v>
      </c>
      <c r="R481" s="21">
        <f ca="1">Q481/Q$646</f>
        <v>0</v>
      </c>
      <c r="S481" s="22">
        <f ca="1">R481*S$676</f>
        <v>0</v>
      </c>
      <c r="T481" s="2">
        <v>0</v>
      </c>
      <c r="U481" s="21">
        <f ca="1">T481/T$646</f>
        <v>0</v>
      </c>
      <c r="V481" s="22">
        <f ca="1">U481*V$676</f>
        <v>0</v>
      </c>
      <c r="W481" s="2">
        <v>0</v>
      </c>
      <c r="X481" s="21">
        <f ca="1">W481/W$646</f>
        <v>0</v>
      </c>
      <c r="Y481" s="22">
        <f ca="1">X481*Y$676</f>
        <v>0</v>
      </c>
      <c r="Z481" s="2">
        <v>0</v>
      </c>
      <c r="AA481" s="21">
        <f ca="1">Z481/Z$646</f>
        <v>0</v>
      </c>
      <c r="AB481" s="22">
        <f ca="1">AA481*AB$676</f>
        <v>0</v>
      </c>
      <c r="AC481" s="2">
        <v>0</v>
      </c>
      <c r="AD481" s="21">
        <f ca="1">AC481/AC$646</f>
        <v>0</v>
      </c>
      <c r="AE481" s="22">
        <f ca="1">AD481*AE$676</f>
        <v>0</v>
      </c>
      <c r="AF481" s="2">
        <v>0</v>
      </c>
      <c r="AG481" s="21">
        <f ca="1">AF481/AF$646</f>
        <v>0</v>
      </c>
      <c r="AH481" s="22">
        <f ca="1">AG481*AH$676</f>
        <v>0</v>
      </c>
      <c r="AI481" s="2">
        <v>0</v>
      </c>
      <c r="AJ481" s="21">
        <f ca="1">AI481/AI$646</f>
        <v>0</v>
      </c>
      <c r="AK481" s="22">
        <f ca="1">AJ481*AK$676</f>
        <v>0</v>
      </c>
      <c r="AL481" s="2">
        <v>0</v>
      </c>
    </row>
    <row r="482" spans="1:38" ht="12.75" x14ac:dyDescent="0.2">
      <c r="A482" s="8" t="s">
        <v>16</v>
      </c>
      <c r="B482" s="8" t="s">
        <v>17</v>
      </c>
      <c r="C482" s="8" t="s">
        <v>18</v>
      </c>
      <c r="D482" s="8" t="s">
        <v>19</v>
      </c>
      <c r="E482" s="8" t="s">
        <v>19</v>
      </c>
      <c r="F482" s="8" t="s">
        <v>25</v>
      </c>
      <c r="G482" s="8" t="s">
        <v>842</v>
      </c>
      <c r="H482" s="20">
        <v>0</v>
      </c>
      <c r="I482" s="21">
        <f>H482/H$652</f>
        <v>0</v>
      </c>
      <c r="J482" s="22">
        <f>I482*J$682</f>
        <v>0</v>
      </c>
      <c r="K482" s="2">
        <v>0</v>
      </c>
      <c r="L482" s="21">
        <f ca="1">K482/K$652</f>
        <v>0</v>
      </c>
      <c r="M482" s="22">
        <f ca="1">L482*M$682</f>
        <v>0</v>
      </c>
      <c r="N482" s="2">
        <v>350000</v>
      </c>
      <c r="O482" s="21">
        <f ca="1">N482/N$652</f>
        <v>7.0133825987499249E-3</v>
      </c>
      <c r="P482" s="22">
        <f ca="1">O482*P$682</f>
        <v>259536.35051884985</v>
      </c>
      <c r="Q482" s="2">
        <v>350000</v>
      </c>
      <c r="R482" s="21">
        <f ca="1">Q482/Q$652</f>
        <v>7.0515422372354596E-3</v>
      </c>
      <c r="S482" s="22">
        <f ca="1">R482*S$682</f>
        <v>266950.29631704825</v>
      </c>
      <c r="T482" s="2">
        <v>350000</v>
      </c>
      <c r="U482" s="21">
        <f ca="1">T482/T$652</f>
        <v>7.9772573946254467E-3</v>
      </c>
      <c r="V482" s="22">
        <f ca="1">U482*V$682</f>
        <v>308337.00036151684</v>
      </c>
      <c r="W482" s="2">
        <v>350000</v>
      </c>
      <c r="X482" s="21">
        <f ca="1">W482/W$652</f>
        <v>7.597515785684978E-3</v>
      </c>
      <c r="Y482" s="22">
        <f ca="1">X482*Y$682</f>
        <v>299532.40994415764</v>
      </c>
      <c r="Z482" s="2">
        <v>350000</v>
      </c>
      <c r="AA482" s="21">
        <f ca="1">Z482/Z$652</f>
        <v>7.5752552722655091E-3</v>
      </c>
      <c r="AB482" s="22">
        <f ca="1">AA482*AB$682</f>
        <v>304030.57436825574</v>
      </c>
      <c r="AC482" s="2">
        <v>350000</v>
      </c>
      <c r="AD482" s="21">
        <f ca="1">AC482/AC$652</f>
        <v>5.6185746341739272E-3</v>
      </c>
      <c r="AE482" s="22">
        <f ca="1">AD482*AE$682</f>
        <v>229784.28601170363</v>
      </c>
      <c r="AF482" s="2">
        <v>350000</v>
      </c>
      <c r="AG482" s="21">
        <f ca="1">AF482/AF$652</f>
        <v>5.2292240175202016E-3</v>
      </c>
      <c r="AH482" s="22">
        <f ca="1">AG482*AH$682</f>
        <v>217710.41056057991</v>
      </c>
      <c r="AI482" s="2">
        <v>350000</v>
      </c>
      <c r="AJ482" s="21">
        <f ca="1">AI482/AI$652</f>
        <v>4.6725228170292586E-3</v>
      </c>
      <c r="AK482" s="22">
        <f ca="1">AJ482*AK$682</f>
        <v>198034.63780357203</v>
      </c>
      <c r="AL482" s="2">
        <v>3500000</v>
      </c>
    </row>
    <row r="483" spans="1:38" ht="12.75" x14ac:dyDescent="0.2">
      <c r="A483" s="8" t="s">
        <v>16</v>
      </c>
      <c r="B483" s="8" t="s">
        <v>17</v>
      </c>
      <c r="C483" s="8" t="s">
        <v>18</v>
      </c>
      <c r="D483" s="8" t="s">
        <v>19</v>
      </c>
      <c r="E483" s="8" t="s">
        <v>19</v>
      </c>
      <c r="F483" s="8" t="s">
        <v>26</v>
      </c>
      <c r="G483" s="8" t="s">
        <v>843</v>
      </c>
      <c r="H483" s="20">
        <v>0</v>
      </c>
      <c r="I483" s="21">
        <f>H483/H$655</f>
        <v>0</v>
      </c>
      <c r="J483" s="22">
        <f>I483*J$685</f>
        <v>0</v>
      </c>
      <c r="K483" s="2">
        <v>0</v>
      </c>
      <c r="L483" s="21">
        <f ca="1">K483/K$655</f>
        <v>0</v>
      </c>
      <c r="M483" s="22">
        <f ca="1">L483*M$685</f>
        <v>0</v>
      </c>
      <c r="N483" s="2">
        <v>1069618.351550414</v>
      </c>
      <c r="O483" s="21">
        <f ca="1">N483/N$655</f>
        <v>9.2470420277728487E-3</v>
      </c>
      <c r="P483" s="22">
        <f ca="1">O483*P$685</f>
        <v>26251.910863060708</v>
      </c>
      <c r="Q483" s="2">
        <v>0</v>
      </c>
      <c r="R483" s="21">
        <f ca="1">Q483/Q$655</f>
        <v>0</v>
      </c>
      <c r="S483" s="22">
        <f ca="1">R483*S$685</f>
        <v>0</v>
      </c>
      <c r="T483" s="2">
        <v>0</v>
      </c>
      <c r="U483" s="21">
        <f ca="1">T483/T$655</f>
        <v>0</v>
      </c>
      <c r="V483" s="22">
        <f ca="1">U483*V$685</f>
        <v>0</v>
      </c>
      <c r="W483" s="2">
        <v>0</v>
      </c>
      <c r="X483" s="21">
        <f ca="1">W483/W$655</f>
        <v>0</v>
      </c>
      <c r="Y483" s="22">
        <f ca="1">X483*Y$685</f>
        <v>0</v>
      </c>
      <c r="Z483" s="2">
        <v>0</v>
      </c>
      <c r="AA483" s="21">
        <f ca="1">Z483/Z$655</f>
        <v>0</v>
      </c>
      <c r="AB483" s="22">
        <f ca="1">AA483*AB$685</f>
        <v>0</v>
      </c>
      <c r="AC483" s="2">
        <v>0</v>
      </c>
      <c r="AD483" s="21">
        <f ca="1">AC483/AC$655</f>
        <v>0</v>
      </c>
      <c r="AE483" s="22">
        <f ca="1">AD483*AE$685</f>
        <v>0</v>
      </c>
      <c r="AF483" s="2">
        <v>0</v>
      </c>
      <c r="AG483" s="21">
        <f ca="1">AF483/AF$655</f>
        <v>0</v>
      </c>
      <c r="AH483" s="22">
        <f ca="1">AG483*AH$685</f>
        <v>0</v>
      </c>
      <c r="AI483" s="2">
        <v>0</v>
      </c>
      <c r="AJ483" s="21">
        <f ca="1">AI483/AI$655</f>
        <v>0</v>
      </c>
      <c r="AK483" s="22">
        <f ca="1">AJ483*AK$685</f>
        <v>0</v>
      </c>
      <c r="AL483" s="2">
        <v>1069618.351550414</v>
      </c>
    </row>
    <row r="484" spans="1:38" ht="12.75" x14ac:dyDescent="0.2">
      <c r="A484" s="8" t="s">
        <v>16</v>
      </c>
      <c r="B484" s="8" t="s">
        <v>17</v>
      </c>
      <c r="C484" s="8" t="s">
        <v>18</v>
      </c>
      <c r="D484" s="8" t="s">
        <v>19</v>
      </c>
      <c r="E484" s="8" t="s">
        <v>19</v>
      </c>
      <c r="F484" s="8" t="s">
        <v>27</v>
      </c>
      <c r="G484" s="8" t="s">
        <v>844</v>
      </c>
      <c r="H484" s="20">
        <v>264231.94164405949</v>
      </c>
      <c r="I484" s="21">
        <f>H484/H$657</f>
        <v>5.1806888808963378E-3</v>
      </c>
      <c r="J484" s="22">
        <f>I484*J$687</f>
        <v>53739.187328448977</v>
      </c>
      <c r="K484" s="2">
        <v>0</v>
      </c>
      <c r="L484" s="21">
        <f ca="1">K484/K$657</f>
        <v>0</v>
      </c>
      <c r="M484" s="22">
        <f ca="1">L484*M$687</f>
        <v>0</v>
      </c>
      <c r="N484" s="2">
        <v>0</v>
      </c>
      <c r="O484" s="21">
        <f ca="1">N484/N$657</f>
        <v>0</v>
      </c>
      <c r="P484" s="22">
        <f ca="1">O484*P$687</f>
        <v>0</v>
      </c>
      <c r="Q484" s="2">
        <v>0</v>
      </c>
      <c r="R484" s="21">
        <f ca="1">Q484/Q$657</f>
        <v>0</v>
      </c>
      <c r="S484" s="22">
        <f ca="1">R484*S$687</f>
        <v>0</v>
      </c>
      <c r="T484" s="2">
        <v>0</v>
      </c>
      <c r="U484" s="21">
        <f ca="1">T484/T$657</f>
        <v>0</v>
      </c>
      <c r="V484" s="22">
        <f ca="1">U484*V$687</f>
        <v>0</v>
      </c>
      <c r="W484" s="2">
        <v>0</v>
      </c>
      <c r="X484" s="21">
        <f ca="1">W484/W$657</f>
        <v>0</v>
      </c>
      <c r="Y484" s="22">
        <f ca="1">X484*Y$687</f>
        <v>0</v>
      </c>
      <c r="Z484" s="2">
        <v>0</v>
      </c>
      <c r="AA484" s="21">
        <f ca="1">Z484/Z$657</f>
        <v>0</v>
      </c>
      <c r="AB484" s="22">
        <f ca="1">AA484*AB$687</f>
        <v>0</v>
      </c>
      <c r="AC484" s="2">
        <v>0</v>
      </c>
      <c r="AD484" s="21">
        <f ca="1">AC484/AC$657</f>
        <v>0</v>
      </c>
      <c r="AE484" s="22">
        <f ca="1">AD484*AE$687</f>
        <v>0</v>
      </c>
      <c r="AF484" s="2">
        <v>0</v>
      </c>
      <c r="AG484" s="21">
        <f ca="1">AF484/AF$657</f>
        <v>0</v>
      </c>
      <c r="AH484" s="22">
        <f ca="1">AG484*AH$687</f>
        <v>0</v>
      </c>
      <c r="AI484" s="2">
        <v>0</v>
      </c>
      <c r="AJ484" s="21">
        <f ca="1">AI484/AI$657</f>
        <v>0</v>
      </c>
      <c r="AK484" s="22">
        <f ca="1">AJ484*AK$687</f>
        <v>0</v>
      </c>
      <c r="AL484" s="2">
        <v>67379.145119235167</v>
      </c>
    </row>
    <row r="485" spans="1:38" ht="12.75" x14ac:dyDescent="0.2">
      <c r="A485" s="8" t="s">
        <v>16</v>
      </c>
      <c r="B485" s="8" t="s">
        <v>17</v>
      </c>
      <c r="C485" s="8" t="s">
        <v>18</v>
      </c>
      <c r="D485" s="8" t="s">
        <v>19</v>
      </c>
      <c r="E485" s="8" t="s">
        <v>19</v>
      </c>
      <c r="F485" s="8" t="s">
        <v>28</v>
      </c>
      <c r="G485" s="8" t="s">
        <v>845</v>
      </c>
      <c r="H485" s="20">
        <v>0</v>
      </c>
      <c r="I485" s="21">
        <f>H485/H$669</f>
        <v>0</v>
      </c>
      <c r="J485" s="22">
        <f>I485*J$699</f>
        <v>0</v>
      </c>
      <c r="K485" s="2">
        <v>0</v>
      </c>
      <c r="L485" s="21">
        <f ca="1">K485/K$669</f>
        <v>0</v>
      </c>
      <c r="M485" s="22">
        <f ca="1">L485*M$699</f>
        <v>0</v>
      </c>
      <c r="N485" s="2">
        <v>0</v>
      </c>
      <c r="O485" s="21">
        <f ca="1">N485/N$669</f>
        <v>0</v>
      </c>
      <c r="P485" s="22">
        <f ca="1">O485*P$699</f>
        <v>0</v>
      </c>
      <c r="Q485" s="2">
        <v>0</v>
      </c>
      <c r="R485" s="21">
        <f ca="1">Q485/Q$669</f>
        <v>0</v>
      </c>
      <c r="S485" s="22">
        <f ca="1">R485*S$699</f>
        <v>0</v>
      </c>
      <c r="T485" s="2">
        <v>927895.26018493855</v>
      </c>
      <c r="U485" s="21">
        <f ca="1">T485/T$669</f>
        <v>3.2503875913711712E-2</v>
      </c>
      <c r="V485" s="22">
        <f ca="1">U485*V$699</f>
        <v>165096.11328030025</v>
      </c>
      <c r="W485" s="2">
        <v>0</v>
      </c>
      <c r="X485" s="21">
        <f ca="1">W485/W$669</f>
        <v>0</v>
      </c>
      <c r="Y485" s="22">
        <f ca="1">X485*Y$699</f>
        <v>0</v>
      </c>
      <c r="Z485" s="2">
        <v>0</v>
      </c>
      <c r="AA485" s="21">
        <f ca="1">Z485/Z$669</f>
        <v>0</v>
      </c>
      <c r="AB485" s="22">
        <f ca="1">AA485*AB$699</f>
        <v>0</v>
      </c>
      <c r="AC485" s="2">
        <v>0</v>
      </c>
      <c r="AD485" s="21">
        <f ca="1">AC485/AC$669</f>
        <v>0</v>
      </c>
      <c r="AE485" s="22">
        <f ca="1">AD485*AE$699</f>
        <v>0</v>
      </c>
      <c r="AF485" s="2">
        <v>0</v>
      </c>
      <c r="AG485" s="21">
        <f ca="1">AF485/AF$669</f>
        <v>0</v>
      </c>
      <c r="AH485" s="22">
        <f ca="1">AG485*AH$699</f>
        <v>0</v>
      </c>
      <c r="AI485" s="2">
        <v>0</v>
      </c>
      <c r="AJ485" s="21">
        <f ca="1">AI485/AI$669</f>
        <v>0</v>
      </c>
      <c r="AK485" s="22">
        <f ca="1">AJ485*AK$699</f>
        <v>0</v>
      </c>
      <c r="AL485" s="2">
        <v>927895.26018493855</v>
      </c>
    </row>
    <row r="486" spans="1:38" ht="12.75" x14ac:dyDescent="0.2">
      <c r="A486" s="8" t="s">
        <v>16</v>
      </c>
      <c r="B486" s="8" t="s">
        <v>17</v>
      </c>
      <c r="C486" s="8" t="s">
        <v>18</v>
      </c>
      <c r="D486" s="8" t="s">
        <v>31</v>
      </c>
      <c r="E486" s="8" t="s">
        <v>151</v>
      </c>
      <c r="F486" s="8" t="s">
        <v>21</v>
      </c>
      <c r="G486" s="8" t="s">
        <v>846</v>
      </c>
      <c r="H486" s="20">
        <v>0</v>
      </c>
      <c r="I486" s="21">
        <f t="shared" ref="I486:I487" si="1100">H486/H$645</f>
        <v>0</v>
      </c>
      <c r="J486" s="22">
        <f t="shared" ref="J486:J487" si="1101">I486*J$675</f>
        <v>0</v>
      </c>
      <c r="K486" s="2">
        <v>0</v>
      </c>
      <c r="L486" s="21">
        <f t="shared" ref="L486:L487" ca="1" si="1102">K486/K$645</f>
        <v>0</v>
      </c>
      <c r="M486" s="22">
        <f t="shared" ref="M486:M487" ca="1" si="1103">L486*M$675</f>
        <v>0</v>
      </c>
      <c r="N486" s="2">
        <v>0</v>
      </c>
      <c r="O486" s="21">
        <f t="shared" ref="O486:O487" ca="1" si="1104">N486/N$645</f>
        <v>0</v>
      </c>
      <c r="P486" s="22">
        <f t="shared" ref="P486:P487" ca="1" si="1105">O486*P$675</f>
        <v>0</v>
      </c>
      <c r="Q486" s="2">
        <v>0</v>
      </c>
      <c r="R486" s="21">
        <f t="shared" ref="R486:R487" ca="1" si="1106">Q486/Q$645</f>
        <v>0</v>
      </c>
      <c r="S486" s="22">
        <f t="shared" ref="S486:S487" ca="1" si="1107">R486*S$675</f>
        <v>0</v>
      </c>
      <c r="T486" s="2">
        <v>0</v>
      </c>
      <c r="U486" s="21">
        <f t="shared" ref="U486:U487" ca="1" si="1108">T486/T$645</f>
        <v>0</v>
      </c>
      <c r="V486" s="22">
        <f t="shared" ref="V486:V487" ca="1" si="1109">U486*V$675</f>
        <v>0</v>
      </c>
      <c r="W486" s="2">
        <v>0</v>
      </c>
      <c r="X486" s="21">
        <f t="shared" ref="X486:X487" ca="1" si="1110">W486/W$645</f>
        <v>0</v>
      </c>
      <c r="Y486" s="22">
        <f t="shared" ref="Y486:Y487" ca="1" si="1111">X486*Y$675</f>
        <v>0</v>
      </c>
      <c r="Z486" s="2">
        <v>0</v>
      </c>
      <c r="AA486" s="21">
        <f t="shared" ref="AA486:AA487" ca="1" si="1112">Z486/Z$645</f>
        <v>0</v>
      </c>
      <c r="AB486" s="22">
        <f t="shared" ref="AB486:AB487" ca="1" si="1113">AA486*AB$675</f>
        <v>0</v>
      </c>
      <c r="AC486" s="2">
        <v>0</v>
      </c>
      <c r="AD486" s="21">
        <f t="shared" ref="AD486:AD487" ca="1" si="1114">AC486/AC$645</f>
        <v>0</v>
      </c>
      <c r="AE486" s="22">
        <f t="shared" ref="AE486:AE487" ca="1" si="1115">AD486*AE$675</f>
        <v>0</v>
      </c>
      <c r="AF486" s="2">
        <v>0</v>
      </c>
      <c r="AG486" s="21">
        <f t="shared" ref="AG486:AG487" ca="1" si="1116">AF486/AF$645</f>
        <v>0</v>
      </c>
      <c r="AH486" s="22">
        <f t="shared" ref="AH486:AH487" ca="1" si="1117">AG486*AH$675</f>
        <v>0</v>
      </c>
      <c r="AI486" s="2">
        <v>0</v>
      </c>
      <c r="AJ486" s="21">
        <f t="shared" ref="AJ486:AJ487" ca="1" si="1118">AI486/AI$645</f>
        <v>0</v>
      </c>
      <c r="AK486" s="22">
        <f t="shared" ref="AK486:AK487" ca="1" si="1119">AJ486*AK$675</f>
        <v>0</v>
      </c>
      <c r="AL486" s="2">
        <v>0</v>
      </c>
    </row>
    <row r="487" spans="1:38" ht="12.75" x14ac:dyDescent="0.2">
      <c r="A487" s="8" t="s">
        <v>16</v>
      </c>
      <c r="B487" s="8" t="s">
        <v>17</v>
      </c>
      <c r="C487" s="8" t="s">
        <v>18</v>
      </c>
      <c r="D487" s="8" t="s">
        <v>31</v>
      </c>
      <c r="E487" s="8" t="s">
        <v>151</v>
      </c>
      <c r="F487" s="8" t="s">
        <v>21</v>
      </c>
      <c r="G487" s="8" t="s">
        <v>847</v>
      </c>
      <c r="H487" s="20">
        <v>460000</v>
      </c>
      <c r="I487" s="21">
        <f t="shared" si="1100"/>
        <v>3.0445084573064177E-2</v>
      </c>
      <c r="J487" s="22">
        <f t="shared" si="1101"/>
        <v>4298.8459417166614</v>
      </c>
      <c r="K487" s="2">
        <v>460000</v>
      </c>
      <c r="L487" s="21">
        <f t="shared" ca="1" si="1102"/>
        <v>3.0067452715222247E-2</v>
      </c>
      <c r="M487" s="22">
        <f t="shared" ca="1" si="1103"/>
        <v>12972.903148509791</v>
      </c>
      <c r="N487" s="2">
        <v>0</v>
      </c>
      <c r="O487" s="21">
        <f t="shared" ca="1" si="1104"/>
        <v>0</v>
      </c>
      <c r="P487" s="22">
        <f t="shared" ca="1" si="1105"/>
        <v>0</v>
      </c>
      <c r="Q487" s="2">
        <v>0</v>
      </c>
      <c r="R487" s="21">
        <f t="shared" ca="1" si="1106"/>
        <v>0</v>
      </c>
      <c r="S487" s="22">
        <f t="shared" ca="1" si="1107"/>
        <v>0</v>
      </c>
      <c r="T487" s="2">
        <v>0</v>
      </c>
      <c r="U487" s="21">
        <f t="shared" ca="1" si="1108"/>
        <v>0</v>
      </c>
      <c r="V487" s="22">
        <f t="shared" ca="1" si="1109"/>
        <v>0</v>
      </c>
      <c r="W487" s="2">
        <v>0</v>
      </c>
      <c r="X487" s="21">
        <f t="shared" ca="1" si="1110"/>
        <v>0</v>
      </c>
      <c r="Y487" s="22">
        <f t="shared" ca="1" si="1111"/>
        <v>0</v>
      </c>
      <c r="Z487" s="2">
        <v>0</v>
      </c>
      <c r="AA487" s="21">
        <f t="shared" ca="1" si="1112"/>
        <v>0</v>
      </c>
      <c r="AB487" s="22">
        <f t="shared" ca="1" si="1113"/>
        <v>0</v>
      </c>
      <c r="AC487" s="2">
        <v>0</v>
      </c>
      <c r="AD487" s="21">
        <f t="shared" ca="1" si="1114"/>
        <v>0</v>
      </c>
      <c r="AE487" s="22">
        <f t="shared" ca="1" si="1115"/>
        <v>0</v>
      </c>
      <c r="AF487" s="2">
        <v>0</v>
      </c>
      <c r="AG487" s="21">
        <f t="shared" ca="1" si="1116"/>
        <v>0</v>
      </c>
      <c r="AH487" s="22">
        <f t="shared" ca="1" si="1117"/>
        <v>0</v>
      </c>
      <c r="AI487" s="2">
        <v>0</v>
      </c>
      <c r="AJ487" s="21">
        <f t="shared" ca="1" si="1118"/>
        <v>0</v>
      </c>
      <c r="AK487" s="22">
        <f t="shared" ca="1" si="1119"/>
        <v>0</v>
      </c>
      <c r="AL487" s="2">
        <v>0</v>
      </c>
    </row>
    <row r="488" spans="1:38" ht="12.75" x14ac:dyDescent="0.2">
      <c r="A488" s="8" t="s">
        <v>16</v>
      </c>
      <c r="B488" s="8" t="s">
        <v>17</v>
      </c>
      <c r="C488" s="8" t="s">
        <v>18</v>
      </c>
      <c r="D488" s="8" t="s">
        <v>31</v>
      </c>
      <c r="E488" s="8" t="s">
        <v>151</v>
      </c>
      <c r="F488" s="8" t="s">
        <v>24</v>
      </c>
      <c r="G488" s="8" t="s">
        <v>848</v>
      </c>
      <c r="H488" s="20">
        <v>0</v>
      </c>
      <c r="I488" s="21">
        <f t="shared" ref="I488:I489" si="1120">H488/H$646</f>
        <v>0</v>
      </c>
      <c r="J488" s="22">
        <f t="shared" ref="J488:J489" si="1121">I488*J$676</f>
        <v>0</v>
      </c>
      <c r="K488" s="2">
        <v>72641.443815873034</v>
      </c>
      <c r="L488" s="21">
        <f t="shared" ref="L488:L489" ca="1" si="1122">K488/K$646</f>
        <v>1.1501856572228816E-3</v>
      </c>
      <c r="M488" s="22">
        <f t="shared" ref="M488:M489" ca="1" si="1123">L488*M$676</f>
        <v>4471.9371327518047</v>
      </c>
      <c r="N488" s="2">
        <v>0</v>
      </c>
      <c r="O488" s="21">
        <f t="shared" ref="O488:O489" ca="1" si="1124">N488/N$646</f>
        <v>0</v>
      </c>
      <c r="P488" s="22">
        <f t="shared" ref="P488:P489" ca="1" si="1125">O488*P$676</f>
        <v>0</v>
      </c>
      <c r="Q488" s="2">
        <v>0</v>
      </c>
      <c r="R488" s="21">
        <f t="shared" ref="R488:R489" ca="1" si="1126">Q488/Q$646</f>
        <v>0</v>
      </c>
      <c r="S488" s="22">
        <f t="shared" ref="S488:S489" ca="1" si="1127">R488*S$676</f>
        <v>0</v>
      </c>
      <c r="T488" s="2">
        <v>0</v>
      </c>
      <c r="U488" s="21">
        <f t="shared" ref="U488:U489" ca="1" si="1128">T488/T$646</f>
        <v>0</v>
      </c>
      <c r="V488" s="22">
        <f t="shared" ref="V488:V489" ca="1" si="1129">U488*V$676</f>
        <v>0</v>
      </c>
      <c r="W488" s="2">
        <v>0</v>
      </c>
      <c r="X488" s="21">
        <f t="shared" ref="X488:X489" ca="1" si="1130">W488/W$646</f>
        <v>0</v>
      </c>
      <c r="Y488" s="22">
        <f t="shared" ref="Y488:Y489" ca="1" si="1131">X488*Y$676</f>
        <v>0</v>
      </c>
      <c r="Z488" s="2">
        <v>0</v>
      </c>
      <c r="AA488" s="21">
        <f t="shared" ref="AA488:AA489" ca="1" si="1132">Z488/Z$646</f>
        <v>0</v>
      </c>
      <c r="AB488" s="22">
        <f t="shared" ref="AB488:AB489" ca="1" si="1133">AA488*AB$676</f>
        <v>0</v>
      </c>
      <c r="AC488" s="2">
        <v>0</v>
      </c>
      <c r="AD488" s="21">
        <f t="shared" ref="AD488:AD489" ca="1" si="1134">AC488/AC$646</f>
        <v>0</v>
      </c>
      <c r="AE488" s="22">
        <f t="shared" ref="AE488:AE489" ca="1" si="1135">AD488*AE$676</f>
        <v>0</v>
      </c>
      <c r="AF488" s="2">
        <v>3078889.7131322208</v>
      </c>
      <c r="AG488" s="21">
        <f t="shared" ref="AG488:AG489" ca="1" si="1136">AF488/AF$646</f>
        <v>3.2707614128377291E-2</v>
      </c>
      <c r="AH488" s="22">
        <f t="shared" ref="AH488:AH489" ca="1" si="1137">AG488*AH$676</f>
        <v>625159.11517918052</v>
      </c>
      <c r="AI488" s="2">
        <v>1176952.7913662542</v>
      </c>
      <c r="AJ488" s="21">
        <f t="shared" ref="AJ488:AJ489" ca="1" si="1138">AI488/AI$646</f>
        <v>9.5262154655759192E-3</v>
      </c>
      <c r="AK488" s="22">
        <f t="shared" ref="AK488:AK489" ca="1" si="1139">AJ488*AK$676</f>
        <v>185357.37930362893</v>
      </c>
      <c r="AL488" s="2">
        <v>5657561.4548231093</v>
      </c>
    </row>
    <row r="489" spans="1:38" ht="12.75" x14ac:dyDescent="0.2">
      <c r="A489" s="8" t="s">
        <v>16</v>
      </c>
      <c r="B489" s="8" t="s">
        <v>17</v>
      </c>
      <c r="C489" s="8" t="s">
        <v>18</v>
      </c>
      <c r="D489" s="8" t="s">
        <v>31</v>
      </c>
      <c r="E489" s="8" t="s">
        <v>151</v>
      </c>
      <c r="F489" s="8" t="s">
        <v>24</v>
      </c>
      <c r="G489" s="8" t="s">
        <v>849</v>
      </c>
      <c r="H489" s="20">
        <v>11865000</v>
      </c>
      <c r="I489" s="21">
        <f t="shared" si="1120"/>
        <v>0.14450286400623921</v>
      </c>
      <c r="J489" s="22">
        <f t="shared" si="1121"/>
        <v>310918.14231038454</v>
      </c>
      <c r="K489" s="2">
        <v>11865000</v>
      </c>
      <c r="L489" s="21">
        <f t="shared" ca="1" si="1122"/>
        <v>0.18786731246065164</v>
      </c>
      <c r="M489" s="22">
        <f t="shared" ca="1" si="1123"/>
        <v>730430.60948226927</v>
      </c>
      <c r="N489" s="2">
        <v>0</v>
      </c>
      <c r="O489" s="21">
        <f t="shared" ca="1" si="1124"/>
        <v>0</v>
      </c>
      <c r="P489" s="22">
        <f t="shared" ca="1" si="1125"/>
        <v>0</v>
      </c>
      <c r="Q489" s="2">
        <v>913605.13378975587</v>
      </c>
      <c r="R489" s="21">
        <f t="shared" ca="1" si="1126"/>
        <v>8.2142077175759165E-3</v>
      </c>
      <c r="S489" s="22">
        <f t="shared" ca="1" si="1127"/>
        <v>142761.70605023537</v>
      </c>
      <c r="T489" s="2">
        <v>0</v>
      </c>
      <c r="U489" s="21">
        <f t="shared" ca="1" si="1128"/>
        <v>0</v>
      </c>
      <c r="V489" s="22">
        <f t="shared" ca="1" si="1129"/>
        <v>0</v>
      </c>
      <c r="W489" s="2">
        <v>0</v>
      </c>
      <c r="X489" s="21">
        <f t="shared" ca="1" si="1130"/>
        <v>0</v>
      </c>
      <c r="Y489" s="22">
        <f t="shared" ca="1" si="1131"/>
        <v>0</v>
      </c>
      <c r="Z489" s="2">
        <v>0</v>
      </c>
      <c r="AA489" s="21">
        <f t="shared" ca="1" si="1132"/>
        <v>0</v>
      </c>
      <c r="AB489" s="22">
        <f t="shared" ca="1" si="1133"/>
        <v>0</v>
      </c>
      <c r="AC489" s="2">
        <v>0</v>
      </c>
      <c r="AD489" s="21">
        <f t="shared" ca="1" si="1134"/>
        <v>0</v>
      </c>
      <c r="AE489" s="22">
        <f t="shared" ca="1" si="1135"/>
        <v>0</v>
      </c>
      <c r="AF489" s="2">
        <v>0</v>
      </c>
      <c r="AG489" s="21">
        <f t="shared" ca="1" si="1136"/>
        <v>0</v>
      </c>
      <c r="AH489" s="22">
        <f t="shared" ca="1" si="1137"/>
        <v>0</v>
      </c>
      <c r="AI489" s="2">
        <v>0</v>
      </c>
      <c r="AJ489" s="21">
        <f t="shared" ca="1" si="1138"/>
        <v>0</v>
      </c>
      <c r="AK489" s="22">
        <f t="shared" ca="1" si="1139"/>
        <v>0</v>
      </c>
      <c r="AL489" s="2">
        <v>913605.13378975587</v>
      </c>
    </row>
    <row r="490" spans="1:38" ht="12.75" x14ac:dyDescent="0.2">
      <c r="A490" s="8" t="s">
        <v>16</v>
      </c>
      <c r="B490" s="8" t="s">
        <v>17</v>
      </c>
      <c r="C490" s="8" t="s">
        <v>18</v>
      </c>
      <c r="D490" s="8" t="s">
        <v>31</v>
      </c>
      <c r="E490" s="8" t="s">
        <v>151</v>
      </c>
      <c r="F490" s="23" t="s">
        <v>22</v>
      </c>
      <c r="G490" s="8" t="s">
        <v>850</v>
      </c>
      <c r="H490" s="20">
        <v>6750000</v>
      </c>
      <c r="I490" s="21">
        <f>H490/H$650</f>
        <v>0.13502584324386713</v>
      </c>
      <c r="J490" s="22">
        <f>I490*J$680</f>
        <v>2314960.5614068802</v>
      </c>
      <c r="K490" s="2">
        <v>6750000</v>
      </c>
      <c r="L490" s="21">
        <f ca="1">K490/K$650</f>
        <v>0.15889891304794143</v>
      </c>
      <c r="M490" s="22">
        <f ca="1">L490*M$680</f>
        <v>1755254.9149340845</v>
      </c>
      <c r="N490" s="2">
        <v>250000</v>
      </c>
      <c r="O490" s="21">
        <f ca="1">N490/N$650</f>
        <v>3.15513778530568E-3</v>
      </c>
      <c r="P490" s="22">
        <f ca="1">O490*P$680</f>
        <v>35758.966777600035</v>
      </c>
      <c r="Q490" s="2">
        <v>250000</v>
      </c>
      <c r="R490" s="21">
        <f ca="1">Q490/Q$650</f>
        <v>3.9705215070321197E-3</v>
      </c>
      <c r="S490" s="22">
        <f ca="1">R490*S$680</f>
        <v>46035.177133610472</v>
      </c>
      <c r="T490" s="2">
        <v>250000</v>
      </c>
      <c r="U490" s="21">
        <f ca="1">T490/T$650</f>
        <v>8.7749913025229036E-3</v>
      </c>
      <c r="V490" s="22">
        <f ca="1">U490*V$680</f>
        <v>103875.87679146456</v>
      </c>
      <c r="W490" s="2">
        <v>250000</v>
      </c>
      <c r="X490" s="21">
        <f ca="1">W490/W$650</f>
        <v>6.2794716660169178E-3</v>
      </c>
      <c r="Y490" s="22">
        <f ca="1">X490*Y$680</f>
        <v>75821.310206460257</v>
      </c>
      <c r="Z490" s="2">
        <v>250000</v>
      </c>
      <c r="AA490" s="21">
        <f ca="1">Z490/Z$650</f>
        <v>7.6506637130853705E-3</v>
      </c>
      <c r="AB490" s="22">
        <f ca="1">AA490*AB$680</f>
        <v>94040.530517876599</v>
      </c>
      <c r="AC490" s="2">
        <v>250000</v>
      </c>
      <c r="AD490" s="21">
        <f ca="1">AC490/AC$650</f>
        <v>7.8339617889486707E-3</v>
      </c>
      <c r="AE490" s="22">
        <f ca="1">AD490*AE$680</f>
        <v>98123.174633129034</v>
      </c>
      <c r="AF490" s="2">
        <v>250000</v>
      </c>
      <c r="AG490" s="21">
        <f ca="1">AF490/AF$650</f>
        <v>7.0908602258265736E-3</v>
      </c>
      <c r="AH490" s="22">
        <f ca="1">AG490*AH$680</f>
        <v>90414.241754044895</v>
      </c>
      <c r="AI490" s="2">
        <v>250000</v>
      </c>
      <c r="AJ490" s="21">
        <f ca="1">AI490/AI$650</f>
        <v>5.2744206091587314E-3</v>
      </c>
      <c r="AK490" s="22">
        <f ca="1">AJ490*AK$680</f>
        <v>68463.714369307098</v>
      </c>
      <c r="AL490" s="2">
        <v>2500000</v>
      </c>
    </row>
    <row r="491" spans="1:38" ht="12.75" x14ac:dyDescent="0.2">
      <c r="A491" s="8" t="s">
        <v>16</v>
      </c>
      <c r="B491" s="8" t="s">
        <v>17</v>
      </c>
      <c r="C491" s="8" t="s">
        <v>18</v>
      </c>
      <c r="D491" s="8" t="s">
        <v>31</v>
      </c>
      <c r="E491" s="8" t="s">
        <v>151</v>
      </c>
      <c r="F491" s="8" t="s">
        <v>26</v>
      </c>
      <c r="G491" s="8" t="s">
        <v>851</v>
      </c>
      <c r="H491" s="20">
        <v>0</v>
      </c>
      <c r="I491" s="21">
        <f t="shared" ref="I491:I492" si="1140">H491/H$655</f>
        <v>0</v>
      </c>
      <c r="J491" s="22">
        <f t="shared" ref="J491:J492" si="1141">I491*J$685</f>
        <v>0</v>
      </c>
      <c r="K491" s="2">
        <v>0</v>
      </c>
      <c r="L491" s="21">
        <f t="shared" ref="L491:L492" ca="1" si="1142">K491/K$655</f>
        <v>0</v>
      </c>
      <c r="M491" s="22">
        <f t="shared" ref="M491:M492" ca="1" si="1143">L491*M$685</f>
        <v>0</v>
      </c>
      <c r="N491" s="2">
        <v>0</v>
      </c>
      <c r="O491" s="21">
        <f t="shared" ref="O491:O492" ca="1" si="1144">N491/N$655</f>
        <v>0</v>
      </c>
      <c r="P491" s="22">
        <f t="shared" ref="P491:P492" ca="1" si="1145">O491*P$685</f>
        <v>0</v>
      </c>
      <c r="Q491" s="2">
        <v>82578.965938150912</v>
      </c>
      <c r="R491" s="21">
        <f t="shared" ref="R491:R492" ca="1" si="1146">Q491/Q$655</f>
        <v>5.931654382898418E-4</v>
      </c>
      <c r="S491" s="22">
        <f t="shared" ref="S491:S492" ca="1" si="1147">R491*S$685</f>
        <v>1722.6996327288666</v>
      </c>
      <c r="T491" s="2">
        <v>0</v>
      </c>
      <c r="U491" s="21">
        <f t="shared" ref="U491:U492" ca="1" si="1148">T491/T$655</f>
        <v>0</v>
      </c>
      <c r="V491" s="22">
        <f t="shared" ref="V491:V492" ca="1" si="1149">U491*V$685</f>
        <v>0</v>
      </c>
      <c r="W491" s="2">
        <v>0</v>
      </c>
      <c r="X491" s="21">
        <f t="shared" ref="X491:X492" ca="1" si="1150">W491/W$655</f>
        <v>0</v>
      </c>
      <c r="Y491" s="22">
        <f t="shared" ref="Y491:Y492" ca="1" si="1151">X491*Y$685</f>
        <v>0</v>
      </c>
      <c r="Z491" s="2">
        <v>0</v>
      </c>
      <c r="AA491" s="21">
        <f t="shared" ref="AA491:AA492" ca="1" si="1152">Z491/Z$655</f>
        <v>0</v>
      </c>
      <c r="AB491" s="22">
        <f t="shared" ref="AB491:AB492" ca="1" si="1153">AA491*AB$685</f>
        <v>0</v>
      </c>
      <c r="AC491" s="2">
        <v>0</v>
      </c>
      <c r="AD491" s="21">
        <f t="shared" ref="AD491:AD492" ca="1" si="1154">AC491/AC$655</f>
        <v>0</v>
      </c>
      <c r="AE491" s="22">
        <f t="shared" ref="AE491:AE492" ca="1" si="1155">AD491*AE$685</f>
        <v>0</v>
      </c>
      <c r="AF491" s="2">
        <v>0</v>
      </c>
      <c r="AG491" s="21">
        <f t="shared" ref="AG491:AG492" ca="1" si="1156">AF491/AF$655</f>
        <v>0</v>
      </c>
      <c r="AH491" s="22">
        <f t="shared" ref="AH491:AH492" ca="1" si="1157">AG491*AH$685</f>
        <v>0</v>
      </c>
      <c r="AI491" s="2">
        <v>0</v>
      </c>
      <c r="AJ491" s="21">
        <f t="shared" ref="AJ491:AJ492" ca="1" si="1158">AI491/AI$655</f>
        <v>0</v>
      </c>
      <c r="AK491" s="22">
        <f t="shared" ref="AK491:AK492" ca="1" si="1159">AJ491*AK$685</f>
        <v>0</v>
      </c>
      <c r="AL491" s="2">
        <v>82578.965938150912</v>
      </c>
    </row>
    <row r="492" spans="1:38" ht="12.75" x14ac:dyDescent="0.2">
      <c r="A492" s="8" t="s">
        <v>16</v>
      </c>
      <c r="B492" s="8" t="s">
        <v>17</v>
      </c>
      <c r="C492" s="8" t="s">
        <v>18</v>
      </c>
      <c r="D492" s="8" t="s">
        <v>31</v>
      </c>
      <c r="E492" s="8" t="s">
        <v>151</v>
      </c>
      <c r="F492" s="8" t="s">
        <v>26</v>
      </c>
      <c r="G492" s="8" t="s">
        <v>852</v>
      </c>
      <c r="H492" s="20">
        <v>0</v>
      </c>
      <c r="I492" s="21">
        <f t="shared" si="1140"/>
        <v>0</v>
      </c>
      <c r="J492" s="22">
        <f t="shared" si="1141"/>
        <v>0</v>
      </c>
      <c r="K492" s="2">
        <v>0</v>
      </c>
      <c r="L492" s="21">
        <f t="shared" ca="1" si="1142"/>
        <v>0</v>
      </c>
      <c r="M492" s="22">
        <f t="shared" ca="1" si="1143"/>
        <v>0</v>
      </c>
      <c r="N492" s="2">
        <v>0</v>
      </c>
      <c r="O492" s="21">
        <f t="shared" ca="1" si="1144"/>
        <v>0</v>
      </c>
      <c r="P492" s="22">
        <f t="shared" ca="1" si="1145"/>
        <v>0</v>
      </c>
      <c r="Q492" s="2">
        <v>0</v>
      </c>
      <c r="R492" s="21">
        <f t="shared" ca="1" si="1146"/>
        <v>0</v>
      </c>
      <c r="S492" s="22">
        <f t="shared" ca="1" si="1147"/>
        <v>0</v>
      </c>
      <c r="T492" s="2">
        <v>0</v>
      </c>
      <c r="U492" s="21">
        <f t="shared" ca="1" si="1148"/>
        <v>0</v>
      </c>
      <c r="V492" s="22">
        <f t="shared" ca="1" si="1149"/>
        <v>0</v>
      </c>
      <c r="W492" s="2">
        <v>0</v>
      </c>
      <c r="X492" s="21">
        <f t="shared" ca="1" si="1150"/>
        <v>0</v>
      </c>
      <c r="Y492" s="22">
        <f t="shared" ca="1" si="1151"/>
        <v>0</v>
      </c>
      <c r="Z492" s="2">
        <v>0</v>
      </c>
      <c r="AA492" s="21">
        <f t="shared" ca="1" si="1152"/>
        <v>0</v>
      </c>
      <c r="AB492" s="22">
        <f t="shared" ca="1" si="1153"/>
        <v>0</v>
      </c>
      <c r="AC492" s="2">
        <v>904729.94960834086</v>
      </c>
      <c r="AD492" s="21">
        <f t="shared" ca="1" si="1154"/>
        <v>8.0306165294398504E-3</v>
      </c>
      <c r="AE492" s="22">
        <f t="shared" ca="1" si="1155"/>
        <v>25195.93544870448</v>
      </c>
      <c r="AF492" s="2">
        <v>0</v>
      </c>
      <c r="AG492" s="21">
        <f t="shared" ca="1" si="1156"/>
        <v>0</v>
      </c>
      <c r="AH492" s="22">
        <f t="shared" ca="1" si="1157"/>
        <v>0</v>
      </c>
      <c r="AI492" s="2">
        <v>0</v>
      </c>
      <c r="AJ492" s="21">
        <f t="shared" ca="1" si="1158"/>
        <v>0</v>
      </c>
      <c r="AK492" s="22">
        <f t="shared" ca="1" si="1159"/>
        <v>0</v>
      </c>
      <c r="AL492" s="2">
        <v>904729.94960834086</v>
      </c>
    </row>
    <row r="493" spans="1:38" ht="12.75" x14ac:dyDescent="0.2">
      <c r="A493" s="8" t="s">
        <v>16</v>
      </c>
      <c r="B493" s="8" t="s">
        <v>17</v>
      </c>
      <c r="C493" s="8" t="s">
        <v>18</v>
      </c>
      <c r="D493" s="8" t="s">
        <v>31</v>
      </c>
      <c r="E493" s="8" t="s">
        <v>151</v>
      </c>
      <c r="F493" s="8" t="s">
        <v>27</v>
      </c>
      <c r="G493" s="8" t="s">
        <v>853</v>
      </c>
      <c r="H493" s="20">
        <v>528463.88328811899</v>
      </c>
      <c r="I493" s="21">
        <f t="shared" ref="I493:I494" si="1160">H493/H$657</f>
        <v>1.0361377761792676E-2</v>
      </c>
      <c r="J493" s="22">
        <f t="shared" ref="J493:J494" si="1161">I493*J$687</f>
        <v>107478.37465689795</v>
      </c>
      <c r="K493" s="2">
        <v>0</v>
      </c>
      <c r="L493" s="21">
        <f t="shared" ref="L493:L494" ca="1" si="1162">K493/K$657</f>
        <v>0</v>
      </c>
      <c r="M493" s="22">
        <f t="shared" ref="M493:M494" ca="1" si="1163">L493*M$687</f>
        <v>0</v>
      </c>
      <c r="N493" s="2">
        <v>0</v>
      </c>
      <c r="O493" s="21">
        <f t="shared" ref="O493:O494" ca="1" si="1164">N493/N$657</f>
        <v>0</v>
      </c>
      <c r="P493" s="22">
        <f t="shared" ref="P493:P494" ca="1" si="1165">O493*P$687</f>
        <v>0</v>
      </c>
      <c r="Q493" s="2">
        <v>0</v>
      </c>
      <c r="R493" s="21">
        <f t="shared" ref="R493:R494" ca="1" si="1166">Q493/Q$657</f>
        <v>0</v>
      </c>
      <c r="S493" s="22">
        <f t="shared" ref="S493:S494" ca="1" si="1167">R493*S$687</f>
        <v>0</v>
      </c>
      <c r="T493" s="2">
        <v>0</v>
      </c>
      <c r="U493" s="21">
        <f t="shared" ref="U493:U494" ca="1" si="1168">T493/T$657</f>
        <v>0</v>
      </c>
      <c r="V493" s="22">
        <f t="shared" ref="V493:V494" ca="1" si="1169">U493*V$687</f>
        <v>0</v>
      </c>
      <c r="W493" s="2">
        <v>0</v>
      </c>
      <c r="X493" s="21">
        <f t="shared" ref="X493:X494" ca="1" si="1170">W493/W$657</f>
        <v>0</v>
      </c>
      <c r="Y493" s="22">
        <f t="shared" ref="Y493:Y494" ca="1" si="1171">X493*Y$687</f>
        <v>0</v>
      </c>
      <c r="Z493" s="2">
        <v>0</v>
      </c>
      <c r="AA493" s="21">
        <f t="shared" ref="AA493:AA494" ca="1" si="1172">Z493/Z$657</f>
        <v>0</v>
      </c>
      <c r="AB493" s="22">
        <f t="shared" ref="AB493:AB494" ca="1" si="1173">AA493*AB$687</f>
        <v>0</v>
      </c>
      <c r="AC493" s="2">
        <v>0</v>
      </c>
      <c r="AD493" s="21">
        <f t="shared" ref="AD493:AD494" ca="1" si="1174">AC493/AC$657</f>
        <v>0</v>
      </c>
      <c r="AE493" s="22">
        <f t="shared" ref="AE493:AE494" ca="1" si="1175">AD493*AE$687</f>
        <v>0</v>
      </c>
      <c r="AF493" s="2">
        <v>0</v>
      </c>
      <c r="AG493" s="21">
        <f t="shared" ref="AG493:AG494" ca="1" si="1176">AF493/AF$657</f>
        <v>0</v>
      </c>
      <c r="AH493" s="22">
        <f t="shared" ref="AH493:AH494" ca="1" si="1177">AG493*AH$687</f>
        <v>0</v>
      </c>
      <c r="AI493" s="2">
        <v>0</v>
      </c>
      <c r="AJ493" s="21">
        <f t="shared" ref="AJ493:AJ494" ca="1" si="1178">AI493/AI$657</f>
        <v>0</v>
      </c>
      <c r="AK493" s="22">
        <f t="shared" ref="AK493:AK494" ca="1" si="1179">AJ493*AK$687</f>
        <v>0</v>
      </c>
      <c r="AL493" s="2">
        <v>101444.80498033685</v>
      </c>
    </row>
    <row r="494" spans="1:38" ht="12.75" x14ac:dyDescent="0.2">
      <c r="A494" s="8" t="s">
        <v>16</v>
      </c>
      <c r="B494" s="8" t="s">
        <v>17</v>
      </c>
      <c r="C494" s="8" t="s">
        <v>18</v>
      </c>
      <c r="D494" s="8" t="s">
        <v>31</v>
      </c>
      <c r="E494" s="8" t="s">
        <v>151</v>
      </c>
      <c r="F494" s="8" t="s">
        <v>27</v>
      </c>
      <c r="G494" s="8" t="s">
        <v>854</v>
      </c>
      <c r="H494" s="20">
        <v>195750</v>
      </c>
      <c r="I494" s="21">
        <f t="shared" si="1160"/>
        <v>3.8379911305407377E-3</v>
      </c>
      <c r="J494" s="22">
        <f t="shared" si="1161"/>
        <v>39811.409075267591</v>
      </c>
      <c r="K494" s="2">
        <v>195750</v>
      </c>
      <c r="L494" s="21">
        <f t="shared" ca="1" si="1162"/>
        <v>5.0117349311198595E-3</v>
      </c>
      <c r="M494" s="22">
        <f t="shared" ca="1" si="1163"/>
        <v>78717.060270645699</v>
      </c>
      <c r="N494" s="2">
        <v>31000</v>
      </c>
      <c r="O494" s="21">
        <f t="shared" ca="1" si="1164"/>
        <v>5.6048388022352652E-4</v>
      </c>
      <c r="P494" s="22">
        <f t="shared" ca="1" si="1165"/>
        <v>9032.1524819384795</v>
      </c>
      <c r="Q494" s="2">
        <v>31000</v>
      </c>
      <c r="R494" s="21">
        <f t="shared" ca="1" si="1166"/>
        <v>5.612726871105433E-4</v>
      </c>
      <c r="S494" s="22">
        <f t="shared" ca="1" si="1167"/>
        <v>9252.8959180019901</v>
      </c>
      <c r="T494" s="2">
        <v>31000</v>
      </c>
      <c r="U494" s="21">
        <f t="shared" ca="1" si="1168"/>
        <v>8.0133245786142453E-4</v>
      </c>
      <c r="V494" s="22">
        <f t="shared" ca="1" si="1169"/>
        <v>13487.834993907618</v>
      </c>
      <c r="W494" s="2">
        <v>31000</v>
      </c>
      <c r="X494" s="21">
        <f t="shared" ca="1" si="1170"/>
        <v>7.9109384697820338E-4</v>
      </c>
      <c r="Y494" s="22">
        <f t="shared" ca="1" si="1171"/>
        <v>13581.811180245983</v>
      </c>
      <c r="Z494" s="2">
        <v>1218681.3138094172</v>
      </c>
      <c r="AA494" s="21">
        <f t="shared" ca="1" si="1172"/>
        <v>2.512498270050937E-2</v>
      </c>
      <c r="AB494" s="22">
        <f t="shared" ca="1" si="1173"/>
        <v>439120.01358819118</v>
      </c>
      <c r="AC494" s="2">
        <v>77601.7853306701</v>
      </c>
      <c r="AD494" s="21">
        <f t="shared" ca="1" si="1174"/>
        <v>1.4128132409247833E-3</v>
      </c>
      <c r="AE494" s="22">
        <f t="shared" ca="1" si="1175"/>
        <v>25161.492610684913</v>
      </c>
      <c r="AF494" s="2">
        <v>31000</v>
      </c>
      <c r="AG494" s="21">
        <f t="shared" ca="1" si="1176"/>
        <v>6.2027920359006088E-4</v>
      </c>
      <c r="AH494" s="22">
        <f t="shared" ca="1" si="1177"/>
        <v>11245.703854745214</v>
      </c>
      <c r="AI494" s="2">
        <v>31000</v>
      </c>
      <c r="AJ494" s="21">
        <f t="shared" ca="1" si="1178"/>
        <v>5.5862560467290722E-4</v>
      </c>
      <c r="AK494" s="22">
        <f t="shared" ca="1" si="1179"/>
        <v>10310.222498059085</v>
      </c>
      <c r="AL494" s="2">
        <v>1544283.0991400874</v>
      </c>
    </row>
    <row r="495" spans="1:38" ht="12.75" x14ac:dyDescent="0.2">
      <c r="A495" s="8" t="s">
        <v>16</v>
      </c>
      <c r="B495" s="8" t="s">
        <v>17</v>
      </c>
      <c r="C495" s="8" t="s">
        <v>18</v>
      </c>
      <c r="D495" s="8" t="s">
        <v>31</v>
      </c>
      <c r="E495" s="8" t="s">
        <v>151</v>
      </c>
      <c r="F495" s="8" t="s">
        <v>28</v>
      </c>
      <c r="G495" s="8" t="s">
        <v>855</v>
      </c>
      <c r="H495" s="20">
        <v>0</v>
      </c>
      <c r="I495" s="21">
        <f t="shared" ref="I495:I496" si="1180">H495/H$669</f>
        <v>0</v>
      </c>
      <c r="J495" s="22">
        <f t="shared" ref="J495:J496" si="1181">I495*J$699</f>
        <v>0</v>
      </c>
      <c r="K495" s="2">
        <v>36467.099428799331</v>
      </c>
      <c r="L495" s="21">
        <f t="shared" ref="L495:L496" ca="1" si="1182">K495/K$669</f>
        <v>5.0269231931251365E-3</v>
      </c>
      <c r="M495" s="22">
        <f t="shared" ref="M495:M496" ca="1" si="1183">L495*M$699</f>
        <v>23826.223477688651</v>
      </c>
      <c r="N495" s="2">
        <v>11000</v>
      </c>
      <c r="O495" s="21">
        <f t="shared" ref="O495:O496" ca="1" si="1184">N495/N$669</f>
        <v>3.9000958906581948E-4</v>
      </c>
      <c r="P495" s="22">
        <f t="shared" ref="P495:P496" ca="1" si="1185">O495*P$699</f>
        <v>1896.5993932032434</v>
      </c>
      <c r="Q495" s="2">
        <v>11000</v>
      </c>
      <c r="R495" s="21">
        <f t="shared" ref="R495:R496" ca="1" si="1186">Q495/Q$669</f>
        <v>2.9099926327718354E-4</v>
      </c>
      <c r="S495" s="22">
        <f t="shared" ref="S495:S496" ca="1" si="1187">R495*S$699</f>
        <v>1447.664234928548</v>
      </c>
      <c r="T495" s="2">
        <v>11000</v>
      </c>
      <c r="U495" s="21">
        <f t="shared" ref="U495:U496" ca="1" si="1188">T495/T$669</f>
        <v>3.8532650223859003E-4</v>
      </c>
      <c r="V495" s="22">
        <f t="shared" ref="V495:V496" ca="1" si="1189">U495*V$699</f>
        <v>1957.1791386469038</v>
      </c>
      <c r="W495" s="2">
        <v>11000</v>
      </c>
      <c r="X495" s="21">
        <f t="shared" ref="X495:X496" ca="1" si="1190">W495/W$669</f>
        <v>3.9435301462588385E-4</v>
      </c>
      <c r="Y495" s="22">
        <f t="shared" ref="Y495:Y496" ca="1" si="1191">X495*Y$699</f>
        <v>2043.087818507609</v>
      </c>
      <c r="Z495" s="2">
        <v>11000</v>
      </c>
      <c r="AA495" s="21">
        <f t="shared" ref="AA495:AA496" ca="1" si="1192">Z495/Z$669</f>
        <v>3.7390475283834547E-4</v>
      </c>
      <c r="AB495" s="22">
        <f t="shared" ref="AB495:AB496" ca="1" si="1193">AA495*AB$699</f>
        <v>1972.0169048150522</v>
      </c>
      <c r="AC495" s="2">
        <v>11000</v>
      </c>
      <c r="AD495" s="21">
        <f t="shared" ref="AD495:AD496" ca="1" si="1194">AC495/AC$669</f>
        <v>3.4880015818048869E-4</v>
      </c>
      <c r="AE495" s="22">
        <f t="shared" ref="AE495:AE496" ca="1" si="1195">AD495*AE$699</f>
        <v>1874.5650020171699</v>
      </c>
      <c r="AF495" s="2">
        <v>11000</v>
      </c>
      <c r="AG495" s="21">
        <f t="shared" ref="AG495:AG496" ca="1" si="1196">AF495/AF$669</f>
        <v>2.7404556842343348E-4</v>
      </c>
      <c r="AH495" s="22">
        <f t="shared" ref="AH495:AH496" ca="1" si="1197">AG495*AH$699</f>
        <v>1499.3202024943537</v>
      </c>
      <c r="AI495" s="2">
        <v>11000</v>
      </c>
      <c r="AJ495" s="21">
        <f t="shared" ref="AJ495:AJ496" ca="1" si="1198">AI495/AI$669</f>
        <v>2.5144014034646467E-4</v>
      </c>
      <c r="AK495" s="22">
        <f t="shared" ref="AK495:AK496" ca="1" si="1199">AJ495*AK$699</f>
        <v>1400.4061128741569</v>
      </c>
      <c r="AL495" s="2">
        <v>110000</v>
      </c>
    </row>
    <row r="496" spans="1:38" ht="12.75" x14ac:dyDescent="0.2">
      <c r="A496" s="8" t="s">
        <v>16</v>
      </c>
      <c r="B496" s="8" t="s">
        <v>17</v>
      </c>
      <c r="C496" s="8" t="s">
        <v>18</v>
      </c>
      <c r="D496" s="8" t="s">
        <v>31</v>
      </c>
      <c r="E496" s="8" t="s">
        <v>151</v>
      </c>
      <c r="F496" s="8" t="s">
        <v>28</v>
      </c>
      <c r="G496" s="8" t="s">
        <v>856</v>
      </c>
      <c r="H496" s="20">
        <v>0</v>
      </c>
      <c r="I496" s="21">
        <f t="shared" si="1180"/>
        <v>0</v>
      </c>
      <c r="J496" s="22">
        <f t="shared" si="1181"/>
        <v>0</v>
      </c>
      <c r="K496" s="2">
        <v>0</v>
      </c>
      <c r="L496" s="21">
        <f t="shared" ca="1" si="1182"/>
        <v>0</v>
      </c>
      <c r="M496" s="22">
        <f t="shared" ca="1" si="1183"/>
        <v>0</v>
      </c>
      <c r="N496" s="2">
        <v>0</v>
      </c>
      <c r="O496" s="21">
        <f t="shared" ca="1" si="1184"/>
        <v>0</v>
      </c>
      <c r="P496" s="22">
        <f t="shared" ca="1" si="1185"/>
        <v>0</v>
      </c>
      <c r="Q496" s="2">
        <v>0</v>
      </c>
      <c r="R496" s="21">
        <f t="shared" ca="1" si="1186"/>
        <v>0</v>
      </c>
      <c r="S496" s="22">
        <f t="shared" ca="1" si="1187"/>
        <v>0</v>
      </c>
      <c r="T496" s="2">
        <v>0</v>
      </c>
      <c r="U496" s="21">
        <f t="shared" ca="1" si="1188"/>
        <v>0</v>
      </c>
      <c r="V496" s="22">
        <f t="shared" ca="1" si="1189"/>
        <v>0</v>
      </c>
      <c r="W496" s="2">
        <v>0</v>
      </c>
      <c r="X496" s="21">
        <f t="shared" ca="1" si="1190"/>
        <v>0</v>
      </c>
      <c r="Y496" s="22">
        <f t="shared" ca="1" si="1191"/>
        <v>0</v>
      </c>
      <c r="Z496" s="2">
        <v>0</v>
      </c>
      <c r="AA496" s="21">
        <f t="shared" ca="1" si="1192"/>
        <v>0</v>
      </c>
      <c r="AB496" s="22">
        <f t="shared" ca="1" si="1193"/>
        <v>0</v>
      </c>
      <c r="AC496" s="2">
        <v>0</v>
      </c>
      <c r="AD496" s="21">
        <f t="shared" ca="1" si="1194"/>
        <v>0</v>
      </c>
      <c r="AE496" s="22">
        <f t="shared" ca="1" si="1195"/>
        <v>0</v>
      </c>
      <c r="AF496" s="2">
        <v>0</v>
      </c>
      <c r="AG496" s="21">
        <f t="shared" ca="1" si="1196"/>
        <v>0</v>
      </c>
      <c r="AH496" s="22">
        <f t="shared" ca="1" si="1197"/>
        <v>0</v>
      </c>
      <c r="AI496" s="2">
        <v>0</v>
      </c>
      <c r="AJ496" s="21">
        <f t="shared" ca="1" si="1198"/>
        <v>0</v>
      </c>
      <c r="AK496" s="22">
        <f t="shared" ca="1" si="1199"/>
        <v>0</v>
      </c>
      <c r="AL496" s="2">
        <v>144277.93519551339</v>
      </c>
    </row>
    <row r="497" spans="1:38" ht="12.75" x14ac:dyDescent="0.2">
      <c r="A497" s="8" t="s">
        <v>16</v>
      </c>
      <c r="B497" s="8" t="s">
        <v>17</v>
      </c>
      <c r="C497" s="8" t="s">
        <v>18</v>
      </c>
      <c r="D497" s="8" t="s">
        <v>31</v>
      </c>
      <c r="E497" s="8" t="s">
        <v>151</v>
      </c>
      <c r="F497" s="8" t="s">
        <v>34</v>
      </c>
      <c r="G497" s="8" t="s">
        <v>857</v>
      </c>
      <c r="H497" s="20">
        <v>0</v>
      </c>
      <c r="I497" s="21">
        <f>H497/H$653</f>
        <v>0</v>
      </c>
      <c r="J497" s="22">
        <f>I497*J$683</f>
        <v>0</v>
      </c>
      <c r="K497" s="2">
        <v>0</v>
      </c>
      <c r="L497" s="21">
        <f ca="1">K497/K$653</f>
        <v>0</v>
      </c>
      <c r="M497" s="22">
        <f ca="1">L497*M$683</f>
        <v>0</v>
      </c>
      <c r="N497" s="2">
        <v>3135568.4990440127</v>
      </c>
      <c r="O497" s="21">
        <f ca="1">N497/N$653</f>
        <v>0.28075950227762619</v>
      </c>
      <c r="P497" s="22">
        <f ca="1">O497*P$683</f>
        <v>443819.7977522224</v>
      </c>
      <c r="Q497" s="2">
        <v>3555847.2078070436</v>
      </c>
      <c r="R497" s="21">
        <f ca="1">Q497/Q$653</f>
        <v>0.27180918338108834</v>
      </c>
      <c r="S497" s="22">
        <f ca="1">R497*S$683</f>
        <v>439553.72841451544</v>
      </c>
      <c r="T497" s="2">
        <v>2760000</v>
      </c>
      <c r="U497" s="21">
        <f ca="1">T497/T$653</f>
        <v>0.20929659157302691</v>
      </c>
      <c r="V497" s="22">
        <f ca="1">U497*V$683</f>
        <v>345569.76769053208</v>
      </c>
      <c r="W497" s="2">
        <v>3166732.6776187797</v>
      </c>
      <c r="X497" s="21">
        <f ca="1">W497/W$653</f>
        <v>0.28473100993733136</v>
      </c>
      <c r="Y497" s="22">
        <f ca="1">X497*Y$683</f>
        <v>479521.9857024863</v>
      </c>
      <c r="Z497" s="2">
        <v>2953426.9750471697</v>
      </c>
      <c r="AA497" s="21">
        <f ca="1">Z497/Z$653</f>
        <v>0.26429033059009838</v>
      </c>
      <c r="AB497" s="22">
        <f ca="1">AA497*AB$683</f>
        <v>453109.1241487998</v>
      </c>
      <c r="AC497" s="2">
        <v>3764453.5252539758</v>
      </c>
      <c r="AD497" s="21">
        <f ca="1">AC497/AC$653</f>
        <v>0.28999544880293487</v>
      </c>
      <c r="AE497" s="22">
        <f ca="1">AD497*AE$683</f>
        <v>506625.33180720767</v>
      </c>
      <c r="AF497" s="2">
        <v>3141972.7635959364</v>
      </c>
      <c r="AG497" s="21">
        <f ca="1">AF497/AF$653</f>
        <v>0.26277283243554866</v>
      </c>
      <c r="AH497" s="22">
        <f ca="1">AG497*AH$683</f>
        <v>467330.31989670143</v>
      </c>
      <c r="AI497" s="2">
        <v>2865558.8793437518</v>
      </c>
      <c r="AJ497" s="21">
        <f ca="1">AI497/AI$653</f>
        <v>0.2107943772085665</v>
      </c>
      <c r="AK497" s="22">
        <f ca="1">AJ497*AK$683</f>
        <v>381636.84340619907</v>
      </c>
      <c r="AL497" s="2">
        <v>30884429.763014372</v>
      </c>
    </row>
    <row r="498" spans="1:38" ht="12.75" x14ac:dyDescent="0.2">
      <c r="A498" s="8" t="s">
        <v>16</v>
      </c>
      <c r="B498" s="8" t="s">
        <v>17</v>
      </c>
      <c r="C498" s="8" t="s">
        <v>18</v>
      </c>
      <c r="D498" s="8" t="s">
        <v>31</v>
      </c>
      <c r="E498" s="8" t="s">
        <v>151</v>
      </c>
      <c r="F498" s="8" t="s">
        <v>55</v>
      </c>
      <c r="G498" s="8" t="s">
        <v>858</v>
      </c>
      <c r="H498" s="20">
        <v>0</v>
      </c>
      <c r="I498" s="21">
        <f>H498/H$654</f>
        <v>0</v>
      </c>
      <c r="J498" s="22">
        <f>I498*J$684</f>
        <v>0</v>
      </c>
      <c r="K498" s="2">
        <v>0</v>
      </c>
      <c r="L498" s="21">
        <f ca="1">K498/K$654</f>
        <v>0</v>
      </c>
      <c r="M498" s="22">
        <f ca="1">L498*M$684</f>
        <v>0</v>
      </c>
      <c r="N498" s="2">
        <v>0</v>
      </c>
      <c r="O498" s="21">
        <f ca="1">N498/N$654</f>
        <v>0</v>
      </c>
      <c r="P498" s="22">
        <f ca="1">O498*P$684</f>
        <v>0</v>
      </c>
      <c r="Q498" s="2">
        <v>0</v>
      </c>
      <c r="R498" s="21">
        <f ca="1">Q498/Q$654</f>
        <v>0</v>
      </c>
      <c r="S498" s="22">
        <f ca="1">R498*S$684</f>
        <v>0</v>
      </c>
      <c r="T498" s="2">
        <v>0</v>
      </c>
      <c r="U498" s="21">
        <f ca="1">T498/T$654</f>
        <v>0</v>
      </c>
      <c r="V498" s="22">
        <f ca="1">U498*V$684</f>
        <v>0</v>
      </c>
      <c r="W498" s="2">
        <v>0</v>
      </c>
      <c r="X498" s="21">
        <f ca="1">W498/W$654</f>
        <v>0</v>
      </c>
      <c r="Y498" s="22">
        <f ca="1">X498*Y$684</f>
        <v>0</v>
      </c>
      <c r="Z498" s="2">
        <v>0</v>
      </c>
      <c r="AA498" s="21">
        <f ca="1">Z498/Z$654</f>
        <v>0</v>
      </c>
      <c r="AB498" s="22">
        <f ca="1">AA498*AB$684</f>
        <v>0</v>
      </c>
      <c r="AC498" s="2">
        <v>0</v>
      </c>
      <c r="AD498" s="21">
        <f ca="1">AC498/AC$654</f>
        <v>0</v>
      </c>
      <c r="AE498" s="22">
        <f ca="1">AD498*AE$684</f>
        <v>0</v>
      </c>
      <c r="AF498" s="2">
        <v>0</v>
      </c>
      <c r="AG498" s="21">
        <f ca="1">AF498/AF$654</f>
        <v>0</v>
      </c>
      <c r="AH498" s="22">
        <f ca="1">AG498*AH$684</f>
        <v>0</v>
      </c>
      <c r="AI498" s="2">
        <v>0</v>
      </c>
      <c r="AJ498" s="21">
        <f ca="1">AI498/AI$654</f>
        <v>0</v>
      </c>
      <c r="AK498" s="22">
        <f ca="1">AJ498*AK$684</f>
        <v>0</v>
      </c>
      <c r="AL498" s="2">
        <v>0</v>
      </c>
    </row>
    <row r="499" spans="1:38" ht="12.75" x14ac:dyDescent="0.2">
      <c r="A499" s="8" t="s">
        <v>152</v>
      </c>
      <c r="B499" s="8" t="s">
        <v>17</v>
      </c>
      <c r="C499" s="8" t="s">
        <v>18</v>
      </c>
      <c r="D499" s="8" t="s">
        <v>19</v>
      </c>
      <c r="E499" s="8" t="s">
        <v>19</v>
      </c>
      <c r="F499" s="8" t="s">
        <v>24</v>
      </c>
      <c r="G499" s="8" t="s">
        <v>859</v>
      </c>
      <c r="H499" s="20">
        <v>0</v>
      </c>
      <c r="I499" s="21">
        <f>H499/H$646</f>
        <v>0</v>
      </c>
      <c r="J499" s="22">
        <f>I499*J$676</f>
        <v>0</v>
      </c>
      <c r="K499" s="2">
        <v>0</v>
      </c>
      <c r="L499" s="21">
        <f ca="1">K499/K$646</f>
        <v>0</v>
      </c>
      <c r="M499" s="22">
        <f ca="1">L499*M$676</f>
        <v>0</v>
      </c>
      <c r="N499" s="2">
        <v>140099.30949760549</v>
      </c>
      <c r="O499" s="21">
        <f ca="1">N499/N$646</f>
        <v>1.4945550932560494E-3</v>
      </c>
      <c r="P499" s="22">
        <f ca="1">O499*P$676</f>
        <v>25391.148400852249</v>
      </c>
      <c r="Q499" s="2">
        <v>0</v>
      </c>
      <c r="R499" s="21">
        <f ca="1">Q499/Q$646</f>
        <v>0</v>
      </c>
      <c r="S499" s="22">
        <f ca="1">R499*S$676</f>
        <v>0</v>
      </c>
      <c r="T499" s="2">
        <v>0</v>
      </c>
      <c r="U499" s="21">
        <f ca="1">T499/T$646</f>
        <v>0</v>
      </c>
      <c r="V499" s="22">
        <f ca="1">U499*V$676</f>
        <v>0</v>
      </c>
      <c r="W499" s="2">
        <v>0</v>
      </c>
      <c r="X499" s="21">
        <f ca="1">W499/W$646</f>
        <v>0</v>
      </c>
      <c r="Y499" s="22">
        <f ca="1">X499*Y$676</f>
        <v>0</v>
      </c>
      <c r="Z499" s="2">
        <v>0</v>
      </c>
      <c r="AA499" s="21">
        <f ca="1">Z499/Z$646</f>
        <v>0</v>
      </c>
      <c r="AB499" s="22">
        <f ca="1">AA499*AB$676</f>
        <v>0</v>
      </c>
      <c r="AC499" s="2">
        <v>0</v>
      </c>
      <c r="AD499" s="21">
        <f ca="1">AC499/AC$646</f>
        <v>0</v>
      </c>
      <c r="AE499" s="22">
        <f ca="1">AD499*AE$676</f>
        <v>0</v>
      </c>
      <c r="AF499" s="2">
        <v>0</v>
      </c>
      <c r="AG499" s="21">
        <f ca="1">AF499/AF$646</f>
        <v>0</v>
      </c>
      <c r="AH499" s="22">
        <f ca="1">AG499*AH$676</f>
        <v>0</v>
      </c>
      <c r="AI499" s="2">
        <v>0</v>
      </c>
      <c r="AJ499" s="21">
        <f ca="1">AI499/AI$646</f>
        <v>0</v>
      </c>
      <c r="AK499" s="22">
        <f ca="1">AJ499*AK$676</f>
        <v>0</v>
      </c>
      <c r="AL499" s="2">
        <v>140099.30949760549</v>
      </c>
    </row>
    <row r="500" spans="1:38" ht="12.75" x14ac:dyDescent="0.2">
      <c r="A500" s="8" t="s">
        <v>152</v>
      </c>
      <c r="B500" s="8" t="s">
        <v>17</v>
      </c>
      <c r="C500" s="8" t="s">
        <v>18</v>
      </c>
      <c r="D500" s="8" t="s">
        <v>19</v>
      </c>
      <c r="E500" s="8" t="s">
        <v>19</v>
      </c>
      <c r="F500" s="8" t="s">
        <v>25</v>
      </c>
      <c r="G500" s="8" t="s">
        <v>860</v>
      </c>
      <c r="H500" s="20">
        <v>0</v>
      </c>
      <c r="I500" s="21">
        <f>H500/H$652</f>
        <v>0</v>
      </c>
      <c r="J500" s="22">
        <f>I500*J$682</f>
        <v>0</v>
      </c>
      <c r="K500" s="2">
        <v>0</v>
      </c>
      <c r="L500" s="21">
        <f ca="1">K500/K$652</f>
        <v>0</v>
      </c>
      <c r="M500" s="22">
        <f ca="1">L500*M$682</f>
        <v>0</v>
      </c>
      <c r="N500" s="2">
        <v>0</v>
      </c>
      <c r="O500" s="21">
        <f ca="1">N500/N$652</f>
        <v>0</v>
      </c>
      <c r="P500" s="22">
        <f ca="1">O500*P$682</f>
        <v>0</v>
      </c>
      <c r="Q500" s="2">
        <v>0</v>
      </c>
      <c r="R500" s="21">
        <f ca="1">Q500/Q$652</f>
        <v>0</v>
      </c>
      <c r="S500" s="22">
        <f ca="1">R500*S$682</f>
        <v>0</v>
      </c>
      <c r="T500" s="2">
        <v>0</v>
      </c>
      <c r="U500" s="21">
        <f ca="1">T500/T$652</f>
        <v>0</v>
      </c>
      <c r="V500" s="22">
        <f ca="1">U500*V$682</f>
        <v>0</v>
      </c>
      <c r="W500" s="2">
        <v>0</v>
      </c>
      <c r="X500" s="21">
        <f ca="1">W500/W$652</f>
        <v>0</v>
      </c>
      <c r="Y500" s="22">
        <f ca="1">X500*Y$682</f>
        <v>0</v>
      </c>
      <c r="Z500" s="2">
        <v>0</v>
      </c>
      <c r="AA500" s="21">
        <f ca="1">Z500/Z$652</f>
        <v>0</v>
      </c>
      <c r="AB500" s="22">
        <f ca="1">AA500*AB$682</f>
        <v>0</v>
      </c>
      <c r="AC500" s="2">
        <v>0</v>
      </c>
      <c r="AD500" s="21">
        <f ca="1">AC500/AC$652</f>
        <v>0</v>
      </c>
      <c r="AE500" s="22">
        <f ca="1">AD500*AE$682</f>
        <v>0</v>
      </c>
      <c r="AF500" s="2">
        <v>0</v>
      </c>
      <c r="AG500" s="21">
        <f ca="1">AF500/AF$652</f>
        <v>0</v>
      </c>
      <c r="AH500" s="22">
        <f ca="1">AG500*AH$682</f>
        <v>0</v>
      </c>
      <c r="AI500" s="2">
        <v>0</v>
      </c>
      <c r="AJ500" s="21">
        <f ca="1">AI500/AI$652</f>
        <v>0</v>
      </c>
      <c r="AK500" s="22">
        <f ca="1">AJ500*AK$682</f>
        <v>0</v>
      </c>
      <c r="AL500" s="2">
        <v>0</v>
      </c>
    </row>
    <row r="501" spans="1:38" ht="12.75" x14ac:dyDescent="0.2">
      <c r="A501" s="8" t="s">
        <v>152</v>
      </c>
      <c r="B501" s="8" t="s">
        <v>17</v>
      </c>
      <c r="C501" s="8" t="s">
        <v>18</v>
      </c>
      <c r="D501" s="8" t="s">
        <v>19</v>
      </c>
      <c r="E501" s="8" t="s">
        <v>19</v>
      </c>
      <c r="F501" s="8" t="s">
        <v>28</v>
      </c>
      <c r="G501" s="8" t="s">
        <v>861</v>
      </c>
      <c r="H501" s="20">
        <v>0</v>
      </c>
      <c r="I501" s="21">
        <f>H501/H$669</f>
        <v>0</v>
      </c>
      <c r="J501" s="22">
        <f>I501*J$699</f>
        <v>0</v>
      </c>
      <c r="K501" s="2">
        <v>0</v>
      </c>
      <c r="L501" s="21">
        <f ca="1">K501/K$669</f>
        <v>0</v>
      </c>
      <c r="M501" s="22">
        <f ca="1">L501*M$699</f>
        <v>0</v>
      </c>
      <c r="N501" s="2">
        <v>0</v>
      </c>
      <c r="O501" s="21">
        <f ca="1">N501/N$669</f>
        <v>0</v>
      </c>
      <c r="P501" s="22">
        <f ca="1">O501*P$699</f>
        <v>0</v>
      </c>
      <c r="Q501" s="2">
        <v>0</v>
      </c>
      <c r="R501" s="21">
        <f ca="1">Q501/Q$669</f>
        <v>0</v>
      </c>
      <c r="S501" s="22">
        <f ca="1">R501*S$699</f>
        <v>0</v>
      </c>
      <c r="T501" s="2">
        <v>0</v>
      </c>
      <c r="U501" s="21">
        <f ca="1">T501/T$669</f>
        <v>0</v>
      </c>
      <c r="V501" s="22">
        <f ca="1">U501*V$699</f>
        <v>0</v>
      </c>
      <c r="W501" s="2">
        <v>0</v>
      </c>
      <c r="X501" s="21">
        <f ca="1">W501/W$669</f>
        <v>0</v>
      </c>
      <c r="Y501" s="22">
        <f ca="1">X501*Y$699</f>
        <v>0</v>
      </c>
      <c r="Z501" s="2">
        <v>41257.465246030006</v>
      </c>
      <c r="AA501" s="21">
        <f ca="1">Z501/Z$669</f>
        <v>1.402396576868498E-3</v>
      </c>
      <c r="AB501" s="22">
        <f ca="1">AA501*AB$699</f>
        <v>7396.4017195446077</v>
      </c>
      <c r="AC501" s="2">
        <v>0</v>
      </c>
      <c r="AD501" s="21">
        <f ca="1">AC501/AC$669</f>
        <v>0</v>
      </c>
      <c r="AE501" s="22">
        <f ca="1">AD501*AE$699</f>
        <v>0</v>
      </c>
      <c r="AF501" s="2">
        <v>0</v>
      </c>
      <c r="AG501" s="21">
        <f ca="1">AF501/AF$669</f>
        <v>0</v>
      </c>
      <c r="AH501" s="22">
        <f ca="1">AG501*AH$699</f>
        <v>0</v>
      </c>
      <c r="AI501" s="2">
        <v>0</v>
      </c>
      <c r="AJ501" s="21">
        <f ca="1">AI501/AI$669</f>
        <v>0</v>
      </c>
      <c r="AK501" s="22">
        <f ca="1">AJ501*AK$699</f>
        <v>0</v>
      </c>
      <c r="AL501" s="2">
        <v>41257.465246030006</v>
      </c>
    </row>
    <row r="502" spans="1:38" ht="12.75" x14ac:dyDescent="0.2">
      <c r="A502" s="8" t="s">
        <v>152</v>
      </c>
      <c r="B502" s="8" t="s">
        <v>17</v>
      </c>
      <c r="C502" s="8" t="s">
        <v>18</v>
      </c>
      <c r="D502" s="8" t="s">
        <v>19</v>
      </c>
      <c r="E502" s="8" t="s">
        <v>19</v>
      </c>
      <c r="F502" s="8" t="s">
        <v>34</v>
      </c>
      <c r="G502" s="8" t="s">
        <v>862</v>
      </c>
      <c r="H502" s="20">
        <v>202389.87738707307</v>
      </c>
      <c r="I502" s="21">
        <f>H502/H$653</f>
        <v>9.045673002375694E-2</v>
      </c>
      <c r="J502" s="22">
        <f>I502*J$683</f>
        <v>190607.34597723981</v>
      </c>
      <c r="K502" s="2">
        <v>132970.88045382762</v>
      </c>
      <c r="L502" s="21">
        <f ca="1">K502/K$653</f>
        <v>3.9871930092166545E-2</v>
      </c>
      <c r="M502" s="22">
        <f ca="1">L502*M$683</f>
        <v>61431.639619323207</v>
      </c>
      <c r="N502" s="2">
        <v>173106.85030709964</v>
      </c>
      <c r="O502" s="21">
        <f ca="1">N502/N$653</f>
        <v>1.5500025959530678E-2</v>
      </c>
      <c r="P502" s="22">
        <f ca="1">O502*P$683</f>
        <v>24502.174746380111</v>
      </c>
      <c r="Q502" s="2">
        <v>100000</v>
      </c>
      <c r="R502" s="21">
        <f ca="1">Q502/Q$653</f>
        <v>7.6440062661949429E-3</v>
      </c>
      <c r="S502" s="22">
        <f ca="1">R502*S$683</f>
        <v>12361.434637839691</v>
      </c>
      <c r="T502" s="2">
        <v>100000</v>
      </c>
      <c r="U502" s="21">
        <f ca="1">T502/T$653</f>
        <v>7.5832098396024245E-3</v>
      </c>
      <c r="V502" s="22">
        <f ca="1">U502*V$683</f>
        <v>12520.643756903337</v>
      </c>
      <c r="W502" s="2">
        <v>166724.68764688133</v>
      </c>
      <c r="X502" s="21">
        <f ca="1">W502/W$653</f>
        <v>1.4990747097377006E-2</v>
      </c>
      <c r="Y502" s="22">
        <f ca="1">X502*Y$683</f>
        <v>25246.258975726436</v>
      </c>
      <c r="Z502" s="2">
        <v>144850.85738036165</v>
      </c>
      <c r="AA502" s="21">
        <f ca="1">Z502/Z$653</f>
        <v>1.2962122072682547E-2</v>
      </c>
      <c r="AB502" s="22">
        <f ca="1">AA502*AB$683</f>
        <v>22222.74180954487</v>
      </c>
      <c r="AC502" s="2">
        <v>175251.23902127266</v>
      </c>
      <c r="AD502" s="21">
        <f ca="1">AC502/AC$653</f>
        <v>1.3500515113894405E-2</v>
      </c>
      <c r="AE502" s="22">
        <f ca="1">AD502*AE$683</f>
        <v>23585.552729804618</v>
      </c>
      <c r="AF502" s="2">
        <v>132698.0088297028</v>
      </c>
      <c r="AG502" s="21">
        <f ca="1">AF502/AF$653</f>
        <v>1.1097942045439936E-2</v>
      </c>
      <c r="AH502" s="22">
        <f ca="1">AG502*AH$683</f>
        <v>19737.218487236838</v>
      </c>
      <c r="AI502" s="2">
        <v>100000</v>
      </c>
      <c r="AJ502" s="21">
        <f ca="1">AI502/AI$653</f>
        <v>7.3561349141372731E-3</v>
      </c>
      <c r="AK502" s="22">
        <f ca="1">AJ502*AK$683</f>
        <v>13318.059738964381</v>
      </c>
      <c r="AL502" s="2">
        <v>1427992.4010262187</v>
      </c>
    </row>
    <row r="503" spans="1:38" ht="12.75" x14ac:dyDescent="0.2">
      <c r="A503" s="8" t="s">
        <v>152</v>
      </c>
      <c r="B503" s="8" t="s">
        <v>17</v>
      </c>
      <c r="C503" s="8" t="s">
        <v>18</v>
      </c>
      <c r="D503" s="8" t="s">
        <v>156</v>
      </c>
      <c r="E503" s="8" t="s">
        <v>208</v>
      </c>
      <c r="F503" s="8" t="s">
        <v>24</v>
      </c>
      <c r="G503" s="8" t="s">
        <v>863</v>
      </c>
      <c r="H503" s="20">
        <v>0</v>
      </c>
      <c r="I503" s="21">
        <f>H503/H$646</f>
        <v>0</v>
      </c>
      <c r="J503" s="22">
        <f>I503*J$676</f>
        <v>0</v>
      </c>
      <c r="K503" s="2">
        <v>0</v>
      </c>
      <c r="L503" s="21">
        <f ca="1">K503/K$646</f>
        <v>0</v>
      </c>
      <c r="M503" s="22">
        <f ca="1">L503*M$676</f>
        <v>0</v>
      </c>
      <c r="N503" s="2">
        <v>0</v>
      </c>
      <c r="O503" s="21">
        <f ca="1">N503/N$646</f>
        <v>0</v>
      </c>
      <c r="P503" s="22">
        <f ca="1">O503*P$676</f>
        <v>0</v>
      </c>
      <c r="Q503" s="2">
        <v>0</v>
      </c>
      <c r="R503" s="21">
        <f ca="1">Q503/Q$646</f>
        <v>0</v>
      </c>
      <c r="S503" s="22">
        <f ca="1">R503*S$676</f>
        <v>0</v>
      </c>
      <c r="T503" s="2">
        <v>0</v>
      </c>
      <c r="U503" s="21">
        <f ca="1">T503/T$646</f>
        <v>0</v>
      </c>
      <c r="V503" s="22">
        <f ca="1">U503*V$676</f>
        <v>0</v>
      </c>
      <c r="W503" s="2">
        <v>0</v>
      </c>
      <c r="X503" s="21">
        <f ca="1">W503/W$646</f>
        <v>0</v>
      </c>
      <c r="Y503" s="22">
        <f ca="1">X503*Y$676</f>
        <v>0</v>
      </c>
      <c r="Z503" s="2">
        <v>0</v>
      </c>
      <c r="AA503" s="21">
        <f ca="1">Z503/Z$646</f>
        <v>0</v>
      </c>
      <c r="AB503" s="22">
        <f ca="1">AA503*AB$676</f>
        <v>0</v>
      </c>
      <c r="AC503" s="2">
        <v>0</v>
      </c>
      <c r="AD503" s="21">
        <f ca="1">AC503/AC$646</f>
        <v>0</v>
      </c>
      <c r="AE503" s="22">
        <f ca="1">AD503*AE$676</f>
        <v>0</v>
      </c>
      <c r="AF503" s="2">
        <v>0</v>
      </c>
      <c r="AG503" s="21">
        <f ca="1">AF503/AF$646</f>
        <v>0</v>
      </c>
      <c r="AH503" s="22">
        <f ca="1">AG503*AH$676</f>
        <v>0</v>
      </c>
      <c r="AI503" s="2">
        <v>0</v>
      </c>
      <c r="AJ503" s="21">
        <f ca="1">AI503/AI$646</f>
        <v>0</v>
      </c>
      <c r="AK503" s="22">
        <f ca="1">AJ503*AK$676</f>
        <v>0</v>
      </c>
      <c r="AL503" s="2">
        <v>0</v>
      </c>
    </row>
    <row r="504" spans="1:38" ht="12.75" x14ac:dyDescent="0.2">
      <c r="A504" s="8" t="s">
        <v>152</v>
      </c>
      <c r="B504" s="8" t="s">
        <v>17</v>
      </c>
      <c r="C504" s="8" t="s">
        <v>18</v>
      </c>
      <c r="D504" s="8" t="s">
        <v>156</v>
      </c>
      <c r="E504" s="8" t="s">
        <v>208</v>
      </c>
      <c r="F504" s="8" t="s">
        <v>25</v>
      </c>
      <c r="G504" s="8" t="s">
        <v>864</v>
      </c>
      <c r="H504" s="20">
        <v>0</v>
      </c>
      <c r="I504" s="21">
        <f>H504/H$652</f>
        <v>0</v>
      </c>
      <c r="J504" s="22">
        <f>I504*J$682</f>
        <v>0</v>
      </c>
      <c r="K504" s="2">
        <v>0</v>
      </c>
      <c r="L504" s="21">
        <f ca="1">K504/K$652</f>
        <v>0</v>
      </c>
      <c r="M504" s="22">
        <f ca="1">L504*M$682</f>
        <v>0</v>
      </c>
      <c r="N504" s="2">
        <v>0</v>
      </c>
      <c r="O504" s="21">
        <f ca="1">N504/N$652</f>
        <v>0</v>
      </c>
      <c r="P504" s="22">
        <f ca="1">O504*P$682</f>
        <v>0</v>
      </c>
      <c r="Q504" s="2">
        <v>0</v>
      </c>
      <c r="R504" s="21">
        <f ca="1">Q504/Q$652</f>
        <v>0</v>
      </c>
      <c r="S504" s="22">
        <f ca="1">R504*S$682</f>
        <v>0</v>
      </c>
      <c r="T504" s="2">
        <v>0</v>
      </c>
      <c r="U504" s="21">
        <f ca="1">T504/T$652</f>
        <v>0</v>
      </c>
      <c r="V504" s="22">
        <f ca="1">U504*V$682</f>
        <v>0</v>
      </c>
      <c r="W504" s="2">
        <v>0</v>
      </c>
      <c r="X504" s="21">
        <f ca="1">W504/W$652</f>
        <v>0</v>
      </c>
      <c r="Y504" s="22">
        <f ca="1">X504*Y$682</f>
        <v>0</v>
      </c>
      <c r="Z504" s="2">
        <v>0</v>
      </c>
      <c r="AA504" s="21">
        <f ca="1">Z504/Z$652</f>
        <v>0</v>
      </c>
      <c r="AB504" s="22">
        <f ca="1">AA504*AB$682</f>
        <v>0</v>
      </c>
      <c r="AC504" s="2">
        <v>0</v>
      </c>
      <c r="AD504" s="21">
        <f ca="1">AC504/AC$652</f>
        <v>0</v>
      </c>
      <c r="AE504" s="22">
        <f ca="1">AD504*AE$682</f>
        <v>0</v>
      </c>
      <c r="AF504" s="2">
        <v>0</v>
      </c>
      <c r="AG504" s="21">
        <f ca="1">AF504/AF$652</f>
        <v>0</v>
      </c>
      <c r="AH504" s="22">
        <f ca="1">AG504*AH$682</f>
        <v>0</v>
      </c>
      <c r="AI504" s="2">
        <v>0</v>
      </c>
      <c r="AJ504" s="21">
        <f ca="1">AI504/AI$652</f>
        <v>0</v>
      </c>
      <c r="AK504" s="22">
        <f ca="1">AJ504*AK$682</f>
        <v>0</v>
      </c>
      <c r="AL504" s="2">
        <v>0</v>
      </c>
    </row>
    <row r="505" spans="1:38" ht="12.75" x14ac:dyDescent="0.2">
      <c r="A505" s="8" t="s">
        <v>152</v>
      </c>
      <c r="B505" s="8" t="s">
        <v>17</v>
      </c>
      <c r="C505" s="8" t="s">
        <v>18</v>
      </c>
      <c r="D505" s="8" t="s">
        <v>156</v>
      </c>
      <c r="E505" s="8" t="s">
        <v>208</v>
      </c>
      <c r="F505" s="8" t="s">
        <v>34</v>
      </c>
      <c r="G505" s="8" t="s">
        <v>865</v>
      </c>
      <c r="H505" s="20">
        <v>0</v>
      </c>
      <c r="I505" s="21">
        <f>H505/H$653</f>
        <v>0</v>
      </c>
      <c r="J505" s="22">
        <f>I505*J$683</f>
        <v>0</v>
      </c>
      <c r="K505" s="2">
        <v>0</v>
      </c>
      <c r="L505" s="21">
        <f ca="1">K505/K$653</f>
        <v>0</v>
      </c>
      <c r="M505" s="22">
        <f ca="1">L505*M$683</f>
        <v>0</v>
      </c>
      <c r="N505" s="2">
        <v>0</v>
      </c>
      <c r="O505" s="21">
        <f ca="1">N505/N$653</f>
        <v>0</v>
      </c>
      <c r="P505" s="22">
        <f ca="1">O505*P$683</f>
        <v>0</v>
      </c>
      <c r="Q505" s="2">
        <v>0</v>
      </c>
      <c r="R505" s="21">
        <f ca="1">Q505/Q$653</f>
        <v>0</v>
      </c>
      <c r="S505" s="22">
        <f ca="1">R505*S$683</f>
        <v>0</v>
      </c>
      <c r="T505" s="2">
        <v>0</v>
      </c>
      <c r="U505" s="21">
        <f ca="1">T505/T$653</f>
        <v>0</v>
      </c>
      <c r="V505" s="22">
        <f ca="1">U505*V$683</f>
        <v>0</v>
      </c>
      <c r="W505" s="2">
        <v>0</v>
      </c>
      <c r="X505" s="21">
        <f ca="1">W505/W$653</f>
        <v>0</v>
      </c>
      <c r="Y505" s="22">
        <f ca="1">X505*Y$683</f>
        <v>0</v>
      </c>
      <c r="Z505" s="2">
        <v>0</v>
      </c>
      <c r="AA505" s="21">
        <f ca="1">Z505/Z$653</f>
        <v>0</v>
      </c>
      <c r="AB505" s="22">
        <f ca="1">AA505*AB$683</f>
        <v>0</v>
      </c>
      <c r="AC505" s="2">
        <v>0</v>
      </c>
      <c r="AD505" s="21">
        <f ca="1">AC505/AC$653</f>
        <v>0</v>
      </c>
      <c r="AE505" s="22">
        <f ca="1">AD505*AE$683</f>
        <v>0</v>
      </c>
      <c r="AF505" s="2">
        <v>0</v>
      </c>
      <c r="AG505" s="21">
        <f ca="1">AF505/AF$653</f>
        <v>0</v>
      </c>
      <c r="AH505" s="22">
        <f ca="1">AG505*AH$683</f>
        <v>0</v>
      </c>
      <c r="AI505" s="2">
        <v>0</v>
      </c>
      <c r="AJ505" s="21">
        <f ca="1">AI505/AI$653</f>
        <v>0</v>
      </c>
      <c r="AK505" s="22">
        <f ca="1">AJ505*AK$683</f>
        <v>0</v>
      </c>
      <c r="AL505" s="2">
        <v>0</v>
      </c>
    </row>
    <row r="506" spans="1:38" ht="12.75" x14ac:dyDescent="0.2">
      <c r="A506" s="8" t="s">
        <v>152</v>
      </c>
      <c r="B506" s="8" t="s">
        <v>17</v>
      </c>
      <c r="C506" s="8" t="s">
        <v>18</v>
      </c>
      <c r="D506" s="8" t="s">
        <v>156</v>
      </c>
      <c r="E506" s="8" t="s">
        <v>129</v>
      </c>
      <c r="F506" s="8" t="s">
        <v>24</v>
      </c>
      <c r="G506" s="8" t="s">
        <v>866</v>
      </c>
      <c r="H506" s="20">
        <v>0</v>
      </c>
      <c r="I506" s="21">
        <f>H506/H$646</f>
        <v>0</v>
      </c>
      <c r="J506" s="22">
        <f>I506*J$676</f>
        <v>0</v>
      </c>
      <c r="K506" s="2">
        <v>0</v>
      </c>
      <c r="L506" s="21">
        <f ca="1">K506/K$646</f>
        <v>0</v>
      </c>
      <c r="M506" s="22">
        <f ca="1">L506*M$676</f>
        <v>0</v>
      </c>
      <c r="N506" s="2">
        <v>0</v>
      </c>
      <c r="O506" s="21">
        <f ca="1">N506/N$646</f>
        <v>0</v>
      </c>
      <c r="P506" s="22">
        <f ca="1">O506*P$676</f>
        <v>0</v>
      </c>
      <c r="Q506" s="2">
        <v>0</v>
      </c>
      <c r="R506" s="21">
        <f ca="1">Q506/Q$646</f>
        <v>0</v>
      </c>
      <c r="S506" s="22">
        <f ca="1">R506*S$676</f>
        <v>0</v>
      </c>
      <c r="T506" s="2">
        <v>0</v>
      </c>
      <c r="U506" s="21">
        <f ca="1">T506/T$646</f>
        <v>0</v>
      </c>
      <c r="V506" s="22">
        <f ca="1">U506*V$676</f>
        <v>0</v>
      </c>
      <c r="W506" s="2">
        <v>0</v>
      </c>
      <c r="X506" s="21">
        <f ca="1">W506/W$646</f>
        <v>0</v>
      </c>
      <c r="Y506" s="22">
        <f ca="1">X506*Y$676</f>
        <v>0</v>
      </c>
      <c r="Z506" s="2">
        <v>0</v>
      </c>
      <c r="AA506" s="21">
        <f ca="1">Z506/Z$646</f>
        <v>0</v>
      </c>
      <c r="AB506" s="22">
        <f ca="1">AA506*AB$676</f>
        <v>0</v>
      </c>
      <c r="AC506" s="2">
        <v>0</v>
      </c>
      <c r="AD506" s="21">
        <f ca="1">AC506/AC$646</f>
        <v>0</v>
      </c>
      <c r="AE506" s="22">
        <f ca="1">AD506*AE$676</f>
        <v>0</v>
      </c>
      <c r="AF506" s="2">
        <v>0</v>
      </c>
      <c r="AG506" s="21">
        <f ca="1">AF506/AF$646</f>
        <v>0</v>
      </c>
      <c r="AH506" s="22">
        <f ca="1">AG506*AH$676</f>
        <v>0</v>
      </c>
      <c r="AI506" s="2">
        <v>0</v>
      </c>
      <c r="AJ506" s="21">
        <f ca="1">AI506/AI$646</f>
        <v>0</v>
      </c>
      <c r="AK506" s="22">
        <f ca="1">AJ506*AK$676</f>
        <v>0</v>
      </c>
      <c r="AL506" s="2">
        <v>0</v>
      </c>
    </row>
    <row r="507" spans="1:38" ht="12.75" x14ac:dyDescent="0.2">
      <c r="A507" s="8" t="s">
        <v>152</v>
      </c>
      <c r="B507" s="8" t="s">
        <v>17</v>
      </c>
      <c r="C507" s="8" t="s">
        <v>18</v>
      </c>
      <c r="D507" s="8" t="s">
        <v>156</v>
      </c>
      <c r="E507" s="8" t="s">
        <v>129</v>
      </c>
      <c r="F507" s="8" t="s">
        <v>38</v>
      </c>
      <c r="G507" s="8" t="s">
        <v>867</v>
      </c>
      <c r="H507" s="20">
        <v>0</v>
      </c>
      <c r="I507" s="21">
        <f>H507/H$656</f>
        <v>0</v>
      </c>
      <c r="J507" s="22">
        <f>I507*J$686</f>
        <v>0</v>
      </c>
      <c r="K507" s="2">
        <v>0</v>
      </c>
      <c r="L507" s="21">
        <f ca="1">K507/K$656</f>
        <v>0</v>
      </c>
      <c r="M507" s="22">
        <f ca="1">L507*M$686</f>
        <v>0</v>
      </c>
      <c r="N507" s="2">
        <v>0</v>
      </c>
      <c r="O507" s="21">
        <f ca="1">N507/N$656</f>
        <v>0</v>
      </c>
      <c r="P507" s="22">
        <f ca="1">O507*P$686</f>
        <v>0</v>
      </c>
      <c r="Q507" s="2">
        <v>0</v>
      </c>
      <c r="R507" s="21">
        <f ca="1">Q507/Q$656</f>
        <v>0</v>
      </c>
      <c r="S507" s="22">
        <f ca="1">R507*S$686</f>
        <v>0</v>
      </c>
      <c r="T507" s="2">
        <v>0</v>
      </c>
      <c r="U507" s="21">
        <f ca="1">T507/T$656</f>
        <v>0</v>
      </c>
      <c r="V507" s="22">
        <f ca="1">U507*V$686</f>
        <v>0</v>
      </c>
      <c r="W507" s="2">
        <v>0</v>
      </c>
      <c r="X507" s="21">
        <f ca="1">W507/W$656</f>
        <v>0</v>
      </c>
      <c r="Y507" s="22">
        <f ca="1">X507*Y$686</f>
        <v>0</v>
      </c>
      <c r="Z507" s="2">
        <v>0</v>
      </c>
      <c r="AA507" s="21">
        <f ca="1">Z507/Z$656</f>
        <v>0</v>
      </c>
      <c r="AB507" s="22">
        <f ca="1">AA507*AB$686</f>
        <v>0</v>
      </c>
      <c r="AC507" s="2">
        <v>0</v>
      </c>
      <c r="AD507" s="21">
        <f ca="1">AC507/AC$656</f>
        <v>0</v>
      </c>
      <c r="AE507" s="22">
        <f ca="1">AD507*AE$686</f>
        <v>0</v>
      </c>
      <c r="AF507" s="2">
        <v>0</v>
      </c>
      <c r="AG507" s="21">
        <f ca="1">AF507/AF$656</f>
        <v>0</v>
      </c>
      <c r="AH507" s="22">
        <f ca="1">AG507*AH$686</f>
        <v>0</v>
      </c>
      <c r="AI507" s="2">
        <v>0</v>
      </c>
      <c r="AJ507" s="21">
        <f ca="1">AI507/AI$656</f>
        <v>0</v>
      </c>
      <c r="AK507" s="22">
        <f ca="1">AJ507*AK$686</f>
        <v>0</v>
      </c>
      <c r="AL507" s="2">
        <v>0</v>
      </c>
    </row>
    <row r="508" spans="1:38" ht="12.75" x14ac:dyDescent="0.2">
      <c r="A508" s="8" t="s">
        <v>152</v>
      </c>
      <c r="B508" s="8" t="s">
        <v>17</v>
      </c>
      <c r="C508" s="8" t="s">
        <v>18</v>
      </c>
      <c r="D508" s="8" t="s">
        <v>156</v>
      </c>
      <c r="E508" s="8" t="s">
        <v>129</v>
      </c>
      <c r="F508" s="8" t="s">
        <v>34</v>
      </c>
      <c r="G508" s="8" t="s">
        <v>868</v>
      </c>
      <c r="H508" s="20">
        <v>0</v>
      </c>
      <c r="I508" s="21">
        <f>H508/H$653</f>
        <v>0</v>
      </c>
      <c r="J508" s="22">
        <f>I508*J$683</f>
        <v>0</v>
      </c>
      <c r="K508" s="2">
        <v>0</v>
      </c>
      <c r="L508" s="21">
        <f ca="1">K508/K$653</f>
        <v>0</v>
      </c>
      <c r="M508" s="22">
        <f ca="1">L508*M$683</f>
        <v>0</v>
      </c>
      <c r="N508" s="2">
        <v>0</v>
      </c>
      <c r="O508" s="21">
        <f ca="1">N508/N$653</f>
        <v>0</v>
      </c>
      <c r="P508" s="22">
        <f ca="1">O508*P$683</f>
        <v>0</v>
      </c>
      <c r="Q508" s="2">
        <v>0</v>
      </c>
      <c r="R508" s="21">
        <f ca="1">Q508/Q$653</f>
        <v>0</v>
      </c>
      <c r="S508" s="22">
        <f ca="1">R508*S$683</f>
        <v>0</v>
      </c>
      <c r="T508" s="2">
        <v>0</v>
      </c>
      <c r="U508" s="21">
        <f ca="1">T508/T$653</f>
        <v>0</v>
      </c>
      <c r="V508" s="22">
        <f ca="1">U508*V$683</f>
        <v>0</v>
      </c>
      <c r="W508" s="2">
        <v>0</v>
      </c>
      <c r="X508" s="21">
        <f ca="1">W508/W$653</f>
        <v>0</v>
      </c>
      <c r="Y508" s="22">
        <f ca="1">X508*Y$683</f>
        <v>0</v>
      </c>
      <c r="Z508" s="2">
        <v>0</v>
      </c>
      <c r="AA508" s="21">
        <f ca="1">Z508/Z$653</f>
        <v>0</v>
      </c>
      <c r="AB508" s="22">
        <f ca="1">AA508*AB$683</f>
        <v>0</v>
      </c>
      <c r="AC508" s="2">
        <v>0</v>
      </c>
      <c r="AD508" s="21">
        <f ca="1">AC508/AC$653</f>
        <v>0</v>
      </c>
      <c r="AE508" s="22">
        <f ca="1">AD508*AE$683</f>
        <v>0</v>
      </c>
      <c r="AF508" s="2">
        <v>0</v>
      </c>
      <c r="AG508" s="21">
        <f ca="1">AF508/AF$653</f>
        <v>0</v>
      </c>
      <c r="AH508" s="22">
        <f ca="1">AG508*AH$683</f>
        <v>0</v>
      </c>
      <c r="AI508" s="2">
        <v>0</v>
      </c>
      <c r="AJ508" s="21">
        <f ca="1">AI508/AI$653</f>
        <v>0</v>
      </c>
      <c r="AK508" s="22">
        <f ca="1">AJ508*AK$683</f>
        <v>0</v>
      </c>
      <c r="AL508" s="2">
        <v>0</v>
      </c>
    </row>
    <row r="509" spans="1:38" ht="12.75" x14ac:dyDescent="0.2">
      <c r="A509" s="8" t="s">
        <v>152</v>
      </c>
      <c r="B509" s="8" t="s">
        <v>17</v>
      </c>
      <c r="C509" s="8" t="s">
        <v>18</v>
      </c>
      <c r="D509" s="8" t="s">
        <v>19</v>
      </c>
      <c r="E509" s="8" t="s">
        <v>153</v>
      </c>
      <c r="F509" s="8" t="s">
        <v>24</v>
      </c>
      <c r="G509" s="8" t="s">
        <v>869</v>
      </c>
      <c r="H509" s="20">
        <v>520859.20472083677</v>
      </c>
      <c r="I509" s="21">
        <f>H509/H$646</f>
        <v>6.343501628838853E-3</v>
      </c>
      <c r="J509" s="22">
        <f>I509*J$676</f>
        <v>13648.931844674829</v>
      </c>
      <c r="K509" s="2">
        <v>552570.94912825222</v>
      </c>
      <c r="L509" s="21">
        <f ca="1">K509/K$646</f>
        <v>8.7492641514164519E-3</v>
      </c>
      <c r="M509" s="22">
        <f ca="1">L509*M$676</f>
        <v>34017.255385920376</v>
      </c>
      <c r="N509" s="2">
        <v>1444691.6331832847</v>
      </c>
      <c r="O509" s="21">
        <f ca="1">N509/N$646</f>
        <v>1.5411719346092723E-2</v>
      </c>
      <c r="P509" s="22">
        <f ca="1">O509*P$676</f>
        <v>261831.26657204077</v>
      </c>
      <c r="Q509" s="2">
        <v>229741.19347060553</v>
      </c>
      <c r="R509" s="21">
        <f ca="1">Q509/Q$646</f>
        <v>2.0655990368872311E-3</v>
      </c>
      <c r="S509" s="22">
        <f ca="1">R509*S$676</f>
        <v>35899.803445531601</v>
      </c>
      <c r="T509" s="2">
        <v>180000</v>
      </c>
      <c r="U509" s="21">
        <f ca="1">T509/T$646</f>
        <v>2.1454854668933837E-3</v>
      </c>
      <c r="V509" s="22">
        <f ca="1">U509*V$676</f>
        <v>38071.270264699968</v>
      </c>
      <c r="W509" s="2">
        <v>668758.33701340575</v>
      </c>
      <c r="X509" s="21">
        <f ca="1">W509/W$646</f>
        <v>7.6510973461712886E-3</v>
      </c>
      <c r="Y509" s="22">
        <f ca="1">X509*Y$676</f>
        <v>138482.7533997827</v>
      </c>
      <c r="Z509" s="2">
        <v>1908775.0999286619</v>
      </c>
      <c r="AA509" s="21">
        <f ca="1">Z509/Z$646</f>
        <v>1.6445643202536653E-2</v>
      </c>
      <c r="AB509" s="22">
        <f ca="1">AA509*AB$676</f>
        <v>303019.5186960994</v>
      </c>
      <c r="AC509" s="2">
        <v>289786.89743600623</v>
      </c>
      <c r="AD509" s="21">
        <f ca="1">AC509/AC$646</f>
        <v>2.7851857350804257E-3</v>
      </c>
      <c r="AE509" s="22">
        <f ca="1">AD509*AE$676</f>
        <v>52293.545319578414</v>
      </c>
      <c r="AF509" s="2">
        <v>429551.2033882917</v>
      </c>
      <c r="AG509" s="21">
        <f ca="1">AF509/AF$646</f>
        <v>4.563201776562306E-3</v>
      </c>
      <c r="AH509" s="22">
        <f ca="1">AG509*AH$676</f>
        <v>87219.054677079461</v>
      </c>
      <c r="AI509" s="2">
        <v>180000</v>
      </c>
      <c r="AJ509" s="21">
        <f ca="1">AI509/AI$646</f>
        <v>1.4569138170895969E-3</v>
      </c>
      <c r="AK509" s="22">
        <f ca="1">AJ509*AK$676</f>
        <v>28348.059938685008</v>
      </c>
      <c r="AL509" s="2">
        <v>6404734.5182693442</v>
      </c>
    </row>
    <row r="510" spans="1:38" ht="12.75" x14ac:dyDescent="0.2">
      <c r="A510" s="8" t="s">
        <v>152</v>
      </c>
      <c r="B510" s="8" t="s">
        <v>17</v>
      </c>
      <c r="C510" s="8" t="s">
        <v>18</v>
      </c>
      <c r="D510" s="8" t="s">
        <v>19</v>
      </c>
      <c r="E510" s="8" t="s">
        <v>153</v>
      </c>
      <c r="F510" s="8" t="s">
        <v>25</v>
      </c>
      <c r="G510" s="8" t="s">
        <v>870</v>
      </c>
      <c r="H510" s="20">
        <v>0</v>
      </c>
      <c r="I510" s="21">
        <f>H510/H$652</f>
        <v>0</v>
      </c>
      <c r="J510" s="22">
        <f>I510*J$682</f>
        <v>0</v>
      </c>
      <c r="K510" s="2">
        <v>0</v>
      </c>
      <c r="L510" s="21">
        <f ca="1">K510/K$652</f>
        <v>0</v>
      </c>
      <c r="M510" s="22">
        <f ca="1">L510*M$682</f>
        <v>0</v>
      </c>
      <c r="N510" s="2">
        <v>0</v>
      </c>
      <c r="O510" s="21">
        <f ca="1">N510/N$652</f>
        <v>0</v>
      </c>
      <c r="P510" s="22">
        <f ca="1">O510*P$682</f>
        <v>0</v>
      </c>
      <c r="Q510" s="2">
        <v>40026.002171527922</v>
      </c>
      <c r="R510" s="21">
        <f ca="1">Q510/Q$652</f>
        <v>8.0641441400059247E-4</v>
      </c>
      <c r="S510" s="22">
        <f ca="1">R510*S$682</f>
        <v>30528.437543074844</v>
      </c>
      <c r="T510" s="2">
        <v>66774.366412799864</v>
      </c>
      <c r="U510" s="21">
        <f ca="1">T510/T$652</f>
        <v>1.521932309251248E-3</v>
      </c>
      <c r="V510" s="22">
        <f ca="1">U510*V$682</f>
        <v>58825.736687895806</v>
      </c>
      <c r="W510" s="2">
        <v>0</v>
      </c>
      <c r="X510" s="21">
        <f ca="1">W510/W$652</f>
        <v>0</v>
      </c>
      <c r="Y510" s="22">
        <f ca="1">X510*Y$682</f>
        <v>0</v>
      </c>
      <c r="Z510" s="2">
        <v>0</v>
      </c>
      <c r="AA510" s="21">
        <f ca="1">Z510/Z$652</f>
        <v>0</v>
      </c>
      <c r="AB510" s="22">
        <f ca="1">AA510*AB$682</f>
        <v>0</v>
      </c>
      <c r="AC510" s="2">
        <v>9241.3802306826092</v>
      </c>
      <c r="AD510" s="21">
        <f ca="1">AC510/AC$652</f>
        <v>1.4835252728248488E-4</v>
      </c>
      <c r="AE510" s="22">
        <f ca="1">AD510*AE$682</f>
        <v>6067.2113087716471</v>
      </c>
      <c r="AF510" s="2">
        <v>0</v>
      </c>
      <c r="AG510" s="21">
        <f ca="1">AF510/AF$652</f>
        <v>0</v>
      </c>
      <c r="AH510" s="22">
        <f ca="1">AG510*AH$682</f>
        <v>0</v>
      </c>
      <c r="AI510" s="2">
        <v>0</v>
      </c>
      <c r="AJ510" s="21">
        <f ca="1">AI510/AI$652</f>
        <v>0</v>
      </c>
      <c r="AK510" s="22">
        <f ca="1">AJ510*AK$682</f>
        <v>0</v>
      </c>
      <c r="AL510" s="2">
        <v>116041.74881501039</v>
      </c>
    </row>
    <row r="511" spans="1:38" ht="12.75" x14ac:dyDescent="0.2">
      <c r="A511" s="8" t="s">
        <v>152</v>
      </c>
      <c r="B511" s="8" t="s">
        <v>17</v>
      </c>
      <c r="C511" s="8" t="s">
        <v>18</v>
      </c>
      <c r="D511" s="8" t="s">
        <v>19</v>
      </c>
      <c r="E511" s="8" t="s">
        <v>153</v>
      </c>
      <c r="F511" s="8" t="s">
        <v>26</v>
      </c>
      <c r="G511" s="8" t="s">
        <v>871</v>
      </c>
      <c r="H511" s="20">
        <v>295000</v>
      </c>
      <c r="I511" s="21">
        <f>H511/H$655</f>
        <v>7.437817418121973E-3</v>
      </c>
      <c r="J511" s="22">
        <f>I511*J$685</f>
        <v>17951.008706654182</v>
      </c>
      <c r="K511" s="2">
        <v>295000</v>
      </c>
      <c r="L511" s="21">
        <f ca="1">K511/K$655</f>
        <v>7.4305291475753E-3</v>
      </c>
      <c r="M511" s="22">
        <f ca="1">L511*M$685</f>
        <v>20560.348456632331</v>
      </c>
      <c r="N511" s="2">
        <v>295000</v>
      </c>
      <c r="O511" s="21">
        <f ca="1">N511/N$655</f>
        <v>2.5503277820906182E-3</v>
      </c>
      <c r="P511" s="22">
        <f ca="1">O511*P$685</f>
        <v>7240.2588207069475</v>
      </c>
      <c r="Q511" s="2">
        <v>295000</v>
      </c>
      <c r="R511" s="21">
        <f ca="1">Q511/Q$655</f>
        <v>2.1189875933607691E-3</v>
      </c>
      <c r="S511" s="22">
        <f ca="1">R511*S$685</f>
        <v>6154.0658190808417</v>
      </c>
      <c r="T511" s="2">
        <v>295000</v>
      </c>
      <c r="U511" s="21">
        <f ca="1">T511/T$655</f>
        <v>2.9695993544840765E-3</v>
      </c>
      <c r="V511" s="22">
        <f ca="1">U511*V$685</f>
        <v>8805.5669798440613</v>
      </c>
      <c r="W511" s="2">
        <v>295000</v>
      </c>
      <c r="X511" s="21">
        <f ca="1">W511/W$655</f>
        <v>2.7517443308362546E-3</v>
      </c>
      <c r="Y511" s="22">
        <f ca="1">X511*Y$685</f>
        <v>8322.7666320854678</v>
      </c>
      <c r="Z511" s="2">
        <v>295000</v>
      </c>
      <c r="AA511" s="21">
        <f ca="1">Z511/Z$655</f>
        <v>2.5574208652869917E-3</v>
      </c>
      <c r="AB511" s="22">
        <f ca="1">AA511*AB$685</f>
        <v>7874.2576185942989</v>
      </c>
      <c r="AC511" s="2">
        <v>295000</v>
      </c>
      <c r="AD511" s="21">
        <f ca="1">AC511/AC$655</f>
        <v>2.6184961349077856E-3</v>
      </c>
      <c r="AE511" s="22">
        <f ca="1">AD511*AE$685</f>
        <v>8215.4912198778147</v>
      </c>
      <c r="AF511" s="2">
        <v>295000</v>
      </c>
      <c r="AG511" s="21">
        <f ca="1">AF511/AF$655</f>
        <v>2.4491388081535029E-3</v>
      </c>
      <c r="AH511" s="22">
        <f ca="1">AG511*AH$685</f>
        <v>7822.4496732927955</v>
      </c>
      <c r="AI511" s="2">
        <v>295000</v>
      </c>
      <c r="AJ511" s="21">
        <f ca="1">AI511/AI$655</f>
        <v>1.593197714529462E-3</v>
      </c>
      <c r="AK511" s="22">
        <f ca="1">AJ511*AK$685</f>
        <v>5180.2036010975398</v>
      </c>
      <c r="AL511" s="2">
        <v>2950000</v>
      </c>
    </row>
    <row r="512" spans="1:38" ht="12.75" x14ac:dyDescent="0.2">
      <c r="A512" s="8" t="s">
        <v>152</v>
      </c>
      <c r="B512" s="8" t="s">
        <v>17</v>
      </c>
      <c r="C512" s="8" t="s">
        <v>18</v>
      </c>
      <c r="D512" s="8" t="s">
        <v>19</v>
      </c>
      <c r="E512" s="8" t="s">
        <v>153</v>
      </c>
      <c r="F512" s="8" t="s">
        <v>38</v>
      </c>
      <c r="G512" s="8" t="s">
        <v>872</v>
      </c>
      <c r="H512" s="20">
        <v>3805525.7461222964</v>
      </c>
      <c r="I512" s="21">
        <f>H512/H$656</f>
        <v>0.17778456521761216</v>
      </c>
      <c r="J512" s="22">
        <f>I512*J$686</f>
        <v>6946435.3335875422</v>
      </c>
      <c r="K512" s="2">
        <v>1430000</v>
      </c>
      <c r="L512" s="21">
        <f ca="1">K512/K$656</f>
        <v>0.10540081297293251</v>
      </c>
      <c r="M512" s="22">
        <f ca="1">L512*M$686</f>
        <v>4028602.9962441181</v>
      </c>
      <c r="N512" s="2">
        <v>1430000</v>
      </c>
      <c r="O512" s="21">
        <f ca="1">N512/N$656</f>
        <v>9.6200267180527557E-2</v>
      </c>
      <c r="P512" s="22">
        <f ca="1">O512*P$686</f>
        <v>3772542.5752147487</v>
      </c>
      <c r="Q512" s="2">
        <v>1430000</v>
      </c>
      <c r="R512" s="21">
        <f ca="1">Q512/Q$656</f>
        <v>0.10124821041924223</v>
      </c>
      <c r="S512" s="22">
        <f ca="1">R512*S$686</f>
        <v>4061821.7514403095</v>
      </c>
      <c r="T512" s="2">
        <v>1430000</v>
      </c>
      <c r="U512" s="21">
        <f ca="1">T512/T$656</f>
        <v>0.15181545033132066</v>
      </c>
      <c r="V512" s="22">
        <f ca="1">U512*V$686</f>
        <v>6218350.8136059362</v>
      </c>
      <c r="W512" s="2">
        <v>2897943.128231389</v>
      </c>
      <c r="X512" s="21">
        <f ca="1">W512/W$656</f>
        <v>0.17054787498114149</v>
      </c>
      <c r="Y512" s="22">
        <f ca="1">X512*Y$686</f>
        <v>7125342.2834853334</v>
      </c>
      <c r="Z512" s="2">
        <v>1430000</v>
      </c>
      <c r="AA512" s="21">
        <f ca="1">Z512/Z$656</f>
        <v>3.5203006353545195E-2</v>
      </c>
      <c r="AB512" s="22">
        <f ca="1">AA512*AB$686</f>
        <v>1497224.589390568</v>
      </c>
      <c r="AC512" s="2">
        <v>2252482.8405307522</v>
      </c>
      <c r="AD512" s="21">
        <f ca="1">AC512/AC$656</f>
        <v>0.20625973813545359</v>
      </c>
      <c r="AE512" s="22">
        <f ca="1">AD512*AE$686</f>
        <v>8939142.1435394268</v>
      </c>
      <c r="AF512" s="2">
        <v>2223776.862349865</v>
      </c>
      <c r="AG512" s="21">
        <f ca="1">AF512/AF$656</f>
        <v>0.11050196375707368</v>
      </c>
      <c r="AH512" s="22">
        <f ca="1">AG512*AH$686</f>
        <v>4875275.4169213511</v>
      </c>
      <c r="AI512" s="2">
        <v>1430000</v>
      </c>
      <c r="AJ512" s="21">
        <f ca="1">AI512/AI$656</f>
        <v>3.5847654102932912E-2</v>
      </c>
      <c r="AK512" s="22">
        <f ca="1">AJ512*AK$686</f>
        <v>1610043.7502070693</v>
      </c>
      <c r="AL512" s="2">
        <v>19759728.577234302</v>
      </c>
    </row>
    <row r="513" spans="1:38" ht="12.75" x14ac:dyDescent="0.2">
      <c r="A513" s="8" t="s">
        <v>152</v>
      </c>
      <c r="B513" s="8" t="s">
        <v>17</v>
      </c>
      <c r="C513" s="8" t="s">
        <v>18</v>
      </c>
      <c r="D513" s="8" t="s">
        <v>19</v>
      </c>
      <c r="E513" s="8" t="s">
        <v>153</v>
      </c>
      <c r="F513" s="8" t="s">
        <v>28</v>
      </c>
      <c r="G513" s="8" t="s">
        <v>873</v>
      </c>
      <c r="H513" s="20">
        <v>795000</v>
      </c>
      <c r="I513" s="21">
        <f>H513/H$669</f>
        <v>9.3568712262740189E-2</v>
      </c>
      <c r="J513" s="22">
        <f>I513*J$699</f>
        <v>1042820.1168320224</v>
      </c>
      <c r="K513" s="2">
        <v>992825.28272296581</v>
      </c>
      <c r="L513" s="21">
        <f ca="1">K513/K$669</f>
        <v>0.13685915574902144</v>
      </c>
      <c r="M513" s="22">
        <f ca="1">L513*M$699</f>
        <v>648674.48826421914</v>
      </c>
      <c r="N513" s="2">
        <v>795000</v>
      </c>
      <c r="O513" s="21">
        <f ca="1">N513/N$669</f>
        <v>2.8187056664302407E-2</v>
      </c>
      <c r="P513" s="22">
        <f ca="1">O513*P$699</f>
        <v>137072.41069059804</v>
      </c>
      <c r="Q513" s="2">
        <v>861710.00361921324</v>
      </c>
      <c r="R513" s="21">
        <f ca="1">Q513/Q$669</f>
        <v>2.2796088746524563E-2</v>
      </c>
      <c r="S513" s="22">
        <f ca="1">R513*S$699</f>
        <v>113406.06846542587</v>
      </c>
      <c r="T513" s="2">
        <v>1210203.0103547894</v>
      </c>
      <c r="U513" s="21">
        <f ca="1">T513/T$669</f>
        <v>4.2393026634420294E-2</v>
      </c>
      <c r="V513" s="22">
        <f ca="1">U513*V$699</f>
        <v>215325.82594491608</v>
      </c>
      <c r="W513" s="2">
        <v>795000</v>
      </c>
      <c r="X513" s="21">
        <f ca="1">W513/W$669</f>
        <v>2.8500967875234332E-2</v>
      </c>
      <c r="Y513" s="22">
        <f ca="1">X513*Y$699</f>
        <v>147659.52870123173</v>
      </c>
      <c r="Z513" s="2">
        <v>1234258.9162726519</v>
      </c>
      <c r="AA513" s="21">
        <f ca="1">Z513/Z$669</f>
        <v>4.1954115911586369E-2</v>
      </c>
      <c r="AB513" s="22">
        <f ca="1">AA513*AB$699</f>
        <v>221270.8588916705</v>
      </c>
      <c r="AC513" s="2">
        <v>814802.95763717697</v>
      </c>
      <c r="AD513" s="21">
        <f ca="1">AC513/AC$669</f>
        <v>2.5836672773616124E-2</v>
      </c>
      <c r="AE513" s="22">
        <f ca="1">AD513*AE$699</f>
        <v>138854.64617515734</v>
      </c>
      <c r="AF513" s="2">
        <v>1448960.1765940557</v>
      </c>
      <c r="AG513" s="21">
        <f ca="1">AF513/AF$669</f>
        <v>3.6098283201603326E-2</v>
      </c>
      <c r="AH513" s="22">
        <f ca="1">AG513*AH$699</f>
        <v>197495.933216114</v>
      </c>
      <c r="AI513" s="2">
        <v>987368.89253090089</v>
      </c>
      <c r="AJ513" s="21">
        <f ca="1">AI513/AI$669</f>
        <v>2.256947026470028E-2</v>
      </c>
      <c r="AK513" s="22">
        <f ca="1">AJ513*AK$699</f>
        <v>125701.58479655089</v>
      </c>
      <c r="AL513" s="2">
        <v>9935129.2397317551</v>
      </c>
    </row>
    <row r="514" spans="1:38" ht="12.75" x14ac:dyDescent="0.2">
      <c r="A514" s="8" t="s">
        <v>152</v>
      </c>
      <c r="B514" s="8" t="s">
        <v>17</v>
      </c>
      <c r="C514" s="8" t="s">
        <v>18</v>
      </c>
      <c r="D514" s="8" t="s">
        <v>19</v>
      </c>
      <c r="E514" s="8" t="s">
        <v>153</v>
      </c>
      <c r="F514" s="8" t="s">
        <v>34</v>
      </c>
      <c r="G514" s="8" t="s">
        <v>874</v>
      </c>
      <c r="H514" s="20">
        <v>186057.98541101487</v>
      </c>
      <c r="I514" s="21">
        <f>H514/H$653</f>
        <v>8.3157305950140606E-2</v>
      </c>
      <c r="J514" s="22">
        <f>I514*J$683</f>
        <v>175226.24774973397</v>
      </c>
      <c r="K514" s="2">
        <v>152970.88045382762</v>
      </c>
      <c r="L514" s="21">
        <f ca="1">K514/K$653</f>
        <v>4.5869022080440101E-2</v>
      </c>
      <c r="M514" s="22">
        <f ca="1">L514*M$683</f>
        <v>70671.503175863996</v>
      </c>
      <c r="N514" s="2">
        <v>120000</v>
      </c>
      <c r="O514" s="21">
        <f ca="1">N514/N$653</f>
        <v>1.0744826746278087E-2</v>
      </c>
      <c r="P514" s="22">
        <f ca="1">O514*P$683</f>
        <v>16985.237524392898</v>
      </c>
      <c r="Q514" s="2">
        <v>153355.00180960659</v>
      </c>
      <c r="R514" s="21">
        <f ca="1">Q514/Q$653</f>
        <v>1.1722465947849696E-2</v>
      </c>
      <c r="S514" s="22">
        <f ca="1">R514*S$683</f>
        <v>18956.878312552395</v>
      </c>
      <c r="T514" s="2">
        <v>120000</v>
      </c>
      <c r="U514" s="21">
        <f ca="1">T514/T$653</f>
        <v>9.0998518075229087E-3</v>
      </c>
      <c r="V514" s="22">
        <f ca="1">U514*V$683</f>
        <v>15024.772508284002</v>
      </c>
      <c r="W514" s="2">
        <v>153362.34382344066</v>
      </c>
      <c r="X514" s="21">
        <f ca="1">W514/W$653</f>
        <v>1.3789296252198928E-2</v>
      </c>
      <c r="Y514" s="22">
        <f ca="1">X514*Y$683</f>
        <v>23222.868214282764</v>
      </c>
      <c r="Z514" s="2">
        <v>153272.14939195968</v>
      </c>
      <c r="AA514" s="21">
        <f ca="1">Z514/Z$653</f>
        <v>1.3715709707841684E-2</v>
      </c>
      <c r="AB514" s="22">
        <f ca="1">AA514*AB$683</f>
        <v>23514.720341540069</v>
      </c>
      <c r="AC514" s="2">
        <v>120000</v>
      </c>
      <c r="AD514" s="21">
        <f ca="1">AC514/AC$653</f>
        <v>9.2442245927327193E-3</v>
      </c>
      <c r="AE514" s="22">
        <f ca="1">AD514*AE$683</f>
        <v>16149.765008126451</v>
      </c>
      <c r="AF514" s="2">
        <v>295738.03813753696</v>
      </c>
      <c r="AG514" s="21">
        <f ca="1">AF514/AF$653</f>
        <v>2.4733480455569858E-2</v>
      </c>
      <c r="AH514" s="22">
        <f ca="1">AG514*AH$683</f>
        <v>43987.444311981242</v>
      </c>
      <c r="AI514" s="2">
        <v>362277.83973828959</v>
      </c>
      <c r="AJ514" s="21">
        <f ca="1">AI514/AI$653</f>
        <v>2.6649646655170597E-2</v>
      </c>
      <c r="AK514" s="22">
        <f ca="1">AJ514*AK$683</f>
        <v>48248.379117375051</v>
      </c>
      <c r="AL514" s="2">
        <v>1817034.238765676</v>
      </c>
    </row>
    <row r="515" spans="1:38" ht="12.75" x14ac:dyDescent="0.2">
      <c r="A515" s="8" t="s">
        <v>152</v>
      </c>
      <c r="B515" s="8" t="s">
        <v>17</v>
      </c>
      <c r="C515" s="8" t="s">
        <v>18</v>
      </c>
      <c r="D515" s="8" t="s">
        <v>19</v>
      </c>
      <c r="E515" s="8" t="s">
        <v>153</v>
      </c>
      <c r="F515" s="8" t="s">
        <v>49</v>
      </c>
      <c r="G515" s="8" t="s">
        <v>875</v>
      </c>
      <c r="H515" s="20">
        <v>80000</v>
      </c>
      <c r="I515" s="21">
        <f>H515/H$644</f>
        <v>4.0659645527781245E-3</v>
      </c>
      <c r="J515" s="22">
        <f>I515*J$674</f>
        <v>123421.91894137282</v>
      </c>
      <c r="K515" s="2">
        <v>80000</v>
      </c>
      <c r="L515" s="21">
        <f>K515/K$644</f>
        <v>5.7513479436607411E-3</v>
      </c>
      <c r="M515" s="22">
        <f>L515*M$674</f>
        <v>126481.11056573133</v>
      </c>
      <c r="N515" s="2">
        <v>80000</v>
      </c>
      <c r="O515" s="21">
        <f>N515/N$644</f>
        <v>3.4685847638108E-3</v>
      </c>
      <c r="P515" s="22">
        <f>O515*P$674</f>
        <v>78262.857552797854</v>
      </c>
      <c r="Q515" s="2">
        <v>80000</v>
      </c>
      <c r="R515" s="21">
        <f>Q515/Q$644</f>
        <v>4.950474097592918E-3</v>
      </c>
      <c r="S515" s="22">
        <f>R515*S$674</f>
        <v>114268.31281738981</v>
      </c>
      <c r="T515" s="2">
        <v>80000</v>
      </c>
      <c r="U515" s="21">
        <f>T515/T$644</f>
        <v>3.3491192450753032E-3</v>
      </c>
      <c r="V515" s="22">
        <f>U515*V$674</f>
        <v>78928.777345073919</v>
      </c>
      <c r="W515" s="2">
        <v>80000</v>
      </c>
      <c r="X515" s="21">
        <f>W515/W$644</f>
        <v>5.0276402195695551E-3</v>
      </c>
      <c r="Y515" s="22">
        <f>X515*Y$674</f>
        <v>120856.25380383006</v>
      </c>
      <c r="Z515" s="2">
        <v>80000</v>
      </c>
      <c r="AA515" s="21">
        <f>Z515/Z$644</f>
        <v>3.2504793704816503E-3</v>
      </c>
      <c r="AB515" s="22">
        <f>AA515*AB$674</f>
        <v>79542.663351997078</v>
      </c>
      <c r="AC515" s="2">
        <v>80000</v>
      </c>
      <c r="AD515" s="21">
        <f>AC515/AC$644</f>
        <v>5.0760465808069909E-3</v>
      </c>
      <c r="AE515" s="22">
        <f>AD515*AE$674</f>
        <v>126576.32931505473</v>
      </c>
      <c r="AF515" s="2">
        <v>80000</v>
      </c>
      <c r="AG515" s="21">
        <f>AF515/AF$644</f>
        <v>2.4785414510071087E-3</v>
      </c>
      <c r="AH515" s="22">
        <f>AG515*AH$674</f>
        <v>62917.413808609359</v>
      </c>
      <c r="AI515" s="2">
        <v>80000</v>
      </c>
      <c r="AJ515" s="21">
        <f>AI515/AI$644</f>
        <v>2.2134754623181659E-3</v>
      </c>
      <c r="AK515" s="22">
        <f>AJ515*AK$674</f>
        <v>57200.149828341149</v>
      </c>
      <c r="AL515" s="2">
        <v>800000</v>
      </c>
    </row>
    <row r="516" spans="1:38" ht="12.75" x14ac:dyDescent="0.2">
      <c r="A516" s="8" t="s">
        <v>152</v>
      </c>
      <c r="B516" s="8" t="s">
        <v>17</v>
      </c>
      <c r="C516" s="8" t="s">
        <v>18</v>
      </c>
      <c r="D516" s="8" t="s">
        <v>19</v>
      </c>
      <c r="E516" s="8" t="s">
        <v>41</v>
      </c>
      <c r="F516" s="8" t="s">
        <v>24</v>
      </c>
      <c r="G516" s="8" t="s">
        <v>876</v>
      </c>
      <c r="H516" s="20">
        <v>0</v>
      </c>
      <c r="I516" s="21">
        <f>H516/H$646</f>
        <v>0</v>
      </c>
      <c r="J516" s="22">
        <f>I516*J$676</f>
        <v>0</v>
      </c>
      <c r="K516" s="2">
        <v>0</v>
      </c>
      <c r="L516" s="21">
        <f ca="1">K516/K$646</f>
        <v>0</v>
      </c>
      <c r="M516" s="22">
        <f ca="1">L516*M$676</f>
        <v>0</v>
      </c>
      <c r="N516" s="2">
        <v>0</v>
      </c>
      <c r="O516" s="21">
        <f ca="1">N516/N$646</f>
        <v>0</v>
      </c>
      <c r="P516" s="22">
        <f ca="1">O516*P$676</f>
        <v>0</v>
      </c>
      <c r="Q516" s="2">
        <v>202131.310966216</v>
      </c>
      <c r="R516" s="21">
        <f ca="1">Q516/Q$646</f>
        <v>1.8173590680418813E-3</v>
      </c>
      <c r="S516" s="22">
        <f ca="1">R516*S$676</f>
        <v>31585.42977971958</v>
      </c>
      <c r="T516" s="2">
        <v>0</v>
      </c>
      <c r="U516" s="21">
        <f ca="1">T516/T$646</f>
        <v>0</v>
      </c>
      <c r="V516" s="22">
        <f ca="1">U516*V$676</f>
        <v>0</v>
      </c>
      <c r="W516" s="2">
        <v>0</v>
      </c>
      <c r="X516" s="21">
        <f ca="1">W516/W$646</f>
        <v>0</v>
      </c>
      <c r="Y516" s="22">
        <f ca="1">X516*Y$676</f>
        <v>0</v>
      </c>
      <c r="Z516" s="2">
        <v>0</v>
      </c>
      <c r="AA516" s="21">
        <f ca="1">Z516/Z$646</f>
        <v>0</v>
      </c>
      <c r="AB516" s="22">
        <f ca="1">AA516*AB$676</f>
        <v>0</v>
      </c>
      <c r="AC516" s="2">
        <v>0</v>
      </c>
      <c r="AD516" s="21">
        <f ca="1">AC516/AC$646</f>
        <v>0</v>
      </c>
      <c r="AE516" s="22">
        <f ca="1">AD516*AE$676</f>
        <v>0</v>
      </c>
      <c r="AF516" s="2">
        <v>0</v>
      </c>
      <c r="AG516" s="21">
        <f ca="1">AF516/AF$646</f>
        <v>0</v>
      </c>
      <c r="AH516" s="22">
        <f ca="1">AG516*AH$676</f>
        <v>0</v>
      </c>
      <c r="AI516" s="2">
        <v>0</v>
      </c>
      <c r="AJ516" s="21">
        <f ca="1">AI516/AI$646</f>
        <v>0</v>
      </c>
      <c r="AK516" s="22">
        <f ca="1">AJ516*AK$676</f>
        <v>0</v>
      </c>
      <c r="AL516" s="2">
        <v>202131.310966216</v>
      </c>
    </row>
    <row r="517" spans="1:38" ht="12.75" x14ac:dyDescent="0.2">
      <c r="A517" s="8" t="s">
        <v>152</v>
      </c>
      <c r="B517" s="8" t="s">
        <v>17</v>
      </c>
      <c r="C517" s="8" t="s">
        <v>18</v>
      </c>
      <c r="D517" s="8" t="s">
        <v>19</v>
      </c>
      <c r="E517" s="8" t="s">
        <v>41</v>
      </c>
      <c r="F517" s="8" t="s">
        <v>25</v>
      </c>
      <c r="G517" s="8" t="s">
        <v>877</v>
      </c>
      <c r="H517" s="20">
        <v>282728.17755914369</v>
      </c>
      <c r="I517" s="21">
        <f>H517/H$652</f>
        <v>2.0266968475115901E-2</v>
      </c>
      <c r="J517" s="22">
        <f>I517*J$682</f>
        <v>1458705.2062497882</v>
      </c>
      <c r="K517" s="2">
        <v>391034.64218239568</v>
      </c>
      <c r="L517" s="21">
        <f ca="1">K517/K$652</f>
        <v>1.7406282576710005E-2</v>
      </c>
      <c r="M517" s="22">
        <f ca="1">L517*M$682</f>
        <v>627811.59282388189</v>
      </c>
      <c r="N517" s="2">
        <v>1277376.0571840499</v>
      </c>
      <c r="O517" s="21">
        <f ca="1">N517/N$652</f>
        <v>2.5596362890041156E-2</v>
      </c>
      <c r="P517" s="22">
        <f ca="1">O517*P$682</f>
        <v>947215.77177630272</v>
      </c>
      <c r="Q517" s="2">
        <v>772586.43019507802</v>
      </c>
      <c r="R517" s="21">
        <f ca="1">Q517/Q$652</f>
        <v>1.5565502412673023E-2</v>
      </c>
      <c r="S517" s="22">
        <f ca="1">R517*S$682</f>
        <v>589263.36134601885</v>
      </c>
      <c r="T517" s="2">
        <v>0</v>
      </c>
      <c r="U517" s="21">
        <f ca="1">T517/T$652</f>
        <v>0</v>
      </c>
      <c r="V517" s="22">
        <f ca="1">U517*V$682</f>
        <v>0</v>
      </c>
      <c r="W517" s="2">
        <v>157470.2628466399</v>
      </c>
      <c r="X517" s="21">
        <f ca="1">W517/W$652</f>
        <v>3.4182365935808839E-3</v>
      </c>
      <c r="Y517" s="22">
        <f ca="1">X517*Y$682</f>
        <v>134764.13521426858</v>
      </c>
      <c r="Z517" s="2">
        <v>409912.88050894329</v>
      </c>
      <c r="AA517" s="21">
        <f ca="1">Z517/Z$652</f>
        <v>8.8719848835568989E-3</v>
      </c>
      <c r="AB517" s="22">
        <f ca="1">AA517*AB$682</f>
        <v>356074.42429165775</v>
      </c>
      <c r="AC517" s="2">
        <v>883211.91061809496</v>
      </c>
      <c r="AD517" s="21">
        <f ca="1">AC517/AC$652</f>
        <v>1.417826296456891E-2</v>
      </c>
      <c r="AE517" s="22">
        <f ca="1">AD517*AE$682</f>
        <v>579852.05222403305</v>
      </c>
      <c r="AF517" s="2">
        <v>575484.95540276915</v>
      </c>
      <c r="AG517" s="21">
        <f ca="1">AF517/AF$652</f>
        <v>8.5981135728962921E-3</v>
      </c>
      <c r="AH517" s="22">
        <f ca="1">AG517*AH$682</f>
        <v>357968.75974906824</v>
      </c>
      <c r="AI517" s="2">
        <v>0</v>
      </c>
      <c r="AJ517" s="21">
        <f ca="1">AI517/AI$652</f>
        <v>0</v>
      </c>
      <c r="AK517" s="22">
        <f ca="1">AJ517*AK$682</f>
        <v>0</v>
      </c>
      <c r="AL517" s="2">
        <v>4749805.3164971145</v>
      </c>
    </row>
    <row r="518" spans="1:38" ht="12.75" x14ac:dyDescent="0.2">
      <c r="A518" s="8" t="s">
        <v>152</v>
      </c>
      <c r="B518" s="8" t="s">
        <v>17</v>
      </c>
      <c r="C518" s="8" t="s">
        <v>18</v>
      </c>
      <c r="D518" s="8" t="s">
        <v>19</v>
      </c>
      <c r="E518" s="8" t="s">
        <v>154</v>
      </c>
      <c r="F518" s="8" t="s">
        <v>21</v>
      </c>
      <c r="G518" s="8" t="s">
        <v>878</v>
      </c>
      <c r="H518" s="20">
        <v>0</v>
      </c>
      <c r="I518" s="21">
        <f>H518/H$645</f>
        <v>0</v>
      </c>
      <c r="J518" s="22">
        <f>I518*J$675</f>
        <v>0</v>
      </c>
      <c r="K518" s="2">
        <v>0</v>
      </c>
      <c r="L518" s="21">
        <f ca="1">K518/K$645</f>
        <v>0</v>
      </c>
      <c r="M518" s="22">
        <f ca="1">L518*M$675</f>
        <v>0</v>
      </c>
      <c r="N518" s="2">
        <v>0</v>
      </c>
      <c r="O518" s="21">
        <f ca="1">N518/N$645</f>
        <v>0</v>
      </c>
      <c r="P518" s="22">
        <f ca="1">O518*P$675</f>
        <v>0</v>
      </c>
      <c r="Q518" s="2">
        <v>0</v>
      </c>
      <c r="R518" s="21">
        <f ca="1">Q518/Q$645</f>
        <v>0</v>
      </c>
      <c r="S518" s="22">
        <f ca="1">R518*S$675</f>
        <v>0</v>
      </c>
      <c r="T518" s="2">
        <v>0</v>
      </c>
      <c r="U518" s="21">
        <f ca="1">T518/T$645</f>
        <v>0</v>
      </c>
      <c r="V518" s="22">
        <f ca="1">U518*V$675</f>
        <v>0</v>
      </c>
      <c r="W518" s="2">
        <v>0</v>
      </c>
      <c r="X518" s="21">
        <f ca="1">W518/W$645</f>
        <v>0</v>
      </c>
      <c r="Y518" s="22">
        <f ca="1">X518*Y$675</f>
        <v>0</v>
      </c>
      <c r="Z518" s="2">
        <v>0</v>
      </c>
      <c r="AA518" s="21">
        <f ca="1">Z518/Z$645</f>
        <v>0</v>
      </c>
      <c r="AB518" s="22">
        <f ca="1">AA518*AB$675</f>
        <v>0</v>
      </c>
      <c r="AC518" s="2">
        <v>0</v>
      </c>
      <c r="AD518" s="21">
        <f ca="1">AC518/AC$645</f>
        <v>0</v>
      </c>
      <c r="AE518" s="22">
        <f ca="1">AD518*AE$675</f>
        <v>0</v>
      </c>
      <c r="AF518" s="2">
        <v>0</v>
      </c>
      <c r="AG518" s="21">
        <f ca="1">AF518/AF$645</f>
        <v>0</v>
      </c>
      <c r="AH518" s="22">
        <f ca="1">AG518*AH$675</f>
        <v>0</v>
      </c>
      <c r="AI518" s="2">
        <v>0</v>
      </c>
      <c r="AJ518" s="21">
        <f ca="1">AI518/AI$645</f>
        <v>0</v>
      </c>
      <c r="AK518" s="22">
        <f ca="1">AJ518*AK$675</f>
        <v>0</v>
      </c>
      <c r="AL518" s="2">
        <v>0</v>
      </c>
    </row>
    <row r="519" spans="1:38" ht="12.75" x14ac:dyDescent="0.2">
      <c r="A519" s="8" t="s">
        <v>152</v>
      </c>
      <c r="B519" s="8" t="s">
        <v>17</v>
      </c>
      <c r="C519" s="8" t="s">
        <v>18</v>
      </c>
      <c r="D519" s="8" t="s">
        <v>19</v>
      </c>
      <c r="E519" s="8" t="s">
        <v>154</v>
      </c>
      <c r="F519" s="8" t="s">
        <v>24</v>
      </c>
      <c r="G519" s="8" t="s">
        <v>879</v>
      </c>
      <c r="H519" s="20">
        <v>0</v>
      </c>
      <c r="I519" s="21">
        <f>H519/H$646</f>
        <v>0</v>
      </c>
      <c r="J519" s="22">
        <f>I519*J$676</f>
        <v>0</v>
      </c>
      <c r="K519" s="2">
        <v>0</v>
      </c>
      <c r="L519" s="21">
        <f ca="1">K519/K$646</f>
        <v>0</v>
      </c>
      <c r="M519" s="22">
        <f ca="1">L519*M$676</f>
        <v>0</v>
      </c>
      <c r="N519" s="2">
        <v>0</v>
      </c>
      <c r="O519" s="21">
        <f ca="1">N519/N$646</f>
        <v>0</v>
      </c>
      <c r="P519" s="22">
        <f ca="1">O519*P$676</f>
        <v>0</v>
      </c>
      <c r="Q519" s="2">
        <v>5336.8002895370555</v>
      </c>
      <c r="R519" s="21">
        <f ca="1">Q519/Q$646</f>
        <v>4.7983077704076068E-5</v>
      </c>
      <c r="S519" s="22">
        <f ca="1">R519*S$676</f>
        <v>833.93874005860266</v>
      </c>
      <c r="T519" s="2">
        <v>0</v>
      </c>
      <c r="U519" s="21">
        <f ca="1">T519/T$646</f>
        <v>0</v>
      </c>
      <c r="V519" s="22">
        <f ca="1">U519*V$676</f>
        <v>0</v>
      </c>
      <c r="W519" s="2">
        <v>0</v>
      </c>
      <c r="X519" s="21">
        <f ca="1">W519/W$646</f>
        <v>0</v>
      </c>
      <c r="Y519" s="22">
        <f ca="1">X519*Y$676</f>
        <v>0</v>
      </c>
      <c r="Z519" s="2">
        <v>0</v>
      </c>
      <c r="AA519" s="21">
        <f ca="1">Z519/Z$646</f>
        <v>0</v>
      </c>
      <c r="AB519" s="22">
        <f ca="1">AA519*AB$676</f>
        <v>0</v>
      </c>
      <c r="AC519" s="2">
        <v>0</v>
      </c>
      <c r="AD519" s="21">
        <f ca="1">AC519/AC$646</f>
        <v>0</v>
      </c>
      <c r="AE519" s="22">
        <f ca="1">AD519*AE$676</f>
        <v>0</v>
      </c>
      <c r="AF519" s="2">
        <v>0</v>
      </c>
      <c r="AG519" s="21">
        <f ca="1">AF519/AF$646</f>
        <v>0</v>
      </c>
      <c r="AH519" s="22">
        <f ca="1">AG519*AH$676</f>
        <v>0</v>
      </c>
      <c r="AI519" s="2">
        <v>0</v>
      </c>
      <c r="AJ519" s="21">
        <f ca="1">AI519/AI$646</f>
        <v>0</v>
      </c>
      <c r="AK519" s="22">
        <f ca="1">AJ519*AK$676</f>
        <v>0</v>
      </c>
      <c r="AL519" s="2">
        <v>5336.8002895370555</v>
      </c>
    </row>
    <row r="520" spans="1:38" ht="12.75" x14ac:dyDescent="0.2">
      <c r="A520" s="8" t="s">
        <v>152</v>
      </c>
      <c r="B520" s="8" t="s">
        <v>17</v>
      </c>
      <c r="C520" s="8" t="s">
        <v>18</v>
      </c>
      <c r="D520" s="8" t="s">
        <v>19</v>
      </c>
      <c r="E520" s="8" t="s">
        <v>154</v>
      </c>
      <c r="F520" s="8" t="s">
        <v>25</v>
      </c>
      <c r="G520" s="8" t="s">
        <v>880</v>
      </c>
      <c r="H520" s="20">
        <v>0</v>
      </c>
      <c r="I520" s="21">
        <f>H520/H$652</f>
        <v>0</v>
      </c>
      <c r="J520" s="22">
        <f>I520*J$682</f>
        <v>0</v>
      </c>
      <c r="K520" s="2">
        <v>138477.69790607603</v>
      </c>
      <c r="L520" s="21">
        <f ca="1">K520/K$652</f>
        <v>6.1641135600490745E-3</v>
      </c>
      <c r="M520" s="22">
        <f ca="1">L520*M$682</f>
        <v>222327.8827875467</v>
      </c>
      <c r="N520" s="2">
        <v>0</v>
      </c>
      <c r="O520" s="21">
        <f ca="1">N520/N$652</f>
        <v>0</v>
      </c>
      <c r="P520" s="22">
        <f ca="1">O520*P$682</f>
        <v>0</v>
      </c>
      <c r="Q520" s="2">
        <v>0</v>
      </c>
      <c r="R520" s="21">
        <f ca="1">Q520/Q$652</f>
        <v>0</v>
      </c>
      <c r="S520" s="22">
        <f ca="1">R520*S$682</f>
        <v>0</v>
      </c>
      <c r="T520" s="2">
        <v>0</v>
      </c>
      <c r="U520" s="21">
        <f ca="1">T520/T$652</f>
        <v>0</v>
      </c>
      <c r="V520" s="22">
        <f ca="1">U520*V$682</f>
        <v>0</v>
      </c>
      <c r="W520" s="2">
        <v>0</v>
      </c>
      <c r="X520" s="21">
        <f ca="1">W520/W$652</f>
        <v>0</v>
      </c>
      <c r="Y520" s="22">
        <f ca="1">X520*Y$682</f>
        <v>0</v>
      </c>
      <c r="Z520" s="2">
        <v>0</v>
      </c>
      <c r="AA520" s="21">
        <f ca="1">Z520/Z$652</f>
        <v>0</v>
      </c>
      <c r="AB520" s="22">
        <f ca="1">AA520*AB$682</f>
        <v>0</v>
      </c>
      <c r="AC520" s="2">
        <v>0</v>
      </c>
      <c r="AD520" s="21">
        <f ca="1">AC520/AC$652</f>
        <v>0</v>
      </c>
      <c r="AE520" s="22">
        <f ca="1">AD520*AE$682</f>
        <v>0</v>
      </c>
      <c r="AF520" s="2">
        <v>0</v>
      </c>
      <c r="AG520" s="21">
        <f ca="1">AF520/AF$652</f>
        <v>0</v>
      </c>
      <c r="AH520" s="22">
        <f ca="1">AG520*AH$682</f>
        <v>0</v>
      </c>
      <c r="AI520" s="2">
        <v>0</v>
      </c>
      <c r="AJ520" s="21">
        <f ca="1">AI520/AI$652</f>
        <v>0</v>
      </c>
      <c r="AK520" s="22">
        <f ca="1">AJ520*AK$682</f>
        <v>0</v>
      </c>
      <c r="AL520" s="2">
        <v>138477.69790607603</v>
      </c>
    </row>
    <row r="521" spans="1:38" ht="12.75" x14ac:dyDescent="0.2">
      <c r="A521" s="8" t="s">
        <v>152</v>
      </c>
      <c r="B521" s="8" t="s">
        <v>17</v>
      </c>
      <c r="C521" s="8" t="s">
        <v>18</v>
      </c>
      <c r="D521" s="8" t="s">
        <v>19</v>
      </c>
      <c r="E521" s="8" t="s">
        <v>154</v>
      </c>
      <c r="F521" s="8" t="s">
        <v>26</v>
      </c>
      <c r="G521" s="8" t="s">
        <v>881</v>
      </c>
      <c r="H521" s="20">
        <v>0</v>
      </c>
      <c r="I521" s="21">
        <f>H521/H$655</f>
        <v>0</v>
      </c>
      <c r="J521" s="22">
        <f>I521*J$685</f>
        <v>0</v>
      </c>
      <c r="K521" s="2">
        <v>0</v>
      </c>
      <c r="L521" s="21">
        <f ca="1">K521/K$655</f>
        <v>0</v>
      </c>
      <c r="M521" s="22">
        <f ca="1">L521*M$685</f>
        <v>0</v>
      </c>
      <c r="N521" s="2">
        <v>0</v>
      </c>
      <c r="O521" s="21">
        <f ca="1">N521/N$655</f>
        <v>0</v>
      </c>
      <c r="P521" s="22">
        <f ca="1">O521*P$685</f>
        <v>0</v>
      </c>
      <c r="Q521" s="2">
        <v>0</v>
      </c>
      <c r="R521" s="21">
        <f ca="1">Q521/Q$655</f>
        <v>0</v>
      </c>
      <c r="S521" s="22">
        <f ca="1">R521*S$685</f>
        <v>0</v>
      </c>
      <c r="T521" s="2">
        <v>0</v>
      </c>
      <c r="U521" s="21">
        <f ca="1">T521/T$655</f>
        <v>0</v>
      </c>
      <c r="V521" s="22">
        <f ca="1">U521*V$685</f>
        <v>0</v>
      </c>
      <c r="W521" s="2">
        <v>0</v>
      </c>
      <c r="X521" s="21">
        <f ca="1">W521/W$655</f>
        <v>0</v>
      </c>
      <c r="Y521" s="22">
        <f ca="1">X521*Y$685</f>
        <v>0</v>
      </c>
      <c r="Z521" s="2">
        <v>0</v>
      </c>
      <c r="AA521" s="21">
        <f ca="1">Z521/Z$655</f>
        <v>0</v>
      </c>
      <c r="AB521" s="22">
        <f ca="1">AA521*AB$685</f>
        <v>0</v>
      </c>
      <c r="AC521" s="2">
        <v>0</v>
      </c>
      <c r="AD521" s="21">
        <f ca="1">AC521/AC$655</f>
        <v>0</v>
      </c>
      <c r="AE521" s="22">
        <f ca="1">AD521*AE$685</f>
        <v>0</v>
      </c>
      <c r="AF521" s="2">
        <v>0</v>
      </c>
      <c r="AG521" s="21">
        <f ca="1">AF521/AF$655</f>
        <v>0</v>
      </c>
      <c r="AH521" s="22">
        <f ca="1">AG521*AH$685</f>
        <v>0</v>
      </c>
      <c r="AI521" s="2">
        <v>0</v>
      </c>
      <c r="AJ521" s="21">
        <f ca="1">AI521/AI$655</f>
        <v>0</v>
      </c>
      <c r="AK521" s="22">
        <f ca="1">AJ521*AK$685</f>
        <v>0</v>
      </c>
      <c r="AL521" s="2">
        <v>0</v>
      </c>
    </row>
    <row r="522" spans="1:38" ht="12.75" x14ac:dyDescent="0.2">
      <c r="A522" s="8" t="s">
        <v>152</v>
      </c>
      <c r="B522" s="8" t="s">
        <v>17</v>
      </c>
      <c r="C522" s="8" t="s">
        <v>18</v>
      </c>
      <c r="D522" s="8" t="s">
        <v>19</v>
      </c>
      <c r="E522" s="8" t="s">
        <v>154</v>
      </c>
      <c r="F522" s="8" t="s">
        <v>28</v>
      </c>
      <c r="G522" s="8" t="s">
        <v>882</v>
      </c>
      <c r="H522" s="20">
        <v>0</v>
      </c>
      <c r="I522" s="21">
        <f>H522/H$669</f>
        <v>0</v>
      </c>
      <c r="J522" s="22">
        <f>I522*J$699</f>
        <v>0</v>
      </c>
      <c r="K522" s="2">
        <v>0</v>
      </c>
      <c r="L522" s="21">
        <f ca="1">K522/K$669</f>
        <v>0</v>
      </c>
      <c r="M522" s="22">
        <f ca="1">L522*M$699</f>
        <v>0</v>
      </c>
      <c r="N522" s="2">
        <v>6247.312662606696</v>
      </c>
      <c r="O522" s="21">
        <f ca="1">N522/N$669</f>
        <v>2.2150107675535707E-4</v>
      </c>
      <c r="P522" s="22">
        <f ca="1">O522*P$699</f>
        <v>1077.1499459137087</v>
      </c>
      <c r="Q522" s="2">
        <v>0</v>
      </c>
      <c r="R522" s="21">
        <f ca="1">Q522/Q$669</f>
        <v>0</v>
      </c>
      <c r="S522" s="22">
        <f ca="1">R522*S$699</f>
        <v>0</v>
      </c>
      <c r="T522" s="2">
        <v>0</v>
      </c>
      <c r="U522" s="21">
        <f ca="1">T522/T$669</f>
        <v>0</v>
      </c>
      <c r="V522" s="22">
        <f ca="1">U522*V$699</f>
        <v>0</v>
      </c>
      <c r="W522" s="2">
        <v>0</v>
      </c>
      <c r="X522" s="21">
        <f ca="1">W522/W$669</f>
        <v>0</v>
      </c>
      <c r="Y522" s="22">
        <f ca="1">X522*Y$699</f>
        <v>0</v>
      </c>
      <c r="Z522" s="2">
        <v>0</v>
      </c>
      <c r="AA522" s="21">
        <f ca="1">Z522/Z$669</f>
        <v>0</v>
      </c>
      <c r="AB522" s="22">
        <f ca="1">AA522*AB$699</f>
        <v>0</v>
      </c>
      <c r="AC522" s="2">
        <v>0</v>
      </c>
      <c r="AD522" s="21">
        <f ca="1">AC522/AC$669</f>
        <v>0</v>
      </c>
      <c r="AE522" s="22">
        <f ca="1">AD522*AE$699</f>
        <v>0</v>
      </c>
      <c r="AF522" s="2">
        <v>0</v>
      </c>
      <c r="AG522" s="21">
        <f ca="1">AF522/AF$669</f>
        <v>0</v>
      </c>
      <c r="AH522" s="22">
        <f ca="1">AG522*AH$699</f>
        <v>0</v>
      </c>
      <c r="AI522" s="2">
        <v>0</v>
      </c>
      <c r="AJ522" s="21">
        <f ca="1">AI522/AI$669</f>
        <v>0</v>
      </c>
      <c r="AK522" s="22">
        <f ca="1">AJ522*AK$699</f>
        <v>0</v>
      </c>
      <c r="AL522" s="2">
        <v>6247.312662606696</v>
      </c>
    </row>
    <row r="523" spans="1:38" ht="12.75" x14ac:dyDescent="0.2">
      <c r="A523" s="8" t="s">
        <v>152</v>
      </c>
      <c r="B523" s="8" t="s">
        <v>17</v>
      </c>
      <c r="C523" s="8" t="s">
        <v>18</v>
      </c>
      <c r="D523" s="8" t="s">
        <v>19</v>
      </c>
      <c r="E523" s="8" t="s">
        <v>154</v>
      </c>
      <c r="F523" s="8" t="s">
        <v>34</v>
      </c>
      <c r="G523" s="8" t="s">
        <v>883</v>
      </c>
      <c r="H523" s="20">
        <v>6050.9114636489621</v>
      </c>
      <c r="I523" s="21">
        <f>H523/H$653</f>
        <v>2.7044122548587003E-3</v>
      </c>
      <c r="J523" s="22">
        <f>I523*J$683</f>
        <v>5698.6455534215884</v>
      </c>
      <c r="K523" s="2">
        <v>0</v>
      </c>
      <c r="L523" s="21">
        <f ca="1">K523/K$653</f>
        <v>0</v>
      </c>
      <c r="M523" s="22">
        <f ca="1">L523*M$683</f>
        <v>0</v>
      </c>
      <c r="N523" s="2">
        <v>0</v>
      </c>
      <c r="O523" s="21">
        <f ca="1">N523/N$653</f>
        <v>0</v>
      </c>
      <c r="P523" s="22">
        <f ca="1">O523*P$683</f>
        <v>0</v>
      </c>
      <c r="Q523" s="2">
        <v>0</v>
      </c>
      <c r="R523" s="21">
        <f ca="1">Q523/Q$653</f>
        <v>0</v>
      </c>
      <c r="S523" s="22">
        <f ca="1">R523*S$683</f>
        <v>0</v>
      </c>
      <c r="T523" s="2">
        <v>0</v>
      </c>
      <c r="U523" s="21">
        <f ca="1">T523/T$653</f>
        <v>0</v>
      </c>
      <c r="V523" s="22">
        <f ca="1">U523*V$683</f>
        <v>0</v>
      </c>
      <c r="W523" s="2">
        <v>0</v>
      </c>
      <c r="X523" s="21">
        <f ca="1">W523/W$653</f>
        <v>0</v>
      </c>
      <c r="Y523" s="22">
        <f ca="1">X523*Y$683</f>
        <v>0</v>
      </c>
      <c r="Z523" s="2">
        <v>0</v>
      </c>
      <c r="AA523" s="21">
        <f ca="1">Z523/Z$653</f>
        <v>0</v>
      </c>
      <c r="AB523" s="22">
        <f ca="1">AA523*AB$683</f>
        <v>0</v>
      </c>
      <c r="AC523" s="2">
        <v>0</v>
      </c>
      <c r="AD523" s="21">
        <f ca="1">AC523/AC$653</f>
        <v>0</v>
      </c>
      <c r="AE523" s="22">
        <f ca="1">AD523*AE$683</f>
        <v>0</v>
      </c>
      <c r="AF523" s="2">
        <v>0</v>
      </c>
      <c r="AG523" s="21">
        <f ca="1">AF523/AF$653</f>
        <v>0</v>
      </c>
      <c r="AH523" s="22">
        <f ca="1">AG523*AH$683</f>
        <v>0</v>
      </c>
      <c r="AI523" s="2">
        <v>76789.891984468602</v>
      </c>
      <c r="AJ523" s="21">
        <f ca="1">AI523/AI$653</f>
        <v>5.6487680547977941E-3</v>
      </c>
      <c r="AK523" s="22">
        <f ca="1">AJ523*AK$683</f>
        <v>10226.923687977749</v>
      </c>
      <c r="AL523" s="2">
        <v>82840.803448117571</v>
      </c>
    </row>
    <row r="524" spans="1:38" ht="12.75" x14ac:dyDescent="0.2">
      <c r="A524" s="8" t="s">
        <v>152</v>
      </c>
      <c r="B524" s="8" t="s">
        <v>17</v>
      </c>
      <c r="C524" s="8" t="s">
        <v>18</v>
      </c>
      <c r="D524" s="8" t="s">
        <v>19</v>
      </c>
      <c r="E524" s="8" t="s">
        <v>155</v>
      </c>
      <c r="F524" s="8" t="s">
        <v>24</v>
      </c>
      <c r="G524" s="8" t="s">
        <v>884</v>
      </c>
      <c r="H524" s="20">
        <v>0</v>
      </c>
      <c r="I524" s="21">
        <f>H524/H$646</f>
        <v>0</v>
      </c>
      <c r="J524" s="22">
        <f>I524*J$676</f>
        <v>0</v>
      </c>
      <c r="K524" s="2">
        <v>0</v>
      </c>
      <c r="L524" s="21">
        <f ca="1">K524/K$646</f>
        <v>0</v>
      </c>
      <c r="M524" s="22">
        <f ca="1">L524*M$676</f>
        <v>0</v>
      </c>
      <c r="N524" s="2">
        <v>0</v>
      </c>
      <c r="O524" s="21">
        <f ca="1">N524/N$646</f>
        <v>0</v>
      </c>
      <c r="P524" s="22">
        <f ca="1">O524*P$676</f>
        <v>0</v>
      </c>
      <c r="Q524" s="2">
        <v>0</v>
      </c>
      <c r="R524" s="21">
        <f ca="1">Q524/Q$646</f>
        <v>0</v>
      </c>
      <c r="S524" s="22">
        <f ca="1">R524*S$676</f>
        <v>0</v>
      </c>
      <c r="T524" s="2">
        <v>0</v>
      </c>
      <c r="U524" s="21">
        <f ca="1">T524/T$646</f>
        <v>0</v>
      </c>
      <c r="V524" s="22">
        <f ca="1">U524*V$676</f>
        <v>0</v>
      </c>
      <c r="W524" s="2">
        <v>0</v>
      </c>
      <c r="X524" s="21">
        <f ca="1">W524/W$646</f>
        <v>0</v>
      </c>
      <c r="Y524" s="22">
        <f ca="1">X524*Y$676</f>
        <v>0</v>
      </c>
      <c r="Z524" s="2">
        <v>65612.678600944491</v>
      </c>
      <c r="AA524" s="21">
        <f ca="1">Z524/Z$646</f>
        <v>5.653063589703013E-4</v>
      </c>
      <c r="AB524" s="22">
        <f ca="1">AA524*AB$676</f>
        <v>10416.063312415969</v>
      </c>
      <c r="AC524" s="2">
        <v>70630.54890593137</v>
      </c>
      <c r="AD524" s="21">
        <f ca="1">AC524/AC$646</f>
        <v>6.7884089658381468E-4</v>
      </c>
      <c r="AE524" s="22">
        <f ca="1">AD524*AE$676</f>
        <v>12745.648070491745</v>
      </c>
      <c r="AF524" s="2">
        <v>0</v>
      </c>
      <c r="AG524" s="21">
        <f ca="1">AF524/AF$646</f>
        <v>0</v>
      </c>
      <c r="AH524" s="22">
        <f ca="1">AG524*AH$676</f>
        <v>0</v>
      </c>
      <c r="AI524" s="2">
        <v>0</v>
      </c>
      <c r="AJ524" s="21">
        <f ca="1">AI524/AI$646</f>
        <v>0</v>
      </c>
      <c r="AK524" s="22">
        <f ca="1">AJ524*AK$676</f>
        <v>0</v>
      </c>
      <c r="AL524" s="2">
        <v>136243.22750687588</v>
      </c>
    </row>
    <row r="525" spans="1:38" ht="12.75" x14ac:dyDescent="0.2">
      <c r="A525" s="8" t="s">
        <v>152</v>
      </c>
      <c r="B525" s="8" t="s">
        <v>17</v>
      </c>
      <c r="C525" s="8" t="s">
        <v>18</v>
      </c>
      <c r="D525" s="8" t="s">
        <v>19</v>
      </c>
      <c r="E525" s="8" t="s">
        <v>155</v>
      </c>
      <c r="F525" s="23" t="s">
        <v>22</v>
      </c>
      <c r="G525" s="8" t="s">
        <v>885</v>
      </c>
      <c r="H525" s="20">
        <v>0</v>
      </c>
      <c r="I525" s="21">
        <f>H525/H$650</f>
        <v>0</v>
      </c>
      <c r="J525" s="22">
        <f>I525*J$680</f>
        <v>0</v>
      </c>
      <c r="K525" s="2">
        <v>0</v>
      </c>
      <c r="L525" s="21">
        <f ca="1">K525/K$650</f>
        <v>0</v>
      </c>
      <c r="M525" s="22">
        <f ca="1">L525*M$680</f>
        <v>0</v>
      </c>
      <c r="N525" s="2">
        <v>0</v>
      </c>
      <c r="O525" s="21">
        <f ca="1">N525/N$650</f>
        <v>0</v>
      </c>
      <c r="P525" s="22">
        <f ca="1">O525*P$680</f>
        <v>0</v>
      </c>
      <c r="Q525" s="2">
        <v>0</v>
      </c>
      <c r="R525" s="21">
        <f ca="1">Q525/Q$650</f>
        <v>0</v>
      </c>
      <c r="S525" s="22">
        <f ca="1">R525*S$680</f>
        <v>0</v>
      </c>
      <c r="T525" s="2">
        <v>0</v>
      </c>
      <c r="U525" s="21">
        <f ca="1">T525/T$650</f>
        <v>0</v>
      </c>
      <c r="V525" s="22">
        <f ca="1">U525*V$680</f>
        <v>0</v>
      </c>
      <c r="W525" s="2">
        <v>0</v>
      </c>
      <c r="X525" s="21">
        <f ca="1">W525/W$650</f>
        <v>0</v>
      </c>
      <c r="Y525" s="22">
        <f ca="1">X525*Y$680</f>
        <v>0</v>
      </c>
      <c r="Z525" s="2">
        <v>235566.81769507454</v>
      </c>
      <c r="AA525" s="21">
        <f ca="1">Z525/Z$650</f>
        <v>7.2089700165868147E-3</v>
      </c>
      <c r="AB525" s="22">
        <f ca="1">AA525*AB$680</f>
        <v>88611.314033810922</v>
      </c>
      <c r="AC525" s="2">
        <v>0</v>
      </c>
      <c r="AD525" s="21">
        <f ca="1">AC525/AC$650</f>
        <v>0</v>
      </c>
      <c r="AE525" s="22">
        <f ca="1">AD525*AE$680</f>
        <v>0</v>
      </c>
      <c r="AF525" s="2">
        <v>0</v>
      </c>
      <c r="AG525" s="21">
        <f ca="1">AF525/AF$650</f>
        <v>0</v>
      </c>
      <c r="AH525" s="22">
        <f ca="1">AG525*AH$680</f>
        <v>0</v>
      </c>
      <c r="AI525" s="2">
        <v>0</v>
      </c>
      <c r="AJ525" s="21">
        <f ca="1">AI525/AI$650</f>
        <v>0</v>
      </c>
      <c r="AK525" s="22">
        <f ca="1">AJ525*AK$680</f>
        <v>0</v>
      </c>
      <c r="AL525" s="2">
        <v>235566.81769507454</v>
      </c>
    </row>
    <row r="526" spans="1:38" ht="12.75" x14ac:dyDescent="0.2">
      <c r="A526" s="8" t="s">
        <v>152</v>
      </c>
      <c r="B526" s="8" t="s">
        <v>17</v>
      </c>
      <c r="C526" s="8" t="s">
        <v>18</v>
      </c>
      <c r="D526" s="8" t="s">
        <v>19</v>
      </c>
      <c r="E526" s="8" t="s">
        <v>155</v>
      </c>
      <c r="F526" s="8" t="s">
        <v>34</v>
      </c>
      <c r="G526" s="8" t="s">
        <v>886</v>
      </c>
      <c r="H526" s="20">
        <v>0</v>
      </c>
      <c r="I526" s="21">
        <f>H526/H$653</f>
        <v>0</v>
      </c>
      <c r="J526" s="22">
        <f>I526*J$683</f>
        <v>0</v>
      </c>
      <c r="K526" s="2">
        <v>0</v>
      </c>
      <c r="L526" s="21">
        <f ca="1">K526/K$653</f>
        <v>0</v>
      </c>
      <c r="M526" s="22">
        <f ca="1">L526*M$683</f>
        <v>0</v>
      </c>
      <c r="N526" s="2">
        <v>0</v>
      </c>
      <c r="O526" s="21">
        <f ca="1">N526/N$653</f>
        <v>0</v>
      </c>
      <c r="P526" s="22">
        <f ca="1">O526*P$683</f>
        <v>0</v>
      </c>
      <c r="Q526" s="2">
        <v>0</v>
      </c>
      <c r="R526" s="21">
        <f ca="1">Q526/Q$653</f>
        <v>0</v>
      </c>
      <c r="S526" s="22">
        <f ca="1">R526*S$683</f>
        <v>0</v>
      </c>
      <c r="T526" s="2">
        <v>0</v>
      </c>
      <c r="U526" s="21">
        <f ca="1">T526/T$653</f>
        <v>0</v>
      </c>
      <c r="V526" s="22">
        <f ca="1">U526*V$683</f>
        <v>0</v>
      </c>
      <c r="W526" s="2">
        <v>0</v>
      </c>
      <c r="X526" s="21">
        <f ca="1">W526/W$653</f>
        <v>0</v>
      </c>
      <c r="Y526" s="22">
        <f ca="1">X526*Y$683</f>
        <v>0</v>
      </c>
      <c r="Z526" s="2">
        <v>0</v>
      </c>
      <c r="AA526" s="21">
        <f ca="1">Z526/Z$653</f>
        <v>0</v>
      </c>
      <c r="AB526" s="22">
        <f ca="1">AA526*AB$683</f>
        <v>0</v>
      </c>
      <c r="AC526" s="2">
        <v>0</v>
      </c>
      <c r="AD526" s="21">
        <f ca="1">AC526/AC$653</f>
        <v>0</v>
      </c>
      <c r="AE526" s="22">
        <f ca="1">AD526*AE$683</f>
        <v>0</v>
      </c>
      <c r="AF526" s="2">
        <v>0</v>
      </c>
      <c r="AG526" s="21">
        <f ca="1">AF526/AF$653</f>
        <v>0</v>
      </c>
      <c r="AH526" s="22">
        <f ca="1">AG526*AH$683</f>
        <v>0</v>
      </c>
      <c r="AI526" s="2">
        <v>0</v>
      </c>
      <c r="AJ526" s="21">
        <f ca="1">AI526/AI$653</f>
        <v>0</v>
      </c>
      <c r="AK526" s="22">
        <f ca="1">AJ526*AK$683</f>
        <v>0</v>
      </c>
      <c r="AL526" s="2">
        <v>0</v>
      </c>
    </row>
    <row r="527" spans="1:38" ht="12.75" x14ac:dyDescent="0.2">
      <c r="A527" s="8" t="s">
        <v>152</v>
      </c>
      <c r="B527" s="8" t="s">
        <v>17</v>
      </c>
      <c r="C527" s="8" t="s">
        <v>18</v>
      </c>
      <c r="D527" s="8" t="s">
        <v>19</v>
      </c>
      <c r="E527" s="8" t="s">
        <v>42</v>
      </c>
      <c r="F527" s="8" t="s">
        <v>24</v>
      </c>
      <c r="G527" s="8" t="s">
        <v>887</v>
      </c>
      <c r="H527" s="20">
        <v>0</v>
      </c>
      <c r="I527" s="21">
        <f>H527/H$646</f>
        <v>0</v>
      </c>
      <c r="J527" s="22">
        <f>I527*J$676</f>
        <v>0</v>
      </c>
      <c r="K527" s="2">
        <v>0</v>
      </c>
      <c r="L527" s="21">
        <f ca="1">K527/K$646</f>
        <v>0</v>
      </c>
      <c r="M527" s="22">
        <f ca="1">L527*M$676</f>
        <v>0</v>
      </c>
      <c r="N527" s="2">
        <v>170671.26508057441</v>
      </c>
      <c r="O527" s="21">
        <f ca="1">N527/N$646</f>
        <v>1.8206914039286218E-3</v>
      </c>
      <c r="P527" s="22">
        <f ca="1">O527*P$676</f>
        <v>30931.911334624561</v>
      </c>
      <c r="Q527" s="2">
        <v>67243.683648166902</v>
      </c>
      <c r="R527" s="21">
        <f ca="1">Q527/Q$646</f>
        <v>6.0458677907135848E-4</v>
      </c>
      <c r="S527" s="22">
        <f ca="1">R527*S$676</f>
        <v>10507.628124738394</v>
      </c>
      <c r="T527" s="2">
        <v>0</v>
      </c>
      <c r="U527" s="21">
        <f ca="1">T527/T$646</f>
        <v>0</v>
      </c>
      <c r="V527" s="22">
        <f ca="1">U527*V$676</f>
        <v>0</v>
      </c>
      <c r="W527" s="2">
        <v>160539.59847839645</v>
      </c>
      <c r="X527" s="21">
        <f ca="1">W527/W$646</f>
        <v>1.8366935077907538E-3</v>
      </c>
      <c r="Y527" s="22">
        <f ca="1">X527*Y$676</f>
        <v>33243.646316648832</v>
      </c>
      <c r="Z527" s="2">
        <v>0</v>
      </c>
      <c r="AA527" s="21">
        <f ca="1">Z527/Z$646</f>
        <v>0</v>
      </c>
      <c r="AB527" s="22">
        <f ca="1">AA527*AB$676</f>
        <v>0</v>
      </c>
      <c r="AC527" s="2">
        <v>257553.04239816169</v>
      </c>
      <c r="AD527" s="21">
        <f ca="1">AC527/AC$646</f>
        <v>2.4753812752087352E-3</v>
      </c>
      <c r="AE527" s="22">
        <f ca="1">AD527*AE$676</f>
        <v>46476.779364456241</v>
      </c>
      <c r="AF527" s="2">
        <v>0</v>
      </c>
      <c r="AG527" s="21">
        <f ca="1">AF527/AF$646</f>
        <v>0</v>
      </c>
      <c r="AH527" s="22">
        <f ca="1">AG527*AH$676</f>
        <v>0</v>
      </c>
      <c r="AI527" s="2">
        <v>0</v>
      </c>
      <c r="AJ527" s="21">
        <f ca="1">AI527/AI$646</f>
        <v>0</v>
      </c>
      <c r="AK527" s="22">
        <f ca="1">AJ527*AK$676</f>
        <v>0</v>
      </c>
      <c r="AL527" s="2">
        <v>656007.58960529952</v>
      </c>
    </row>
    <row r="528" spans="1:38" ht="12.75" x14ac:dyDescent="0.2">
      <c r="A528" s="8" t="s">
        <v>152</v>
      </c>
      <c r="B528" s="8" t="s">
        <v>17</v>
      </c>
      <c r="C528" s="8" t="s">
        <v>18</v>
      </c>
      <c r="D528" s="8" t="s">
        <v>19</v>
      </c>
      <c r="E528" s="8" t="s">
        <v>42</v>
      </c>
      <c r="F528" s="8" t="s">
        <v>25</v>
      </c>
      <c r="G528" s="8" t="s">
        <v>888</v>
      </c>
      <c r="H528" s="20">
        <v>77486.016887120451</v>
      </c>
      <c r="I528" s="21">
        <f>H528/H$652</f>
        <v>5.5544752386240542E-3</v>
      </c>
      <c r="J528" s="22">
        <f>I528*J$682</f>
        <v>399780.65582500031</v>
      </c>
      <c r="K528" s="2">
        <v>0</v>
      </c>
      <c r="L528" s="21">
        <f ca="1">K528/K$652</f>
        <v>0</v>
      </c>
      <c r="M528" s="22">
        <f ca="1">L528*M$682</f>
        <v>0</v>
      </c>
      <c r="N528" s="2">
        <v>265.84309202581682</v>
      </c>
      <c r="O528" s="21">
        <f ca="1">N528/N$652</f>
        <v>5.3270266160335391E-6</v>
      </c>
      <c r="P528" s="22">
        <f ca="1">O528*P$682</f>
        <v>197.13127404293502</v>
      </c>
      <c r="Q528" s="2">
        <v>90725.604922129947</v>
      </c>
      <c r="R528" s="21">
        <f ca="1">Q528/Q$652</f>
        <v>1.8278726717346763E-3</v>
      </c>
      <c r="S528" s="22">
        <f ca="1">R528*S$682</f>
        <v>69197.79176430298</v>
      </c>
      <c r="T528" s="2">
        <v>0</v>
      </c>
      <c r="U528" s="21">
        <f ca="1">T528/T$652</f>
        <v>0</v>
      </c>
      <c r="V528" s="22">
        <f ca="1">U528*V$682</f>
        <v>0</v>
      </c>
      <c r="W528" s="2">
        <v>0</v>
      </c>
      <c r="X528" s="21">
        <f ca="1">W528/W$652</f>
        <v>0</v>
      </c>
      <c r="Y528" s="22">
        <f ca="1">X528*Y$682</f>
        <v>0</v>
      </c>
      <c r="Z528" s="2">
        <v>0</v>
      </c>
      <c r="AA528" s="21">
        <f ca="1">Z528/Z$652</f>
        <v>0</v>
      </c>
      <c r="AB528" s="22">
        <f ca="1">AA528*AB$682</f>
        <v>0</v>
      </c>
      <c r="AC528" s="2">
        <v>9241.3802306826092</v>
      </c>
      <c r="AD528" s="21">
        <f ca="1">AC528/AC$652</f>
        <v>1.4835252728248488E-4</v>
      </c>
      <c r="AE528" s="22">
        <f ca="1">AD528*AE$682</f>
        <v>6067.2113087716471</v>
      </c>
      <c r="AF528" s="2">
        <v>7847.5221191286701</v>
      </c>
      <c r="AG528" s="21">
        <f ca="1">AF528/AF$652</f>
        <v>1.1724700326676762E-4</v>
      </c>
      <c r="AH528" s="22">
        <f ca="1">AG528*AH$682</f>
        <v>4881.3921783963851</v>
      </c>
      <c r="AI528" s="2">
        <v>0</v>
      </c>
      <c r="AJ528" s="21">
        <f ca="1">AI528/AI$652</f>
        <v>0</v>
      </c>
      <c r="AK528" s="22">
        <f ca="1">AJ528*AK$682</f>
        <v>0</v>
      </c>
      <c r="AL528" s="2">
        <v>185566.3672510875</v>
      </c>
    </row>
    <row r="529" spans="1:38" ht="12.75" x14ac:dyDescent="0.2">
      <c r="A529" s="8" t="s">
        <v>152</v>
      </c>
      <c r="B529" s="8" t="s">
        <v>17</v>
      </c>
      <c r="C529" s="8" t="s">
        <v>18</v>
      </c>
      <c r="D529" s="8" t="s">
        <v>19</v>
      </c>
      <c r="E529" s="8" t="s">
        <v>42</v>
      </c>
      <c r="F529" s="8" t="s">
        <v>28</v>
      </c>
      <c r="G529" s="8" t="s">
        <v>889</v>
      </c>
      <c r="H529" s="20">
        <v>137400.60965491095</v>
      </c>
      <c r="I529" s="21">
        <f>H529/H$669</f>
        <v>1.617156994908861E-2</v>
      </c>
      <c r="J529" s="22">
        <f>I529*J$699</f>
        <v>180231.59724921428</v>
      </c>
      <c r="K529" s="2">
        <v>212332.47012264992</v>
      </c>
      <c r="L529" s="21">
        <f ca="1">K529/K$669</f>
        <v>2.926964401973119E-2</v>
      </c>
      <c r="M529" s="22">
        <f ca="1">L529*M$699</f>
        <v>138730.00496213237</v>
      </c>
      <c r="N529" s="2">
        <v>298828.03889433114</v>
      </c>
      <c r="O529" s="21">
        <f ca="1">N529/N$669</f>
        <v>1.0595072786411164E-2</v>
      </c>
      <c r="P529" s="22">
        <f ca="1">O529*P$699</f>
        <v>51523.370658100328</v>
      </c>
      <c r="Q529" s="2">
        <v>486315.92638406419</v>
      </c>
      <c r="R529" s="21">
        <f ca="1">Q529/Q$669</f>
        <v>1.2865234208883972E-2</v>
      </c>
      <c r="S529" s="22">
        <f ca="1">R529*S$699</f>
        <v>64002.015772941297</v>
      </c>
      <c r="T529" s="2">
        <v>130877.75816908773</v>
      </c>
      <c r="U529" s="21">
        <f ca="1">T529/T$669</f>
        <v>4.5846062523747849E-3</v>
      </c>
      <c r="V529" s="22">
        <f ca="1">U529*V$699</f>
        <v>23286.47436376481</v>
      </c>
      <c r="W529" s="2">
        <v>50710.762611629805</v>
      </c>
      <c r="X529" s="21">
        <f ca="1">W529/W$669</f>
        <v>1.8179947372612519E-3</v>
      </c>
      <c r="Y529" s="22">
        <f ca="1">X529*Y$699</f>
        <v>9418.7764871865402</v>
      </c>
      <c r="Z529" s="2">
        <v>36532.820032371732</v>
      </c>
      <c r="AA529" s="21">
        <f ca="1">Z529/Z$669</f>
        <v>1.2417995495174281E-3</v>
      </c>
      <c r="AB529" s="22">
        <f ca="1">AA529*AB$699</f>
        <v>6549.3944258548217</v>
      </c>
      <c r="AC529" s="2">
        <v>102975.37971332049</v>
      </c>
      <c r="AD529" s="21">
        <f ca="1">AC529/AC$669</f>
        <v>3.2652571575183705E-3</v>
      </c>
      <c r="AE529" s="22">
        <f ca="1">AD529*AE$699</f>
        <v>17548.549352729042</v>
      </c>
      <c r="AF529" s="2">
        <v>1568837.3844456079</v>
      </c>
      <c r="AG529" s="21">
        <f ca="1">AF529/AF$669</f>
        <v>3.9084812071302662E-2</v>
      </c>
      <c r="AH529" s="22">
        <f ca="1">AG529*AH$699</f>
        <v>213835.41681160918</v>
      </c>
      <c r="AI529" s="2">
        <v>76172.917176665476</v>
      </c>
      <c r="AJ529" s="21">
        <f ca="1">AI529/AI$669</f>
        <v>1.7411753623182177E-3</v>
      </c>
      <c r="AK529" s="22">
        <f ca="1">AJ529*AK$699</f>
        <v>9697.5471681508352</v>
      </c>
      <c r="AL529" s="2">
        <v>3100984.0672046388</v>
      </c>
    </row>
    <row r="530" spans="1:38" ht="12.75" x14ac:dyDescent="0.2">
      <c r="A530" s="8" t="s">
        <v>152</v>
      </c>
      <c r="B530" s="8" t="s">
        <v>17</v>
      </c>
      <c r="C530" s="8" t="s">
        <v>18</v>
      </c>
      <c r="D530" s="8" t="s">
        <v>19</v>
      </c>
      <c r="E530" s="8" t="s">
        <v>42</v>
      </c>
      <c r="F530" s="8" t="s">
        <v>43</v>
      </c>
      <c r="G530" s="8" t="s">
        <v>890</v>
      </c>
      <c r="H530" s="20">
        <v>210754.03897471831</v>
      </c>
      <c r="I530" s="21">
        <f>H530/H$659</f>
        <v>7.2138584627177002E-3</v>
      </c>
      <c r="J530" s="22">
        <f>I530*J$689</f>
        <v>338331.77979379275</v>
      </c>
      <c r="K530" s="2">
        <v>539271.72070280463</v>
      </c>
      <c r="L530" s="21">
        <f ca="1">K530/K$659</f>
        <v>8.0382282819438291E-3</v>
      </c>
      <c r="M530" s="22">
        <f ca="1">L530*M$689</f>
        <v>395749.03499649174</v>
      </c>
      <c r="N530" s="2">
        <v>619946.09060420492</v>
      </c>
      <c r="O530" s="21">
        <f ca="1">N530/N$659</f>
        <v>1.8371637851619289E-2</v>
      </c>
      <c r="P530" s="22">
        <f ca="1">O530*P$689</f>
        <v>928014.50727128657</v>
      </c>
      <c r="Q530" s="2">
        <v>779706.52230136388</v>
      </c>
      <c r="R530" s="21">
        <f ca="1">Q530/Q$659</f>
        <v>1.2737580125560879E-2</v>
      </c>
      <c r="S530" s="22">
        <f ca="1">R530*S$689</f>
        <v>658217.54172416311</v>
      </c>
      <c r="T530" s="2">
        <v>49413.031145471898</v>
      </c>
      <c r="U530" s="21">
        <f ca="1">T530/T$659</f>
        <v>8.654979018399866E-4</v>
      </c>
      <c r="V530" s="22">
        <f ca="1">U530*V$689</f>
        <v>45664.035043181051</v>
      </c>
      <c r="W530" s="2">
        <v>818778.64211488073</v>
      </c>
      <c r="X530" s="21">
        <f ca="1">W530/W$659</f>
        <v>2.1667802572655156E-2</v>
      </c>
      <c r="Y530" s="22">
        <f ca="1">X530*Y$689</f>
        <v>1166066.4684808946</v>
      </c>
      <c r="Z530" s="2">
        <v>669768.3672601484</v>
      </c>
      <c r="AA530" s="21">
        <f ca="1">Z530/Z$659</f>
        <v>1.1324138099293671E-2</v>
      </c>
      <c r="AB530" s="22">
        <f ca="1">AA530*AB$689</f>
        <v>620385.11917920539</v>
      </c>
      <c r="AC530" s="2">
        <v>919781.37238808186</v>
      </c>
      <c r="AD530" s="21">
        <f ca="1">AC530/AC$659</f>
        <v>4.9513004071012917E-2</v>
      </c>
      <c r="AE530" s="22">
        <f ca="1">AD530*AE$689</f>
        <v>2764074.0638913284</v>
      </c>
      <c r="AF530" s="2">
        <v>785406.172089461</v>
      </c>
      <c r="AG530" s="21">
        <f ca="1">AF530/AF$659</f>
        <v>7.3271721209543939E-3</v>
      </c>
      <c r="AH530" s="22">
        <f ca="1">AG530*AH$689</f>
        <v>416403.69120043342</v>
      </c>
      <c r="AI530" s="2">
        <v>0</v>
      </c>
      <c r="AJ530" s="21">
        <f ca="1">AI530/AI$659</f>
        <v>0</v>
      </c>
      <c r="AK530" s="22">
        <f ca="1">AJ530*AK$689</f>
        <v>0</v>
      </c>
      <c r="AL530" s="2">
        <v>5392825.9575811364</v>
      </c>
    </row>
    <row r="531" spans="1:38" ht="12.75" x14ac:dyDescent="0.2">
      <c r="A531" s="8" t="s">
        <v>152</v>
      </c>
      <c r="B531" s="8" t="s">
        <v>17</v>
      </c>
      <c r="C531" s="8" t="s">
        <v>18</v>
      </c>
      <c r="D531" s="8" t="s">
        <v>156</v>
      </c>
      <c r="E531" s="8" t="s">
        <v>157</v>
      </c>
      <c r="F531" s="8" t="s">
        <v>21</v>
      </c>
      <c r="G531" s="8" t="s">
        <v>891</v>
      </c>
      <c r="H531" s="20">
        <v>277000</v>
      </c>
      <c r="I531" s="21">
        <f>H531/H$645</f>
        <v>1.8333235710301689E-2</v>
      </c>
      <c r="J531" s="22">
        <f>I531*J$675</f>
        <v>2588.6528822945984</v>
      </c>
      <c r="K531" s="2">
        <v>277000</v>
      </c>
      <c r="L531" s="21">
        <f ca="1">K531/K$645</f>
        <v>1.8105835656775135E-2</v>
      </c>
      <c r="M531" s="22">
        <f ca="1">L531*M$675</f>
        <v>7811.9438524722</v>
      </c>
      <c r="N531" s="2">
        <v>277000</v>
      </c>
      <c r="O531" s="21">
        <f ca="1">N531/N$645</f>
        <v>1.2750688457410666E-2</v>
      </c>
      <c r="P531" s="22">
        <f ca="1">O531*P$675</f>
        <v>5644.4487549221012</v>
      </c>
      <c r="Q531" s="2">
        <v>277000</v>
      </c>
      <c r="R531" s="21">
        <f ca="1">Q531/Q$645</f>
        <v>1.0971508328042241E-2</v>
      </c>
      <c r="S531" s="22">
        <f ca="1">R531*S$675</f>
        <v>4968.5523242584613</v>
      </c>
      <c r="T531" s="2">
        <v>277000</v>
      </c>
      <c r="U531" s="21">
        <f ca="1">T531/T$645</f>
        <v>1.3419791882807923E-2</v>
      </c>
      <c r="V531" s="22">
        <f ca="1">U531*V$675</f>
        <v>6204.9038049371457</v>
      </c>
      <c r="W531" s="2">
        <v>277000</v>
      </c>
      <c r="X531" s="21">
        <f ca="1">W531/W$645</f>
        <v>1.3400823426748995E-2</v>
      </c>
      <c r="Y531" s="22">
        <f ca="1">X531*Y$675</f>
        <v>6320.0561420530803</v>
      </c>
      <c r="Z531" s="2">
        <v>277000</v>
      </c>
      <c r="AA531" s="21">
        <f ca="1">Z531/Z$645</f>
        <v>1.3464109403092632E-2</v>
      </c>
      <c r="AB531" s="22">
        <f ca="1">AA531*AB$675</f>
        <v>6464.2010554921317</v>
      </c>
      <c r="AC531" s="2">
        <v>277000</v>
      </c>
      <c r="AD531" s="21">
        <f ca="1">AC531/AC$645</f>
        <v>1.1663969700522412E-2</v>
      </c>
      <c r="AE531" s="22">
        <f ca="1">AD531*AE$675</f>
        <v>5706.3419683235425</v>
      </c>
      <c r="AF531" s="2">
        <v>277000</v>
      </c>
      <c r="AG531" s="21">
        <f ca="1">AF531/AF$645</f>
        <v>1.2699098889311316E-2</v>
      </c>
      <c r="AH531" s="22">
        <f ca="1">AG531*AH$675</f>
        <v>6324.5858100410278</v>
      </c>
      <c r="AI531" s="2">
        <v>277000</v>
      </c>
      <c r="AJ531" s="21">
        <f ca="1">AI531/AI$645</f>
        <v>1.0864338968226308E-2</v>
      </c>
      <c r="AK531" s="22">
        <f ca="1">AJ531*AK$675</f>
        <v>5508.2072542575352</v>
      </c>
      <c r="AL531" s="2">
        <v>2770000</v>
      </c>
    </row>
    <row r="532" spans="1:38" ht="12.75" x14ac:dyDescent="0.2">
      <c r="A532" s="8" t="s">
        <v>152</v>
      </c>
      <c r="B532" s="8" t="s">
        <v>17</v>
      </c>
      <c r="C532" s="8" t="s">
        <v>18</v>
      </c>
      <c r="D532" s="8" t="s">
        <v>156</v>
      </c>
      <c r="E532" s="8" t="s">
        <v>157</v>
      </c>
      <c r="F532" s="8" t="s">
        <v>24</v>
      </c>
      <c r="G532" s="8" t="s">
        <v>892</v>
      </c>
      <c r="H532" s="20">
        <v>48211.597082202978</v>
      </c>
      <c r="I532" s="21">
        <f>H532/H$646</f>
        <v>5.871650953807987E-4</v>
      </c>
      <c r="J532" s="22">
        <f>I532*J$676</f>
        <v>1263.3679058251416</v>
      </c>
      <c r="K532" s="2">
        <v>41993.057802495932</v>
      </c>
      <c r="L532" s="21">
        <f ca="1">K532/K$646</f>
        <v>6.6490711431603099E-4</v>
      </c>
      <c r="M532" s="22">
        <f ca="1">L532*M$676</f>
        <v>2585.1677037253489</v>
      </c>
      <c r="N532" s="2">
        <v>35000</v>
      </c>
      <c r="O532" s="21">
        <f ca="1">N532/N$646</f>
        <v>3.7337391919733753E-4</v>
      </c>
      <c r="P532" s="22">
        <f ca="1">O532*P$676</f>
        <v>6343.2874667024535</v>
      </c>
      <c r="Q532" s="2">
        <v>75026.002171527914</v>
      </c>
      <c r="R532" s="21">
        <f ca="1">Q532/Q$646</f>
        <v>6.7455746827934726E-4</v>
      </c>
      <c r="S532" s="22">
        <f ca="1">R532*S$676</f>
        <v>11723.708276141133</v>
      </c>
      <c r="T532" s="2">
        <v>35000</v>
      </c>
      <c r="U532" s="21">
        <f ca="1">T532/T$646</f>
        <v>4.1717772967371351E-4</v>
      </c>
      <c r="V532" s="22">
        <f ca="1">U532*V$676</f>
        <v>7402.7469959138834</v>
      </c>
      <c r="W532" s="2">
        <v>35000</v>
      </c>
      <c r="X532" s="21">
        <f ca="1">W532/W$646</f>
        <v>4.0042627103821374E-4</v>
      </c>
      <c r="Y532" s="22">
        <f ca="1">X532*Y$676</f>
        <v>7247.6051523156329</v>
      </c>
      <c r="Z532" s="2">
        <v>35000</v>
      </c>
      <c r="AA532" s="21">
        <f ca="1">Z532/Z$646</f>
        <v>3.015533428271854E-4</v>
      </c>
      <c r="AB532" s="22">
        <f ca="1">AA532*AB$676</f>
        <v>5556.2769834748224</v>
      </c>
      <c r="AC532" s="2">
        <v>35000</v>
      </c>
      <c r="AD532" s="21">
        <f ca="1">AC532/AC$646</f>
        <v>3.3639029780268718E-4</v>
      </c>
      <c r="AE532" s="22">
        <f ca="1">AD532*AE$676</f>
        <v>6315.93112863022</v>
      </c>
      <c r="AF532" s="2">
        <v>35000</v>
      </c>
      <c r="AG532" s="21">
        <f ca="1">AF532/AF$646</f>
        <v>3.7181146489609389E-4</v>
      </c>
      <c r="AH532" s="22">
        <f ca="1">AG532*AH$676</f>
        <v>7106.6426763990012</v>
      </c>
      <c r="AI532" s="2">
        <v>35000</v>
      </c>
      <c r="AJ532" s="21">
        <f ca="1">AI532/AI$646</f>
        <v>2.8328879776742165E-4</v>
      </c>
      <c r="AK532" s="22">
        <f ca="1">AJ532*AK$676</f>
        <v>5512.1227658554189</v>
      </c>
      <c r="AL532" s="2">
        <v>410230.65705622686</v>
      </c>
    </row>
    <row r="533" spans="1:38" ht="12.75" x14ac:dyDescent="0.2">
      <c r="A533" s="8" t="s">
        <v>152</v>
      </c>
      <c r="B533" s="8" t="s">
        <v>17</v>
      </c>
      <c r="C533" s="8" t="s">
        <v>18</v>
      </c>
      <c r="D533" s="8" t="s">
        <v>156</v>
      </c>
      <c r="E533" s="8" t="s">
        <v>157</v>
      </c>
      <c r="F533" s="8" t="s">
        <v>25</v>
      </c>
      <c r="G533" s="8" t="s">
        <v>893</v>
      </c>
      <c r="H533" s="20">
        <v>92481.179575420829</v>
      </c>
      <c r="I533" s="21">
        <f>H533/H$652</f>
        <v>6.6293822114865102E-3</v>
      </c>
      <c r="J533" s="22">
        <f>I533*J$682</f>
        <v>477146.5627919868</v>
      </c>
      <c r="K533" s="2">
        <v>23739.033926755892</v>
      </c>
      <c r="L533" s="21">
        <f ca="1">K533/K$652</f>
        <v>1.0567051817226985E-3</v>
      </c>
      <c r="M533" s="22">
        <f ca="1">L533*M$682</f>
        <v>38113.35133500801</v>
      </c>
      <c r="N533" s="2">
        <v>11698.598062605886</v>
      </c>
      <c r="O533" s="21">
        <f ca="1">N533/N$652</f>
        <v>2.344192688058563E-4</v>
      </c>
      <c r="P533" s="22">
        <f ca="1">O533*P$682</f>
        <v>8674.8898495874819</v>
      </c>
      <c r="Q533" s="2">
        <v>0</v>
      </c>
      <c r="R533" s="21">
        <f ca="1">Q533/Q$652</f>
        <v>0</v>
      </c>
      <c r="S533" s="22">
        <f ca="1">R533*S$682</f>
        <v>0</v>
      </c>
      <c r="T533" s="2">
        <v>0</v>
      </c>
      <c r="U533" s="21">
        <f ca="1">T533/T$652</f>
        <v>0</v>
      </c>
      <c r="V533" s="22">
        <f ca="1">U533*V$682</f>
        <v>0</v>
      </c>
      <c r="W533" s="2">
        <v>0</v>
      </c>
      <c r="X533" s="21">
        <f ca="1">W533/W$652</f>
        <v>0</v>
      </c>
      <c r="Y533" s="22">
        <f ca="1">X533*Y$682</f>
        <v>0</v>
      </c>
      <c r="Z533" s="2">
        <v>0</v>
      </c>
      <c r="AA533" s="21">
        <f ca="1">Z533/Z$652</f>
        <v>0</v>
      </c>
      <c r="AB533" s="22">
        <f ca="1">AA533*AB$682</f>
        <v>0</v>
      </c>
      <c r="AC533" s="2">
        <v>268000.02668979566</v>
      </c>
      <c r="AD533" s="21">
        <f ca="1">AC533/AC$652</f>
        <v>4.3022232911920609E-3</v>
      </c>
      <c r="AE533" s="22">
        <f ca="1">AD533*AE$682</f>
        <v>175949.12795437773</v>
      </c>
      <c r="AF533" s="2">
        <v>0</v>
      </c>
      <c r="AG533" s="21">
        <f ca="1">AF533/AF$652</f>
        <v>0</v>
      </c>
      <c r="AH533" s="22">
        <f ca="1">AG533*AH$682</f>
        <v>0</v>
      </c>
      <c r="AI533" s="2">
        <v>0</v>
      </c>
      <c r="AJ533" s="21">
        <f ca="1">AI533/AI$652</f>
        <v>0</v>
      </c>
      <c r="AK533" s="22">
        <f ca="1">AJ533*AK$682</f>
        <v>0</v>
      </c>
      <c r="AL533" s="2">
        <v>395918.8382545783</v>
      </c>
    </row>
    <row r="534" spans="1:38" ht="12.75" x14ac:dyDescent="0.2">
      <c r="A534" s="8" t="s">
        <v>152</v>
      </c>
      <c r="B534" s="8" t="s">
        <v>17</v>
      </c>
      <c r="C534" s="8" t="s">
        <v>18</v>
      </c>
      <c r="D534" s="8" t="s">
        <v>156</v>
      </c>
      <c r="E534" s="8" t="s">
        <v>157</v>
      </c>
      <c r="F534" s="8" t="s">
        <v>28</v>
      </c>
      <c r="G534" s="8" t="s">
        <v>894</v>
      </c>
      <c r="H534" s="20">
        <v>0</v>
      </c>
      <c r="I534" s="21">
        <f>H534/H$669</f>
        <v>0</v>
      </c>
      <c r="J534" s="22">
        <f>I534*J$699</f>
        <v>0</v>
      </c>
      <c r="K534" s="2">
        <v>1462669.7609482754</v>
      </c>
      <c r="L534" s="21">
        <f ca="1">K534/K$669</f>
        <v>0.201626360757033</v>
      </c>
      <c r="M534" s="22">
        <f ca="1">L534*M$699</f>
        <v>955653.09948640666</v>
      </c>
      <c r="N534" s="2">
        <v>0</v>
      </c>
      <c r="O534" s="21">
        <f ca="1">N534/N$669</f>
        <v>0</v>
      </c>
      <c r="P534" s="22">
        <f ca="1">O534*P$699</f>
        <v>0</v>
      </c>
      <c r="Q534" s="2">
        <v>1518810.6679999297</v>
      </c>
      <c r="R534" s="21">
        <f ca="1">Q534/Q$669</f>
        <v>4.0179344131409681E-2</v>
      </c>
      <c r="S534" s="22">
        <f ca="1">R534*S$699</f>
        <v>199884.3530628577</v>
      </c>
      <c r="T534" s="2">
        <v>0</v>
      </c>
      <c r="U534" s="21">
        <f ca="1">T534/T$669</f>
        <v>0</v>
      </c>
      <c r="V534" s="22">
        <f ca="1">U534*V$699</f>
        <v>0</v>
      </c>
      <c r="W534" s="2">
        <v>312271.53818740457</v>
      </c>
      <c r="X534" s="21">
        <f ca="1">W534/W$669</f>
        <v>1.1195020224187708E-2</v>
      </c>
      <c r="Y534" s="22">
        <f ca="1">X534*Y$699</f>
        <v>57999.834157938167</v>
      </c>
      <c r="Z534" s="2">
        <v>0</v>
      </c>
      <c r="AA534" s="21">
        <f ca="1">Z534/Z$669</f>
        <v>0</v>
      </c>
      <c r="AB534" s="22">
        <f ca="1">AA534*AB$699</f>
        <v>0</v>
      </c>
      <c r="AC534" s="2">
        <v>3432.512657110683</v>
      </c>
      <c r="AD534" s="21">
        <f ca="1">AC534/AC$669</f>
        <v>1.0884190525061234E-4</v>
      </c>
      <c r="AE534" s="22">
        <f ca="1">AD534*AE$699</f>
        <v>584.95164509096799</v>
      </c>
      <c r="AF534" s="2">
        <v>368310.37145777221</v>
      </c>
      <c r="AG534" s="21">
        <f ca="1">AF534/AF$669</f>
        <v>9.1758022820355566E-3</v>
      </c>
      <c r="AH534" s="22">
        <f ca="1">AG534*AH$699</f>
        <v>50201.380064985242</v>
      </c>
      <c r="AI534" s="2">
        <v>0</v>
      </c>
      <c r="AJ534" s="21">
        <f ca="1">AI534/AI$669</f>
        <v>0</v>
      </c>
      <c r="AK534" s="22">
        <f ca="1">AJ534*AK$699</f>
        <v>0</v>
      </c>
      <c r="AL534" s="2">
        <v>3665494.8512504925</v>
      </c>
    </row>
    <row r="535" spans="1:38" ht="12.75" x14ac:dyDescent="0.2">
      <c r="A535" s="8" t="s">
        <v>152</v>
      </c>
      <c r="B535" s="8" t="s">
        <v>17</v>
      </c>
      <c r="C535" s="8" t="s">
        <v>18</v>
      </c>
      <c r="D535" s="8" t="s">
        <v>156</v>
      </c>
      <c r="E535" s="8" t="s">
        <v>157</v>
      </c>
      <c r="F535" s="8" t="s">
        <v>34</v>
      </c>
      <c r="G535" s="8" t="s">
        <v>895</v>
      </c>
      <c r="H535" s="20">
        <v>238028.99270550744</v>
      </c>
      <c r="I535" s="21">
        <f>H535/H$653</f>
        <v>0.10638538156634178</v>
      </c>
      <c r="J535" s="22">
        <f>I535*J$683</f>
        <v>224171.65893362215</v>
      </c>
      <c r="K535" s="2">
        <v>205000</v>
      </c>
      <c r="L535" s="21">
        <f ca="1">K535/K$653</f>
        <v>6.1470192879803986E-2</v>
      </c>
      <c r="M535" s="22">
        <f ca="1">L535*M$683</f>
        <v>94708.601454543124</v>
      </c>
      <c r="N535" s="2">
        <v>311868.92299437837</v>
      </c>
      <c r="O535" s="21">
        <f ca="1">N535/N$653</f>
        <v>2.7924812876024482E-2</v>
      </c>
      <c r="P535" s="22">
        <f ca="1">O535*P$683</f>
        <v>44143.064446134296</v>
      </c>
      <c r="Q535" s="2">
        <v>205000</v>
      </c>
      <c r="R535" s="21">
        <f ca="1">Q535/Q$653</f>
        <v>1.5670212845699631E-2</v>
      </c>
      <c r="S535" s="22">
        <f ca="1">R535*S$683</f>
        <v>25340.941007571364</v>
      </c>
      <c r="T535" s="2">
        <v>271774.36641279986</v>
      </c>
      <c r="U535" s="21">
        <f ca="1">T535/T$653</f>
        <v>2.0609220495332585E-2</v>
      </c>
      <c r="V535" s="22">
        <f ca="1">U535*V$683</f>
        <v>34027.90024112782</v>
      </c>
      <c r="W535" s="2">
        <v>274393.67515275656</v>
      </c>
      <c r="X535" s="21">
        <f ca="1">W535/W$653</f>
        <v>2.4671608310622841E-2</v>
      </c>
      <c r="Y535" s="22">
        <f ca="1">X535*Y$683</f>
        <v>41550.018068589408</v>
      </c>
      <c r="Z535" s="2">
        <v>245458.93366062298</v>
      </c>
      <c r="AA535" s="21">
        <f ca="1">Z535/Z$653</f>
        <v>2.196513517061751E-2</v>
      </c>
      <c r="AB535" s="22">
        <f ca="1">AA535*AB$683</f>
        <v>37657.840666159325</v>
      </c>
      <c r="AC535" s="2">
        <v>276290.64749383728</v>
      </c>
      <c r="AD535" s="21">
        <f ca="1">AC535/AC$653</f>
        <v>2.1284106652538142E-2</v>
      </c>
      <c r="AE535" s="22">
        <f ca="1">AD535*AE$683</f>
        <v>37183.57525807144</v>
      </c>
      <c r="AF535" s="2">
        <v>205000</v>
      </c>
      <c r="AG535" s="21">
        <f ca="1">AF535/AF$653</f>
        <v>1.7144779634447226E-2</v>
      </c>
      <c r="AH535" s="22">
        <f ca="1">AG535*AH$683</f>
        <v>30491.26226962552</v>
      </c>
      <c r="AI535" s="2">
        <v>356089.78168107953</v>
      </c>
      <c r="AJ535" s="21">
        <f ca="1">AI535/AI$653</f>
        <v>2.6194444755917083E-2</v>
      </c>
      <c r="AK535" s="22">
        <f ca="1">AJ535*AK$683</f>
        <v>47424.249848634012</v>
      </c>
      <c r="AL535" s="2">
        <v>2588905.3201009817</v>
      </c>
    </row>
    <row r="536" spans="1:38" ht="12.75" x14ac:dyDescent="0.2">
      <c r="A536" s="8" t="s">
        <v>152</v>
      </c>
      <c r="B536" s="8" t="s">
        <v>17</v>
      </c>
      <c r="C536" s="8" t="s">
        <v>18</v>
      </c>
      <c r="D536" s="8" t="s">
        <v>156</v>
      </c>
      <c r="E536" s="8" t="s">
        <v>157</v>
      </c>
      <c r="F536" s="8" t="s">
        <v>55</v>
      </c>
      <c r="G536" s="8" t="s">
        <v>896</v>
      </c>
      <c r="H536" s="20">
        <v>0</v>
      </c>
      <c r="I536" s="21">
        <f>H536/H$654</f>
        <v>0</v>
      </c>
      <c r="J536" s="22">
        <f>I536*J$684</f>
        <v>0</v>
      </c>
      <c r="K536" s="2">
        <v>0</v>
      </c>
      <c r="L536" s="21">
        <f ca="1">K536/K$654</f>
        <v>0</v>
      </c>
      <c r="M536" s="22">
        <f ca="1">L536*M$684</f>
        <v>0</v>
      </c>
      <c r="N536" s="2">
        <v>0</v>
      </c>
      <c r="O536" s="21">
        <f ca="1">N536/N$654</f>
        <v>0</v>
      </c>
      <c r="P536" s="22">
        <f ca="1">O536*P$684</f>
        <v>0</v>
      </c>
      <c r="Q536" s="2">
        <v>0</v>
      </c>
      <c r="R536" s="21">
        <f ca="1">Q536/Q$654</f>
        <v>0</v>
      </c>
      <c r="S536" s="22">
        <f ca="1">R536*S$684</f>
        <v>0</v>
      </c>
      <c r="T536" s="2">
        <v>0</v>
      </c>
      <c r="U536" s="21">
        <f ca="1">T536/T$654</f>
        <v>0</v>
      </c>
      <c r="V536" s="22">
        <f ca="1">U536*V$684</f>
        <v>0</v>
      </c>
      <c r="W536" s="2">
        <v>0</v>
      </c>
      <c r="X536" s="21">
        <f ca="1">W536/W$654</f>
        <v>0</v>
      </c>
      <c r="Y536" s="22">
        <f ca="1">X536*Y$684</f>
        <v>0</v>
      </c>
      <c r="Z536" s="2">
        <v>0</v>
      </c>
      <c r="AA536" s="21">
        <f ca="1">Z536/Z$654</f>
        <v>0</v>
      </c>
      <c r="AB536" s="22">
        <f ca="1">AA536*AB$684</f>
        <v>0</v>
      </c>
      <c r="AC536" s="2">
        <v>0</v>
      </c>
      <c r="AD536" s="21">
        <f ca="1">AC536/AC$654</f>
        <v>0</v>
      </c>
      <c r="AE536" s="22">
        <f ca="1">AD536*AE$684</f>
        <v>0</v>
      </c>
      <c r="AF536" s="2">
        <v>0</v>
      </c>
      <c r="AG536" s="21">
        <f ca="1">AF536/AF$654</f>
        <v>0</v>
      </c>
      <c r="AH536" s="22">
        <f ca="1">AG536*AH$684</f>
        <v>0</v>
      </c>
      <c r="AI536" s="2">
        <v>0</v>
      </c>
      <c r="AJ536" s="21">
        <f ca="1">AI536/AI$654</f>
        <v>0</v>
      </c>
      <c r="AK536" s="22">
        <f ca="1">AJ536*AK$684</f>
        <v>0</v>
      </c>
      <c r="AL536" s="2">
        <v>0</v>
      </c>
    </row>
    <row r="537" spans="1:38" ht="12.75" x14ac:dyDescent="0.2">
      <c r="A537" s="8" t="s">
        <v>152</v>
      </c>
      <c r="B537" s="8" t="s">
        <v>17</v>
      </c>
      <c r="C537" s="8" t="s">
        <v>18</v>
      </c>
      <c r="D537" s="8" t="s">
        <v>19</v>
      </c>
      <c r="E537" s="8" t="s">
        <v>19</v>
      </c>
      <c r="F537" s="8" t="s">
        <v>24</v>
      </c>
      <c r="G537" s="8" t="s">
        <v>897</v>
      </c>
      <c r="H537" s="20">
        <v>1880000</v>
      </c>
      <c r="I537" s="21">
        <f>H537/H$646</f>
        <v>2.2896366146795594E-2</v>
      </c>
      <c r="J537" s="22">
        <f>I537*J$676</f>
        <v>49264.73725609127</v>
      </c>
      <c r="K537" s="2">
        <v>1880000</v>
      </c>
      <c r="L537" s="21">
        <f ca="1">K537/K$646</f>
        <v>2.9767429197305104E-2</v>
      </c>
      <c r="M537" s="22">
        <f ca="1">L537*M$676</f>
        <v>115736.16062593057</v>
      </c>
      <c r="N537" s="2">
        <v>1880000</v>
      </c>
      <c r="O537" s="21">
        <f ca="1">N537/N$646</f>
        <v>2.0055513374028416E-2</v>
      </c>
      <c r="P537" s="22">
        <f ca="1">O537*P$676</f>
        <v>340725.15535430319</v>
      </c>
      <c r="Q537" s="2">
        <v>1880000</v>
      </c>
      <c r="R537" s="21">
        <f ca="1">Q537/Q$646</f>
        <v>1.6903046992505725E-2</v>
      </c>
      <c r="S537" s="22">
        <f ca="1">R537*S$676</f>
        <v>293772.43783768668</v>
      </c>
      <c r="T537" s="2">
        <v>1880000</v>
      </c>
      <c r="U537" s="21">
        <f ca="1">T537/T$646</f>
        <v>2.2408403765330896E-2</v>
      </c>
      <c r="V537" s="22">
        <f ca="1">U537*V$676</f>
        <v>397633.2672090886</v>
      </c>
      <c r="W537" s="2">
        <v>2703106.8457385958</v>
      </c>
      <c r="X537" s="21">
        <f ca="1">W537/W$646</f>
        <v>3.0925571270199258E-2</v>
      </c>
      <c r="Y537" s="22">
        <f ca="1">X537*Y$676</f>
        <v>559744.31721242017</v>
      </c>
      <c r="Z537" s="2">
        <v>3162569.5178350788</v>
      </c>
      <c r="AA537" s="21">
        <f ca="1">Z537/Z$646</f>
        <v>2.724809742932937E-2</v>
      </c>
      <c r="AB537" s="22">
        <f ca="1">AA537*AB$676</f>
        <v>502060.3491596033</v>
      </c>
      <c r="AC537" s="2">
        <v>3704119.4346667547</v>
      </c>
      <c r="AD537" s="21">
        <f ca="1">AC537/AC$646</f>
        <v>3.5600852563550597E-2</v>
      </c>
      <c r="AE537" s="22">
        <f ca="1">AD537*AE$676</f>
        <v>668427.52118788369</v>
      </c>
      <c r="AF537" s="2">
        <v>1880000</v>
      </c>
      <c r="AG537" s="21">
        <f ca="1">AF537/AF$646</f>
        <v>1.9971587257275901E-2</v>
      </c>
      <c r="AH537" s="22">
        <f ca="1">AG537*AH$676</f>
        <v>381728.2351894321</v>
      </c>
      <c r="AI537" s="2">
        <v>1880000</v>
      </c>
      <c r="AJ537" s="21">
        <f ca="1">AI537/AI$646</f>
        <v>1.521665542293579E-2</v>
      </c>
      <c r="AK537" s="22">
        <f ca="1">AJ537*AK$676</f>
        <v>296079.73713737674</v>
      </c>
      <c r="AL537" s="2">
        <v>22729795.798240431</v>
      </c>
    </row>
    <row r="538" spans="1:38" ht="12.75" x14ac:dyDescent="0.2">
      <c r="A538" s="8" t="s">
        <v>152</v>
      </c>
      <c r="B538" s="8" t="s">
        <v>17</v>
      </c>
      <c r="C538" s="8" t="s">
        <v>18</v>
      </c>
      <c r="D538" s="8" t="s">
        <v>19</v>
      </c>
      <c r="E538" s="8" t="s">
        <v>19</v>
      </c>
      <c r="F538" s="8" t="s">
        <v>25</v>
      </c>
      <c r="G538" s="8" t="s">
        <v>898</v>
      </c>
      <c r="H538" s="20">
        <v>59452.186869913385</v>
      </c>
      <c r="I538" s="21">
        <f>H538/H$652</f>
        <v>4.2617457073841842E-3</v>
      </c>
      <c r="J538" s="22">
        <f>I538*J$682</f>
        <v>306737.07608056284</v>
      </c>
      <c r="K538" s="2">
        <v>0</v>
      </c>
      <c r="L538" s="21">
        <f ca="1">K538/K$652</f>
        <v>0</v>
      </c>
      <c r="M538" s="22">
        <f ca="1">L538*M$682</f>
        <v>0</v>
      </c>
      <c r="N538" s="2">
        <v>0</v>
      </c>
      <c r="O538" s="21">
        <f ca="1">N538/N$652</f>
        <v>0</v>
      </c>
      <c r="P538" s="22">
        <f ca="1">O538*P$682</f>
        <v>0</v>
      </c>
      <c r="Q538" s="2">
        <v>0</v>
      </c>
      <c r="R538" s="21">
        <f ca="1">Q538/Q$652</f>
        <v>0</v>
      </c>
      <c r="S538" s="22">
        <f ca="1">R538*S$682</f>
        <v>0</v>
      </c>
      <c r="T538" s="2">
        <v>65438.879084543863</v>
      </c>
      <c r="U538" s="21">
        <f ca="1">T538/T$652</f>
        <v>1.491493663066223E-3</v>
      </c>
      <c r="V538" s="22">
        <f ca="1">U538*V$682</f>
        <v>57649.221954137887</v>
      </c>
      <c r="W538" s="2">
        <v>0</v>
      </c>
      <c r="X538" s="21">
        <f ca="1">W538/W$652</f>
        <v>0</v>
      </c>
      <c r="Y538" s="22">
        <f ca="1">X538*Y$682</f>
        <v>0</v>
      </c>
      <c r="Z538" s="2">
        <v>0</v>
      </c>
      <c r="AA538" s="21">
        <f ca="1">Z538/Z$652</f>
        <v>0</v>
      </c>
      <c r="AB538" s="22">
        <f ca="1">AA538*AB$682</f>
        <v>0</v>
      </c>
      <c r="AC538" s="2">
        <v>0</v>
      </c>
      <c r="AD538" s="21">
        <f ca="1">AC538/AC$652</f>
        <v>0</v>
      </c>
      <c r="AE538" s="22">
        <f ca="1">AD538*AE$682</f>
        <v>0</v>
      </c>
      <c r="AF538" s="2">
        <v>0</v>
      </c>
      <c r="AG538" s="21">
        <f ca="1">AF538/AF$652</f>
        <v>0</v>
      </c>
      <c r="AH538" s="22">
        <f ca="1">AG538*AH$682</f>
        <v>0</v>
      </c>
      <c r="AI538" s="2">
        <v>0</v>
      </c>
      <c r="AJ538" s="21">
        <f ca="1">AI538/AI$652</f>
        <v>0</v>
      </c>
      <c r="AK538" s="22">
        <f ca="1">AJ538*AK$682</f>
        <v>0</v>
      </c>
      <c r="AL538" s="2">
        <v>124891.06595445724</v>
      </c>
    </row>
    <row r="539" spans="1:38" ht="12.75" x14ac:dyDescent="0.2">
      <c r="A539" s="8" t="s">
        <v>152</v>
      </c>
      <c r="B539" s="8" t="s">
        <v>17</v>
      </c>
      <c r="C539" s="8" t="s">
        <v>18</v>
      </c>
      <c r="D539" s="8" t="s">
        <v>19</v>
      </c>
      <c r="E539" s="8" t="s">
        <v>19</v>
      </c>
      <c r="F539" s="8" t="s">
        <v>26</v>
      </c>
      <c r="G539" s="8" t="s">
        <v>899</v>
      </c>
      <c r="H539" s="20">
        <v>0</v>
      </c>
      <c r="I539" s="21">
        <f>H539/H$655</f>
        <v>0</v>
      </c>
      <c r="J539" s="22">
        <f>I539*J$685</f>
        <v>0</v>
      </c>
      <c r="K539" s="2">
        <v>0</v>
      </c>
      <c r="L539" s="21">
        <f ca="1">K539/K$655</f>
        <v>0</v>
      </c>
      <c r="M539" s="22">
        <f ca="1">L539*M$685</f>
        <v>0</v>
      </c>
      <c r="N539" s="2">
        <v>0</v>
      </c>
      <c r="O539" s="21">
        <f ca="1">N539/N$655</f>
        <v>0</v>
      </c>
      <c r="P539" s="22">
        <f ca="1">O539*P$685</f>
        <v>0</v>
      </c>
      <c r="Q539" s="2">
        <v>0</v>
      </c>
      <c r="R539" s="21">
        <f ca="1">Q539/Q$655</f>
        <v>0</v>
      </c>
      <c r="S539" s="22">
        <f ca="1">R539*S$685</f>
        <v>0</v>
      </c>
      <c r="T539" s="2">
        <v>0</v>
      </c>
      <c r="U539" s="21">
        <f ca="1">T539/T$655</f>
        <v>0</v>
      </c>
      <c r="V539" s="22">
        <f ca="1">U539*V$685</f>
        <v>0</v>
      </c>
      <c r="W539" s="2">
        <v>0</v>
      </c>
      <c r="X539" s="21">
        <f ca="1">W539/W$655</f>
        <v>0</v>
      </c>
      <c r="Y539" s="22">
        <f ca="1">X539*Y$685</f>
        <v>0</v>
      </c>
      <c r="Z539" s="2">
        <v>0</v>
      </c>
      <c r="AA539" s="21">
        <f ca="1">Z539/Z$655</f>
        <v>0</v>
      </c>
      <c r="AB539" s="22">
        <f ca="1">AA539*AB$685</f>
        <v>0</v>
      </c>
      <c r="AC539" s="2">
        <v>0</v>
      </c>
      <c r="AD539" s="21">
        <f ca="1">AC539/AC$655</f>
        <v>0</v>
      </c>
      <c r="AE539" s="22">
        <f ca="1">AD539*AE$685</f>
        <v>0</v>
      </c>
      <c r="AF539" s="2">
        <v>0</v>
      </c>
      <c r="AG539" s="21">
        <f ca="1">AF539/AF$655</f>
        <v>0</v>
      </c>
      <c r="AH539" s="22">
        <f ca="1">AG539*AH$685</f>
        <v>0</v>
      </c>
      <c r="AI539" s="2">
        <v>0</v>
      </c>
      <c r="AJ539" s="21">
        <f ca="1">AI539/AI$655</f>
        <v>0</v>
      </c>
      <c r="AK539" s="22">
        <f ca="1">AJ539*AK$685</f>
        <v>0</v>
      </c>
      <c r="AL539" s="2">
        <v>0</v>
      </c>
    </row>
    <row r="540" spans="1:38" ht="12.75" x14ac:dyDescent="0.2">
      <c r="A540" s="8" t="s">
        <v>152</v>
      </c>
      <c r="B540" s="8" t="s">
        <v>17</v>
      </c>
      <c r="C540" s="8" t="s">
        <v>18</v>
      </c>
      <c r="D540" s="8" t="s">
        <v>19</v>
      </c>
      <c r="E540" s="8" t="s">
        <v>19</v>
      </c>
      <c r="F540" s="8" t="s">
        <v>38</v>
      </c>
      <c r="G540" s="8" t="s">
        <v>900</v>
      </c>
      <c r="H540" s="20">
        <v>1793804.5938361089</v>
      </c>
      <c r="I540" s="21">
        <f>H540/H$656</f>
        <v>8.3802026599207061E-2</v>
      </c>
      <c r="J540" s="22">
        <f>I540*J$686</f>
        <v>3274330.1303037242</v>
      </c>
      <c r="K540" s="2">
        <v>3315749.5637196293</v>
      </c>
      <c r="L540" s="21">
        <f ca="1">K540/K$656</f>
        <v>0.2443934962452414</v>
      </c>
      <c r="M540" s="22">
        <f ca="1">L540*M$686</f>
        <v>9341145.8931440748</v>
      </c>
      <c r="N540" s="2">
        <v>2797925.4367214153</v>
      </c>
      <c r="O540" s="21">
        <f ca="1">N540/N$656</f>
        <v>0.18822459759705903</v>
      </c>
      <c r="P540" s="22">
        <f ca="1">O540*P$686</f>
        <v>7381323.6589565454</v>
      </c>
      <c r="Q540" s="2">
        <v>1877886.6018808514</v>
      </c>
      <c r="R540" s="21">
        <f ca="1">Q540/Q$656</f>
        <v>0.13295990056692883</v>
      </c>
      <c r="S540" s="22">
        <f ca="1">R540*S$686</f>
        <v>5334014.4379426371</v>
      </c>
      <c r="T540" s="2">
        <v>2098684.9491710933</v>
      </c>
      <c r="U540" s="21">
        <f ca="1">T540/T$656</f>
        <v>0.22280615430907297</v>
      </c>
      <c r="V540" s="22">
        <f ca="1">U540*V$686</f>
        <v>9126125.3574689515</v>
      </c>
      <c r="W540" s="2">
        <v>2484934.1274700952</v>
      </c>
      <c r="X540" s="21">
        <f ca="1">W540/W$656</f>
        <v>0.14624173634725071</v>
      </c>
      <c r="Y540" s="22">
        <f ca="1">X540*Y$686</f>
        <v>6109852.894506027</v>
      </c>
      <c r="Z540" s="2">
        <v>2167274.6126635913</v>
      </c>
      <c r="AA540" s="21">
        <f ca="1">Z540/Z$656</f>
        <v>5.3352854517114412E-2</v>
      </c>
      <c r="AB540" s="22">
        <f ca="1">AA540*AB$686</f>
        <v>2269158.6307984949</v>
      </c>
      <c r="AC540" s="2">
        <v>2704549.3333821767</v>
      </c>
      <c r="AD540" s="21">
        <f ca="1">AC540/AC$656</f>
        <v>0.24765544369091827</v>
      </c>
      <c r="AE540" s="22">
        <f ca="1">AD540*AE$686</f>
        <v>10733200.932896523</v>
      </c>
      <c r="AF540" s="2">
        <v>2548613.6002223543</v>
      </c>
      <c r="AG540" s="21">
        <f ca="1">AF540/AF$656</f>
        <v>0.12664346520134245</v>
      </c>
      <c r="AH540" s="22">
        <f ca="1">AG540*AH$686</f>
        <v>5587428.0566377342</v>
      </c>
      <c r="AI540" s="2">
        <v>3379430.8365386561</v>
      </c>
      <c r="AJ540" s="21">
        <f ca="1">AI540/AI$656</f>
        <v>8.4716550834281784E-2</v>
      </c>
      <c r="AK540" s="22">
        <f ca="1">AJ540*AK$686</f>
        <v>3804917.1312070703</v>
      </c>
      <c r="AL540" s="2">
        <v>25168853.655605972</v>
      </c>
    </row>
    <row r="541" spans="1:38" ht="12.75" x14ac:dyDescent="0.2">
      <c r="A541" s="8" t="s">
        <v>152</v>
      </c>
      <c r="B541" s="8" t="s">
        <v>17</v>
      </c>
      <c r="C541" s="8" t="s">
        <v>18</v>
      </c>
      <c r="D541" s="8" t="s">
        <v>19</v>
      </c>
      <c r="E541" s="8" t="s">
        <v>19</v>
      </c>
      <c r="F541" s="8" t="s">
        <v>28</v>
      </c>
      <c r="G541" s="8" t="s">
        <v>901</v>
      </c>
      <c r="H541" s="20">
        <v>0</v>
      </c>
      <c r="I541" s="21">
        <f>H541/H$669</f>
        <v>0</v>
      </c>
      <c r="J541" s="22">
        <f>I541*J$699</f>
        <v>0</v>
      </c>
      <c r="K541" s="2">
        <v>0</v>
      </c>
      <c r="L541" s="21">
        <f ca="1">K541/K$669</f>
        <v>0</v>
      </c>
      <c r="M541" s="22">
        <f ca="1">L541*M$699</f>
        <v>0</v>
      </c>
      <c r="N541" s="2">
        <v>0</v>
      </c>
      <c r="O541" s="21">
        <f ca="1">N541/N$669</f>
        <v>0</v>
      </c>
      <c r="P541" s="22">
        <f ca="1">O541*P$699</f>
        <v>0</v>
      </c>
      <c r="Q541" s="2">
        <v>0</v>
      </c>
      <c r="R541" s="21">
        <f ca="1">Q541/Q$669</f>
        <v>0</v>
      </c>
      <c r="S541" s="22">
        <f ca="1">R541*S$699</f>
        <v>0</v>
      </c>
      <c r="T541" s="2">
        <v>0</v>
      </c>
      <c r="U541" s="21">
        <f ca="1">T541/T$669</f>
        <v>0</v>
      </c>
      <c r="V541" s="22">
        <f ca="1">U541*V$699</f>
        <v>0</v>
      </c>
      <c r="W541" s="2">
        <v>28424.716937571444</v>
      </c>
      <c r="X541" s="21">
        <f ca="1">W541/W$669</f>
        <v>1.0190338922017018E-3</v>
      </c>
      <c r="Y541" s="22">
        <f ca="1">X541*Y$699</f>
        <v>5279.4720836071929</v>
      </c>
      <c r="Z541" s="2">
        <v>3992.6579270351617</v>
      </c>
      <c r="AA541" s="21">
        <f ca="1">Z541/Z$669</f>
        <v>1.3571579776146755E-4</v>
      </c>
      <c r="AB541" s="22">
        <f ca="1">AA541*AB$699</f>
        <v>715.78081156883297</v>
      </c>
      <c r="AC541" s="2">
        <v>0</v>
      </c>
      <c r="AD541" s="21">
        <f ca="1">AC541/AC$669</f>
        <v>0</v>
      </c>
      <c r="AE541" s="22">
        <f ca="1">AD541*AE$699</f>
        <v>0</v>
      </c>
      <c r="AF541" s="2">
        <v>2615.8407063762234</v>
      </c>
      <c r="AG541" s="21">
        <f ca="1">AF541/AF$669</f>
        <v>6.5169050298547986E-5</v>
      </c>
      <c r="AH541" s="22">
        <f ca="1">AG541*AH$699</f>
        <v>356.54389250699745</v>
      </c>
      <c r="AI541" s="2">
        <v>0</v>
      </c>
      <c r="AJ541" s="21">
        <f ca="1">AI541/AI$669</f>
        <v>0</v>
      </c>
      <c r="AK541" s="22">
        <f ca="1">AJ541*AK$699</f>
        <v>0</v>
      </c>
      <c r="AL541" s="2">
        <v>35033.215570982829</v>
      </c>
    </row>
    <row r="542" spans="1:38" ht="12.75" x14ac:dyDescent="0.2">
      <c r="A542" s="8" t="s">
        <v>152</v>
      </c>
      <c r="B542" s="8" t="s">
        <v>17</v>
      </c>
      <c r="C542" s="8" t="s">
        <v>18</v>
      </c>
      <c r="D542" s="8" t="s">
        <v>19</v>
      </c>
      <c r="E542" s="8" t="s">
        <v>19</v>
      </c>
      <c r="F542" s="8" t="s">
        <v>34</v>
      </c>
      <c r="G542" s="8" t="s">
        <v>902</v>
      </c>
      <c r="H542" s="20">
        <v>40000</v>
      </c>
      <c r="I542" s="21">
        <f>H542/H$653</f>
        <v>1.7877718232074891E-2</v>
      </c>
      <c r="J542" s="22">
        <f>I542*J$683</f>
        <v>37671.320016208323</v>
      </c>
      <c r="K542" s="2">
        <v>40000</v>
      </c>
      <c r="L542" s="21">
        <f ca="1">K542/K$653</f>
        <v>1.1994183976547119E-2</v>
      </c>
      <c r="M542" s="22">
        <f ca="1">L542*M$683</f>
        <v>18479.727113081583</v>
      </c>
      <c r="N542" s="2">
        <v>48972.204355871319</v>
      </c>
      <c r="O542" s="21">
        <f ca="1">N542/N$653</f>
        <v>4.3849820932263537E-3</v>
      </c>
      <c r="P542" s="22">
        <f ca="1">O542*P$683</f>
        <v>6931.7043589798586</v>
      </c>
      <c r="Q542" s="2">
        <v>40000</v>
      </c>
      <c r="R542" s="21">
        <f ca="1">Q542/Q$653</f>
        <v>3.0576025064779772E-3</v>
      </c>
      <c r="S542" s="22">
        <f ca="1">R542*S$683</f>
        <v>4944.5738551358763</v>
      </c>
      <c r="T542" s="2">
        <v>40000</v>
      </c>
      <c r="U542" s="21">
        <f ca="1">T542/T$653</f>
        <v>3.0332839358409697E-3</v>
      </c>
      <c r="V542" s="22">
        <f ca="1">U542*V$683</f>
        <v>5008.2575027613348</v>
      </c>
      <c r="W542" s="2">
        <v>52223.962776908658</v>
      </c>
      <c r="X542" s="21">
        <f ca="1">W542/W$653</f>
        <v>4.6956226426981247E-3</v>
      </c>
      <c r="Y542" s="22">
        <f ca="1">X542*Y$683</f>
        <v>7908.0051527641654</v>
      </c>
      <c r="Z542" s="2">
        <v>47985.315854070323</v>
      </c>
      <c r="AA542" s="21">
        <f ca="1">Z542/Z$653</f>
        <v>4.2940133945041882E-3</v>
      </c>
      <c r="AB542" s="22">
        <f ca="1">AA542*AB$683</f>
        <v>7361.8154849737111</v>
      </c>
      <c r="AC542" s="2">
        <v>46336.946443896646</v>
      </c>
      <c r="AD542" s="21">
        <f ca="1">AC542/AC$653</f>
        <v>3.5695761655734023E-3</v>
      </c>
      <c r="AE542" s="22">
        <f ca="1">AD542*AE$683</f>
        <v>6236.0899688589279</v>
      </c>
      <c r="AF542" s="2">
        <v>51378.907072736569</v>
      </c>
      <c r="AG542" s="21">
        <f ca="1">AF542/AF$653</f>
        <v>4.2969758030283441E-3</v>
      </c>
      <c r="AH542" s="22">
        <f ca="1">AG542*AH$683</f>
        <v>7641.9889301537978</v>
      </c>
      <c r="AI542" s="2">
        <v>124661.36885355449</v>
      </c>
      <c r="AJ542" s="21">
        <f ca="1">AI542/AI$653</f>
        <v>9.1702584786777699E-3</v>
      </c>
      <c r="AK542" s="22">
        <f ca="1">AJ542*AK$683</f>
        <v>16602.475575327124</v>
      </c>
      <c r="AL542" s="2">
        <v>531558.70535703795</v>
      </c>
    </row>
    <row r="543" spans="1:38" ht="12.75" x14ac:dyDescent="0.2">
      <c r="A543" s="8" t="s">
        <v>152</v>
      </c>
      <c r="B543" s="8" t="s">
        <v>17</v>
      </c>
      <c r="C543" s="8" t="s">
        <v>18</v>
      </c>
      <c r="D543" s="8" t="s">
        <v>156</v>
      </c>
      <c r="E543" s="8" t="s">
        <v>158</v>
      </c>
      <c r="F543" s="8" t="s">
        <v>24</v>
      </c>
      <c r="G543" s="8" t="s">
        <v>903</v>
      </c>
      <c r="H543" s="20">
        <v>0</v>
      </c>
      <c r="I543" s="21">
        <f>H543/H$646</f>
        <v>0</v>
      </c>
      <c r="J543" s="22">
        <f>I543*J$676</f>
        <v>0</v>
      </c>
      <c r="K543" s="2">
        <v>296474.15704081801</v>
      </c>
      <c r="L543" s="21">
        <f ca="1">K543/K$646</f>
        <v>4.6942944034804599E-3</v>
      </c>
      <c r="M543" s="22">
        <f ca="1">L543*M$676</f>
        <v>18251.479074847593</v>
      </c>
      <c r="N543" s="2">
        <v>405648.64490673377</v>
      </c>
      <c r="O543" s="21">
        <f ca="1">N543/N$646</f>
        <v>4.3273892675976082E-3</v>
      </c>
      <c r="P543" s="22">
        <f ca="1">O543*P$676</f>
        <v>73518.456146334807</v>
      </c>
      <c r="Q543" s="2">
        <v>100905.55147442188</v>
      </c>
      <c r="R543" s="21">
        <f ca="1">Q543/Q$646</f>
        <v>9.0724004168981829E-4</v>
      </c>
      <c r="S543" s="22">
        <f ca="1">R543*S$676</f>
        <v>15767.696727658029</v>
      </c>
      <c r="T543" s="2">
        <v>40064.619847679911</v>
      </c>
      <c r="U543" s="21">
        <f ca="1">T543/T$646</f>
        <v>4.775447756655859E-4</v>
      </c>
      <c r="V543" s="22">
        <f ca="1">U543*V$676</f>
        <v>8473.9498348526922</v>
      </c>
      <c r="W543" s="2">
        <v>97217.869901506085</v>
      </c>
      <c r="X543" s="21">
        <f ca="1">W543/W$646</f>
        <v>1.1122454035125222E-3</v>
      </c>
      <c r="Y543" s="22">
        <f ca="1">X543*Y$676</f>
        <v>20131.3352798659</v>
      </c>
      <c r="Z543" s="2">
        <v>187109.25932062446</v>
      </c>
      <c r="AA543" s="21">
        <f ca="1">Z543/Z$646</f>
        <v>1.6120977892015145E-3</v>
      </c>
      <c r="AB543" s="22">
        <f ca="1">AA543*AB$676</f>
        <v>29703.739170234505</v>
      </c>
      <c r="AC543" s="2">
        <v>0</v>
      </c>
      <c r="AD543" s="21">
        <f ca="1">AC543/AC$646</f>
        <v>0</v>
      </c>
      <c r="AE543" s="22">
        <f ca="1">AD543*AE$676</f>
        <v>0</v>
      </c>
      <c r="AF543" s="2">
        <v>0</v>
      </c>
      <c r="AG543" s="21">
        <f ca="1">AF543/AF$646</f>
        <v>0</v>
      </c>
      <c r="AH543" s="22">
        <f ca="1">AG543*AH$676</f>
        <v>0</v>
      </c>
      <c r="AI543" s="2">
        <v>0</v>
      </c>
      <c r="AJ543" s="21">
        <f ca="1">AI543/AI$646</f>
        <v>0</v>
      </c>
      <c r="AK543" s="22">
        <f ca="1">AJ543*AK$676</f>
        <v>0</v>
      </c>
      <c r="AL543" s="2">
        <v>1127420.1024917841</v>
      </c>
    </row>
    <row r="544" spans="1:38" ht="12.75" x14ac:dyDescent="0.2">
      <c r="A544" s="8" t="s">
        <v>152</v>
      </c>
      <c r="B544" s="8" t="s">
        <v>17</v>
      </c>
      <c r="C544" s="8" t="s">
        <v>18</v>
      </c>
      <c r="D544" s="8" t="s">
        <v>156</v>
      </c>
      <c r="E544" s="8" t="s">
        <v>158</v>
      </c>
      <c r="F544" s="23" t="s">
        <v>22</v>
      </c>
      <c r="G544" s="8" t="s">
        <v>904</v>
      </c>
      <c r="H544" s="20">
        <v>0</v>
      </c>
      <c r="I544" s="21">
        <f>H544/H$650</f>
        <v>0</v>
      </c>
      <c r="J544" s="22">
        <f>I544*J$680</f>
        <v>0</v>
      </c>
      <c r="K544" s="2">
        <v>0</v>
      </c>
      <c r="L544" s="21">
        <f ca="1">K544/K$650</f>
        <v>0</v>
      </c>
      <c r="M544" s="22">
        <f ca="1">L544*M$680</f>
        <v>0</v>
      </c>
      <c r="N544" s="2">
        <v>0</v>
      </c>
      <c r="O544" s="21">
        <f ca="1">N544/N$650</f>
        <v>0</v>
      </c>
      <c r="P544" s="22">
        <f ca="1">O544*P$680</f>
        <v>0</v>
      </c>
      <c r="Q544" s="2">
        <v>0</v>
      </c>
      <c r="R544" s="21">
        <f ca="1">Q544/Q$650</f>
        <v>0</v>
      </c>
      <c r="S544" s="22">
        <f ca="1">R544*S$680</f>
        <v>0</v>
      </c>
      <c r="T544" s="2">
        <v>0</v>
      </c>
      <c r="U544" s="21">
        <f ca="1">T544/T$650</f>
        <v>0</v>
      </c>
      <c r="V544" s="22">
        <f ca="1">U544*V$680</f>
        <v>0</v>
      </c>
      <c r="W544" s="2">
        <v>0</v>
      </c>
      <c r="X544" s="21">
        <f ca="1">W544/W$650</f>
        <v>0</v>
      </c>
      <c r="Y544" s="22">
        <f ca="1">X544*Y$680</f>
        <v>0</v>
      </c>
      <c r="Z544" s="2">
        <v>0</v>
      </c>
      <c r="AA544" s="21">
        <f ca="1">Z544/Z$650</f>
        <v>0</v>
      </c>
      <c r="AB544" s="22">
        <f ca="1">AA544*AB$680</f>
        <v>0</v>
      </c>
      <c r="AC544" s="2">
        <v>0</v>
      </c>
      <c r="AD544" s="21">
        <f ca="1">AC544/AC$650</f>
        <v>0</v>
      </c>
      <c r="AE544" s="22">
        <f ca="1">AD544*AE$680</f>
        <v>0</v>
      </c>
      <c r="AF544" s="2">
        <v>333519.69006296847</v>
      </c>
      <c r="AG544" s="21">
        <f ca="1">AF544/AF$650</f>
        <v>9.4597660191900381E-3</v>
      </c>
      <c r="AH544" s="22">
        <f ca="1">AG544*AH$680</f>
        <v>120619.71954834943</v>
      </c>
      <c r="AI544" s="2">
        <v>0</v>
      </c>
      <c r="AJ544" s="21">
        <f ca="1">AI544/AI$650</f>
        <v>0</v>
      </c>
      <c r="AK544" s="22">
        <f ca="1">AJ544*AK$680</f>
        <v>0</v>
      </c>
      <c r="AL544" s="2">
        <v>333519.69006296847</v>
      </c>
    </row>
    <row r="545" spans="1:38" ht="12.75" x14ac:dyDescent="0.2">
      <c r="A545" s="8" t="s">
        <v>152</v>
      </c>
      <c r="B545" s="8" t="s">
        <v>17</v>
      </c>
      <c r="C545" s="8" t="s">
        <v>18</v>
      </c>
      <c r="D545" s="8" t="s">
        <v>156</v>
      </c>
      <c r="E545" s="8" t="s">
        <v>158</v>
      </c>
      <c r="F545" s="8" t="s">
        <v>28</v>
      </c>
      <c r="G545" s="8" t="s">
        <v>905</v>
      </c>
      <c r="H545" s="20">
        <v>0</v>
      </c>
      <c r="I545" s="21">
        <f>H545/H$669</f>
        <v>0</v>
      </c>
      <c r="J545" s="22">
        <f>I545*J$699</f>
        <v>0</v>
      </c>
      <c r="K545" s="2">
        <v>0</v>
      </c>
      <c r="L545" s="21">
        <f ca="1">K545/K$669</f>
        <v>0</v>
      </c>
      <c r="M545" s="22">
        <f ca="1">L545*M$699</f>
        <v>0</v>
      </c>
      <c r="N545" s="2">
        <v>0</v>
      </c>
      <c r="O545" s="21">
        <f ca="1">N545/N$669</f>
        <v>0</v>
      </c>
      <c r="P545" s="22">
        <f ca="1">O545*P$699</f>
        <v>0</v>
      </c>
      <c r="Q545" s="2">
        <v>5857.1383177669186</v>
      </c>
      <c r="R545" s="21">
        <f ca="1">Q545/Q$669</f>
        <v>1.5494753958024865E-4</v>
      </c>
      <c r="S545" s="22">
        <f ca="1">R545*S$699</f>
        <v>770.83360560552069</v>
      </c>
      <c r="T545" s="2">
        <v>0</v>
      </c>
      <c r="U545" s="21">
        <f ca="1">T545/T$669</f>
        <v>0</v>
      </c>
      <c r="V545" s="22">
        <f ca="1">U545*V$699</f>
        <v>0</v>
      </c>
      <c r="W545" s="2">
        <v>0</v>
      </c>
      <c r="X545" s="21">
        <f ca="1">W545/W$669</f>
        <v>0</v>
      </c>
      <c r="Y545" s="22">
        <f ca="1">X545*Y$699</f>
        <v>0</v>
      </c>
      <c r="Z545" s="2">
        <v>5057.3667075778721</v>
      </c>
      <c r="AA545" s="21">
        <f ca="1">Z545/Z$669</f>
        <v>1.7190667716452559E-4</v>
      </c>
      <c r="AB545" s="22">
        <f ca="1">AA545*AB$699</f>
        <v>906.65569465385522</v>
      </c>
      <c r="AC545" s="2">
        <v>0</v>
      </c>
      <c r="AD545" s="21">
        <f ca="1">AC545/AC$669</f>
        <v>0</v>
      </c>
      <c r="AE545" s="22">
        <f ca="1">AD545*AE$699</f>
        <v>0</v>
      </c>
      <c r="AF545" s="2">
        <v>0</v>
      </c>
      <c r="AG545" s="21">
        <f ca="1">AF545/AF$669</f>
        <v>0</v>
      </c>
      <c r="AH545" s="22">
        <f ca="1">AG545*AH$699</f>
        <v>0</v>
      </c>
      <c r="AI545" s="2">
        <v>0</v>
      </c>
      <c r="AJ545" s="21">
        <f ca="1">AI545/AI$669</f>
        <v>0</v>
      </c>
      <c r="AK545" s="22">
        <f ca="1">AJ545*AK$699</f>
        <v>0</v>
      </c>
      <c r="AL545" s="2">
        <v>10914.505025344792</v>
      </c>
    </row>
    <row r="546" spans="1:38" ht="12.75" x14ac:dyDescent="0.2">
      <c r="A546" s="8" t="s">
        <v>152</v>
      </c>
      <c r="B546" s="8" t="s">
        <v>17</v>
      </c>
      <c r="C546" s="8" t="s">
        <v>18</v>
      </c>
      <c r="D546" s="8" t="s">
        <v>156</v>
      </c>
      <c r="E546" s="8" t="s">
        <v>158</v>
      </c>
      <c r="F546" s="8" t="s">
        <v>34</v>
      </c>
      <c r="G546" s="8" t="s">
        <v>906</v>
      </c>
      <c r="H546" s="20">
        <v>0</v>
      </c>
      <c r="I546" s="21">
        <f>H546/H$653</f>
        <v>0</v>
      </c>
      <c r="J546" s="22">
        <f>I546*J$683</f>
        <v>0</v>
      </c>
      <c r="K546" s="2">
        <v>0</v>
      </c>
      <c r="L546" s="21">
        <f ca="1">K546/K$653</f>
        <v>0</v>
      </c>
      <c r="M546" s="22">
        <f ca="1">L546*M$683</f>
        <v>0</v>
      </c>
      <c r="N546" s="2">
        <v>0</v>
      </c>
      <c r="O546" s="21">
        <f ca="1">N546/N$653</f>
        <v>0</v>
      </c>
      <c r="P546" s="22">
        <f ca="1">O546*P$683</f>
        <v>0</v>
      </c>
      <c r="Q546" s="2">
        <v>0</v>
      </c>
      <c r="R546" s="21">
        <f ca="1">Q546/Q$653</f>
        <v>0</v>
      </c>
      <c r="S546" s="22">
        <f ca="1">R546*S$683</f>
        <v>0</v>
      </c>
      <c r="T546" s="2">
        <v>8714.0548168703808</v>
      </c>
      <c r="U546" s="21">
        <f ca="1">T546/T$653</f>
        <v>6.6080506230126374E-4</v>
      </c>
      <c r="V546" s="22">
        <f ca="1">U546*V$683</f>
        <v>1091.0557604016158</v>
      </c>
      <c r="W546" s="2">
        <v>0</v>
      </c>
      <c r="X546" s="21">
        <f ca="1">W546/W$653</f>
        <v>0</v>
      </c>
      <c r="Y546" s="22">
        <f ca="1">X546*Y$683</f>
        <v>0</v>
      </c>
      <c r="Z546" s="2">
        <v>34669.579666421989</v>
      </c>
      <c r="AA546" s="21">
        <f ca="1">Z546/Z$653</f>
        <v>3.1024415869676542E-3</v>
      </c>
      <c r="AB546" s="22">
        <f ca="1">AA546*AB$683</f>
        <v>5318.9406780604804</v>
      </c>
      <c r="AC546" s="2">
        <v>13201.971758118012</v>
      </c>
      <c r="AD546" s="21">
        <f ca="1">AC546/AC$653</f>
        <v>1.0170165999913111E-3</v>
      </c>
      <c r="AE546" s="22">
        <f ca="1">AD546*AE$683</f>
        <v>1776.7395128127325</v>
      </c>
      <c r="AF546" s="2">
        <v>7847.5221191286701</v>
      </c>
      <c r="AG546" s="21">
        <f ca="1">AF546/AF$653</f>
        <v>6.5631237760444569E-4</v>
      </c>
      <c r="AH546" s="22">
        <f ca="1">AG546*AH$683</f>
        <v>1167.223683419706</v>
      </c>
      <c r="AI546" s="2">
        <v>8424.2082131820716</v>
      </c>
      <c r="AJ546" s="21">
        <f ca="1">AI546/AI$653</f>
        <v>6.1969612160950609E-4</v>
      </c>
      <c r="AK546" s="22">
        <f ca="1">AJ546*AK$683</f>
        <v>1121.941082366332</v>
      </c>
      <c r="AL546" s="2">
        <v>72857.336573721113</v>
      </c>
    </row>
    <row r="547" spans="1:38" ht="12.75" x14ac:dyDescent="0.2">
      <c r="A547" s="8" t="s">
        <v>152</v>
      </c>
      <c r="B547" s="8" t="s">
        <v>17</v>
      </c>
      <c r="C547" s="8" t="s">
        <v>18</v>
      </c>
      <c r="D547" s="8" t="s">
        <v>159</v>
      </c>
      <c r="E547" s="8" t="s">
        <v>160</v>
      </c>
      <c r="F547" s="8" t="s">
        <v>24</v>
      </c>
      <c r="G547" s="8" t="s">
        <v>907</v>
      </c>
      <c r="H547" s="20">
        <v>1869600.4378969059</v>
      </c>
      <c r="I547" s="21">
        <f>H547/H$646</f>
        <v>2.2769710731009009E-2</v>
      </c>
      <c r="J547" s="22">
        <f>I547*J$676</f>
        <v>48992.220397268225</v>
      </c>
      <c r="K547" s="2">
        <v>141483.54757023405</v>
      </c>
      <c r="L547" s="21">
        <f ca="1">K547/K$646</f>
        <v>2.240213555787495E-3</v>
      </c>
      <c r="M547" s="22">
        <f ca="1">L547*M$676</f>
        <v>8709.9800997420716</v>
      </c>
      <c r="N547" s="2">
        <v>0</v>
      </c>
      <c r="O547" s="21">
        <f ca="1">N547/N$646</f>
        <v>0</v>
      </c>
      <c r="P547" s="22">
        <f ca="1">O547*P$676</f>
        <v>0</v>
      </c>
      <c r="Q547" s="2">
        <v>0</v>
      </c>
      <c r="R547" s="21">
        <f ca="1">Q547/Q$646</f>
        <v>0</v>
      </c>
      <c r="S547" s="22">
        <f ca="1">R547*S$676</f>
        <v>0</v>
      </c>
      <c r="T547" s="2">
        <v>0</v>
      </c>
      <c r="U547" s="21">
        <f ca="1">T547/T$646</f>
        <v>0</v>
      </c>
      <c r="V547" s="22">
        <f ca="1">U547*V$676</f>
        <v>0</v>
      </c>
      <c r="W547" s="2">
        <v>0</v>
      </c>
      <c r="X547" s="21">
        <f ca="1">W547/W$646</f>
        <v>0</v>
      </c>
      <c r="Y547" s="22">
        <f ca="1">X547*Y$676</f>
        <v>0</v>
      </c>
      <c r="Z547" s="2">
        <v>0</v>
      </c>
      <c r="AA547" s="21">
        <f ca="1">Z547/Z$646</f>
        <v>0</v>
      </c>
      <c r="AB547" s="22">
        <f ca="1">AA547*AB$676</f>
        <v>0</v>
      </c>
      <c r="AC547" s="2">
        <v>0</v>
      </c>
      <c r="AD547" s="21">
        <f ca="1">AC547/AC$646</f>
        <v>0</v>
      </c>
      <c r="AE547" s="22">
        <f ca="1">AD547*AE$676</f>
        <v>0</v>
      </c>
      <c r="AF547" s="2">
        <v>0</v>
      </c>
      <c r="AG547" s="21">
        <f ca="1">AF547/AF$646</f>
        <v>0</v>
      </c>
      <c r="AH547" s="22">
        <f ca="1">AG547*AH$676</f>
        <v>0</v>
      </c>
      <c r="AI547" s="2">
        <v>0</v>
      </c>
      <c r="AJ547" s="21">
        <f ca="1">AI547/AI$646</f>
        <v>0</v>
      </c>
      <c r="AK547" s="22">
        <f ca="1">AJ547*AK$676</f>
        <v>0</v>
      </c>
      <c r="AL547" s="2">
        <v>2011083.9854671401</v>
      </c>
    </row>
    <row r="548" spans="1:38" ht="12.75" x14ac:dyDescent="0.2">
      <c r="A548" s="8" t="s">
        <v>152</v>
      </c>
      <c r="B548" s="8" t="s">
        <v>17</v>
      </c>
      <c r="C548" s="8" t="s">
        <v>18</v>
      </c>
      <c r="D548" s="8" t="s">
        <v>159</v>
      </c>
      <c r="E548" s="8" t="s">
        <v>160</v>
      </c>
      <c r="F548" s="8" t="s">
        <v>25</v>
      </c>
      <c r="G548" s="8" t="s">
        <v>908</v>
      </c>
      <c r="H548" s="20">
        <v>1091277.9189899657</v>
      </c>
      <c r="I548" s="21">
        <f>H548/H$652</f>
        <v>7.8226710095540816E-2</v>
      </c>
      <c r="J548" s="22">
        <f>I548*J$682</f>
        <v>5630329.4409454437</v>
      </c>
      <c r="K548" s="2">
        <v>1198821.2133011725</v>
      </c>
      <c r="L548" s="21">
        <f ca="1">K548/K$652</f>
        <v>5.336361167699627E-2</v>
      </c>
      <c r="M548" s="22">
        <f ca="1">L548*M$682</f>
        <v>1924724.2424179041</v>
      </c>
      <c r="N548" s="2">
        <v>907880.77016167634</v>
      </c>
      <c r="O548" s="21">
        <f ca="1">N548/N$652</f>
        <v>1.8192329129118803E-2</v>
      </c>
      <c r="P548" s="22">
        <f ca="1">O548*P$682</f>
        <v>673223.03369715484</v>
      </c>
      <c r="Q548" s="2">
        <v>1134472.5630044613</v>
      </c>
      <c r="R548" s="21">
        <f ca="1">Q548/Q$652</f>
        <v>2.2856517700030644E-2</v>
      </c>
      <c r="S548" s="22">
        <f ca="1">R548*S$682</f>
        <v>865279.39102172037</v>
      </c>
      <c r="T548" s="2">
        <v>914808.81985535799</v>
      </c>
      <c r="U548" s="21">
        <f ca="1">T548/T$652</f>
        <v>2.0850472636742095E-2</v>
      </c>
      <c r="V548" s="22">
        <f ca="1">U548*V$682</f>
        <v>805912.59262417234</v>
      </c>
      <c r="W548" s="2">
        <v>1380963.8547157338</v>
      </c>
      <c r="X548" s="21">
        <f ca="1">W548/W$652</f>
        <v>2.9976841959037614E-2</v>
      </c>
      <c r="Y548" s="22">
        <f ca="1">X548*Y$682</f>
        <v>1181838.3755679354</v>
      </c>
      <c r="Z548" s="2">
        <v>662781.21588783688</v>
      </c>
      <c r="AA548" s="21">
        <f ca="1">Z548/Z$652</f>
        <v>1.4344962571465374E-2</v>
      </c>
      <c r="AB548" s="22">
        <f ca="1">AA548*AB$682</f>
        <v>575730.72499105695</v>
      </c>
      <c r="AC548" s="2">
        <v>1353202.1052070963</v>
      </c>
      <c r="AD548" s="21">
        <f ca="1">AC548/AC$652</f>
        <v>2.1723048637792428E-2</v>
      </c>
      <c r="AE548" s="22">
        <f ca="1">AD548*AE$682</f>
        <v>888413.08449870546</v>
      </c>
      <c r="AF548" s="2">
        <v>1498906.8069216993</v>
      </c>
      <c r="AG548" s="21">
        <f ca="1">AF548/AF$652</f>
        <v>2.2394627070798472E-2</v>
      </c>
      <c r="AH548" s="22">
        <f ca="1">AG548*AH$682</f>
        <v>932364.61807706009</v>
      </c>
      <c r="AI548" s="2">
        <v>2360575.5673951036</v>
      </c>
      <c r="AJ548" s="21">
        <f ca="1">AI548/AI$652</f>
        <v>3.1513837714215454E-2</v>
      </c>
      <c r="AK548" s="22">
        <f ca="1">AJ548*AK$682</f>
        <v>1335644.9357058594</v>
      </c>
      <c r="AL548" s="2">
        <v>12503690.835440105</v>
      </c>
    </row>
    <row r="549" spans="1:38" ht="12.75" x14ac:dyDescent="0.2">
      <c r="A549" s="8" t="s">
        <v>152</v>
      </c>
      <c r="B549" s="8" t="s">
        <v>17</v>
      </c>
      <c r="C549" s="8" t="s">
        <v>18</v>
      </c>
      <c r="D549" s="8" t="s">
        <v>159</v>
      </c>
      <c r="E549" s="8" t="s">
        <v>160</v>
      </c>
      <c r="F549" s="8" t="s">
        <v>47</v>
      </c>
      <c r="G549" s="8" t="s">
        <v>909</v>
      </c>
      <c r="H549" s="20">
        <v>0</v>
      </c>
      <c r="I549" s="21">
        <f>H549/H$658</f>
        <v>0</v>
      </c>
      <c r="J549" s="22">
        <f>I549*J$688</f>
        <v>0</v>
      </c>
      <c r="K549" s="2">
        <v>682958.8177205855</v>
      </c>
      <c r="L549" s="21">
        <f ca="1">K549/K$658</f>
        <v>1.4481968593051333E-2</v>
      </c>
      <c r="M549" s="22">
        <f ca="1">L549*M$688</f>
        <v>680522.69577654998</v>
      </c>
      <c r="N549" s="2">
        <v>0</v>
      </c>
      <c r="O549" s="21">
        <f ca="1">N549/N$658</f>
        <v>0</v>
      </c>
      <c r="P549" s="22">
        <f ca="1">O549*P$688</f>
        <v>0</v>
      </c>
      <c r="Q549" s="2">
        <v>636093.22650992172</v>
      </c>
      <c r="R549" s="21">
        <f ca="1">Q549/Q$658</f>
        <v>2.036906354882469E-2</v>
      </c>
      <c r="S549" s="22">
        <f ca="1">R549*S$688</f>
        <v>1004636.7713627975</v>
      </c>
      <c r="T549" s="2">
        <v>161393.64361973727</v>
      </c>
      <c r="U549" s="21">
        <f ca="1">T549/T$658</f>
        <v>5.7461264234901343E-3</v>
      </c>
      <c r="V549" s="22">
        <f ca="1">U549*V$688</f>
        <v>289360.28659113887</v>
      </c>
      <c r="W549" s="2">
        <v>787097.76042014139</v>
      </c>
      <c r="X549" s="21">
        <f ca="1">W549/W$658</f>
        <v>3.0339848697143158E-2</v>
      </c>
      <c r="Y549" s="22">
        <f ca="1">X549*Y$688</f>
        <v>1558394.2294038949</v>
      </c>
      <c r="Z549" s="2">
        <v>0</v>
      </c>
      <c r="AA549" s="21">
        <f ca="1">Z549/Z$658</f>
        <v>0</v>
      </c>
      <c r="AB549" s="22">
        <f ca="1">AA549*AB$688</f>
        <v>0</v>
      </c>
      <c r="AC549" s="2">
        <v>701037.9023278245</v>
      </c>
      <c r="AD549" s="21">
        <f ca="1">AC549/AC$658</f>
        <v>1.9185836697326389E-2</v>
      </c>
      <c r="AE549" s="22">
        <f ca="1">AD549*AE$688</f>
        <v>1022272.3782572253</v>
      </c>
      <c r="AF549" s="2">
        <v>0</v>
      </c>
      <c r="AG549" s="21">
        <f ca="1">AF549/AF$658</f>
        <v>0</v>
      </c>
      <c r="AH549" s="22">
        <f ca="1">AG549*AH$688</f>
        <v>0</v>
      </c>
      <c r="AI549" s="2">
        <v>569579.76052253402</v>
      </c>
      <c r="AJ549" s="21">
        <f ca="1">AI549/AI$658</f>
        <v>8.8648851626636511E-3</v>
      </c>
      <c r="AK549" s="22">
        <f ca="1">AJ549*AK$688</f>
        <v>489502.09270637174</v>
      </c>
      <c r="AL549" s="2">
        <v>3538161.1111207446</v>
      </c>
    </row>
    <row r="550" spans="1:38" ht="12.75" x14ac:dyDescent="0.2">
      <c r="A550" s="8" t="s">
        <v>152</v>
      </c>
      <c r="B550" s="8" t="s">
        <v>17</v>
      </c>
      <c r="C550" s="8" t="s">
        <v>18</v>
      </c>
      <c r="D550" s="8" t="s">
        <v>159</v>
      </c>
      <c r="E550" s="8" t="s">
        <v>161</v>
      </c>
      <c r="F550" s="8" t="s">
        <v>24</v>
      </c>
      <c r="G550" s="8" t="s">
        <v>910</v>
      </c>
      <c r="H550" s="20">
        <v>25653310.672039639</v>
      </c>
      <c r="I550" s="21">
        <f>H550/H$646</f>
        <v>0.31242957128963755</v>
      </c>
      <c r="J550" s="22">
        <f>I550*J$676</f>
        <v>672235.96276963572</v>
      </c>
      <c r="K550" s="2">
        <v>9493207.55367212</v>
      </c>
      <c r="L550" s="21">
        <f ca="1">K550/K$646</f>
        <v>0.15031297005811534</v>
      </c>
      <c r="M550" s="22">
        <f ca="1">L550*M$676</f>
        <v>584418.82674845413</v>
      </c>
      <c r="N550" s="2">
        <v>7654420.1486993441</v>
      </c>
      <c r="O550" s="21">
        <f ca="1">N550/N$646</f>
        <v>8.1656024288655468E-2</v>
      </c>
      <c r="P550" s="22">
        <f ca="1">O550*P$676</f>
        <v>1387262.4969748366</v>
      </c>
      <c r="Q550" s="2">
        <v>7358780.4992354084</v>
      </c>
      <c r="R550" s="21">
        <f ca="1">Q550/Q$646</f>
        <v>6.6162666269207901E-2</v>
      </c>
      <c r="S550" s="22">
        <f ca="1">R550*S$676</f>
        <v>1149897.2801983058</v>
      </c>
      <c r="T550" s="2">
        <v>7602568.1104390984</v>
      </c>
      <c r="U550" s="21">
        <f ca="1">T550/T$646</f>
        <v>9.0617774400078774E-2</v>
      </c>
      <c r="V550" s="22">
        <f ca="1">U550*V$676</f>
        <v>1607996.8068795351</v>
      </c>
      <c r="W550" s="2">
        <v>8983384.9067751616</v>
      </c>
      <c r="X550" s="21">
        <f ca="1">W550/W$646</f>
        <v>0.10277666627202713</v>
      </c>
      <c r="Y550" s="22">
        <f ca="1">X550*Y$676</f>
        <v>1860229.335302233</v>
      </c>
      <c r="Z550" s="2">
        <v>9182520.9879216962</v>
      </c>
      <c r="AA550" s="21">
        <f ca="1">Z550/Z$646</f>
        <v>7.9114854271102181E-2</v>
      </c>
      <c r="AB550" s="22">
        <f ca="1">AA550*AB$676</f>
        <v>1457732.2861561088</v>
      </c>
      <c r="AC550" s="2">
        <v>11989544.324073352</v>
      </c>
      <c r="AD550" s="21">
        <f ca="1">AC550/AC$646</f>
        <v>0.11523332530553007</v>
      </c>
      <c r="AE550" s="22">
        <f ca="1">AD550*AE$676</f>
        <v>2163575.3204144756</v>
      </c>
      <c r="AF550" s="2">
        <v>1231014.6364206506</v>
      </c>
      <c r="AG550" s="21">
        <f ca="1">AF550/AF$646</f>
        <v>1.3077295865031272E-2</v>
      </c>
      <c r="AH550" s="22">
        <f ca="1">AG550*AH$676</f>
        <v>249953.7471559656</v>
      </c>
      <c r="AI550" s="2">
        <v>1094566.0878368982</v>
      </c>
      <c r="AJ550" s="21">
        <f ca="1">AI550/AI$646</f>
        <v>8.8593803171515689E-3</v>
      </c>
      <c r="AK550" s="22">
        <f ca="1">AJ550*AK$676</f>
        <v>172382.36147140193</v>
      </c>
      <c r="AL550" s="2">
        <v>90243317.927113369</v>
      </c>
    </row>
    <row r="551" spans="1:38" ht="12.75" x14ac:dyDescent="0.2">
      <c r="A551" s="8" t="s">
        <v>152</v>
      </c>
      <c r="B551" s="8" t="s">
        <v>17</v>
      </c>
      <c r="C551" s="8" t="s">
        <v>18</v>
      </c>
      <c r="D551" s="8" t="s">
        <v>159</v>
      </c>
      <c r="E551" s="8" t="s">
        <v>161</v>
      </c>
      <c r="F551" s="23" t="s">
        <v>22</v>
      </c>
      <c r="G551" s="8" t="s">
        <v>911</v>
      </c>
      <c r="H551" s="20">
        <v>272818.42210305278</v>
      </c>
      <c r="I551" s="21">
        <f>H551/H$650</f>
        <v>5.4574129625075529E-3</v>
      </c>
      <c r="J551" s="22">
        <f>I551*J$680</f>
        <v>93565.02038426997</v>
      </c>
      <c r="K551" s="2">
        <v>249636.9305414347</v>
      </c>
      <c r="L551" s="21">
        <f ca="1">K551/K$650</f>
        <v>5.8765980621716197E-3</v>
      </c>
      <c r="M551" s="22">
        <f ca="1">L551*M$680</f>
        <v>64915.029523246216</v>
      </c>
      <c r="N551" s="2">
        <v>65000</v>
      </c>
      <c r="O551" s="21">
        <f ca="1">N551/N$650</f>
        <v>8.2033582417947678E-4</v>
      </c>
      <c r="P551" s="22">
        <f ca="1">O551*P$680</f>
        <v>9297.331362176008</v>
      </c>
      <c r="Q551" s="2">
        <v>65000</v>
      </c>
      <c r="R551" s="21">
        <f ca="1">Q551/Q$650</f>
        <v>1.032335591828351E-3</v>
      </c>
      <c r="S551" s="22">
        <f ca="1">R551*S$680</f>
        <v>11969.146054738721</v>
      </c>
      <c r="T551" s="2">
        <v>65000</v>
      </c>
      <c r="U551" s="21">
        <f ca="1">T551/T$650</f>
        <v>2.2814977386559549E-3</v>
      </c>
      <c r="V551" s="22">
        <f ca="1">U551*V$680</f>
        <v>27007.727965780785</v>
      </c>
      <c r="W551" s="2">
        <v>65000</v>
      </c>
      <c r="X551" s="21">
        <f ca="1">W551/W$650</f>
        <v>1.6326626331643985E-3</v>
      </c>
      <c r="Y551" s="22">
        <f ca="1">X551*Y$680</f>
        <v>19713.540653679665</v>
      </c>
      <c r="Z551" s="2">
        <v>65000</v>
      </c>
      <c r="AA551" s="21">
        <f ca="1">Z551/Z$650</f>
        <v>1.9891725654021964E-3</v>
      </c>
      <c r="AB551" s="22">
        <f ca="1">AA551*AB$680</f>
        <v>24450.537934647917</v>
      </c>
      <c r="AC551" s="2">
        <v>329039.43516236026</v>
      </c>
      <c r="AD551" s="21">
        <f ca="1">AC551/AC$650</f>
        <v>1.0310729448476736E-2</v>
      </c>
      <c r="AE551" s="22">
        <f ca="1">AD551*AE$680</f>
        <v>129145.57583048967</v>
      </c>
      <c r="AF551" s="2">
        <v>65000</v>
      </c>
      <c r="AG551" s="21">
        <f ca="1">AF551/AF$650</f>
        <v>1.8436236587149092E-3</v>
      </c>
      <c r="AH551" s="22">
        <f ca="1">AG551*AH$680</f>
        <v>23507.702856051674</v>
      </c>
      <c r="AI551" s="2">
        <v>1304096.2452106411</v>
      </c>
      <c r="AJ551" s="21">
        <f ca="1">AI551/AI$650</f>
        <v>2.7513408448262097E-2</v>
      </c>
      <c r="AK551" s="22">
        <f ca="1">AJ551*AK$680</f>
        <v>357133.09136874881</v>
      </c>
      <c r="AL551" s="2">
        <v>2545591.0330174891</v>
      </c>
    </row>
    <row r="552" spans="1:38" ht="12.75" x14ac:dyDescent="0.2">
      <c r="A552" s="8" t="s">
        <v>152</v>
      </c>
      <c r="B552" s="8" t="s">
        <v>17</v>
      </c>
      <c r="C552" s="8" t="s">
        <v>18</v>
      </c>
      <c r="D552" s="8" t="s">
        <v>159</v>
      </c>
      <c r="E552" s="8" t="s">
        <v>161</v>
      </c>
      <c r="F552" s="8" t="s">
        <v>25</v>
      </c>
      <c r="G552" s="8" t="s">
        <v>912</v>
      </c>
      <c r="H552" s="20">
        <v>2551627.1138256979</v>
      </c>
      <c r="I552" s="21">
        <f>H552/H$652</f>
        <v>0.1829097712248311</v>
      </c>
      <c r="J552" s="22">
        <f>I552*J$682</f>
        <v>13164841.889758402</v>
      </c>
      <c r="K552" s="2">
        <v>1014924.426528801</v>
      </c>
      <c r="L552" s="21">
        <f ca="1">K552/K$652</f>
        <v>4.5177739914729696E-2</v>
      </c>
      <c r="M552" s="22">
        <f ca="1">L552*M$682</f>
        <v>1629475.3765516819</v>
      </c>
      <c r="N552" s="2">
        <v>791721.02970710525</v>
      </c>
      <c r="O552" s="21">
        <f ca="1">N552/N$652</f>
        <v>1.5864692836606242E-2</v>
      </c>
      <c r="P552" s="22">
        <f ca="1">O552*P$682</f>
        <v>587086.81908345153</v>
      </c>
      <c r="Q552" s="2">
        <v>2125400.0665479498</v>
      </c>
      <c r="R552" s="21">
        <f ca="1">Q552/Q$652</f>
        <v>4.2820995257959786E-2</v>
      </c>
      <c r="S552" s="22">
        <f ca="1">R552*S$682</f>
        <v>1621074.7930207122</v>
      </c>
      <c r="T552" s="2">
        <v>1215770.3218481962</v>
      </c>
      <c r="U552" s="21">
        <f ca="1">T552/T$652</f>
        <v>2.7710036543227665E-2</v>
      </c>
      <c r="V552" s="22">
        <f ca="1">U552*V$682</f>
        <v>1071048.4976206536</v>
      </c>
      <c r="W552" s="2">
        <v>808985.05654649599</v>
      </c>
      <c r="X552" s="21">
        <f ca="1">W552/W$652</f>
        <v>1.756079067855788E-2</v>
      </c>
      <c r="Y552" s="22">
        <f ca="1">X552*Y$682</f>
        <v>692334.98170337884</v>
      </c>
      <c r="Z552" s="2">
        <v>565082.51678778476</v>
      </c>
      <c r="AA552" s="21">
        <f ca="1">Z552/Z$652</f>
        <v>1.2230412327319229E-2</v>
      </c>
      <c r="AB552" s="22">
        <f ca="1">AA552*AB$682</f>
        <v>490863.89184128493</v>
      </c>
      <c r="AC552" s="2">
        <v>5776241.0427653957</v>
      </c>
      <c r="AD552" s="21">
        <f ca="1">AC552/AC$652</f>
        <v>9.2726404010731442E-2</v>
      </c>
      <c r="AE552" s="22">
        <f ca="1">AD552*AE$682</f>
        <v>3792255.4966952708</v>
      </c>
      <c r="AF552" s="2">
        <v>6988460.173745472</v>
      </c>
      <c r="AG552" s="21">
        <f ca="1">AF552/AF$652</f>
        <v>0.10441206796009492</v>
      </c>
      <c r="AH552" s="22">
        <f ca="1">AG552*AH$682</f>
        <v>4347030.0960353948</v>
      </c>
      <c r="AI552" s="2">
        <v>2308181.4546197848</v>
      </c>
      <c r="AJ552" s="21">
        <f ca="1">AI552/AI$652</f>
        <v>3.081437289301351E-2</v>
      </c>
      <c r="AK552" s="22">
        <f ca="1">AJ552*AK$682</f>
        <v>1305999.652430146</v>
      </c>
      <c r="AL552" s="2">
        <v>24146393.202922683</v>
      </c>
    </row>
    <row r="553" spans="1:38" ht="12.75" x14ac:dyDescent="0.2">
      <c r="A553" s="8" t="s">
        <v>152</v>
      </c>
      <c r="B553" s="8" t="s">
        <v>17</v>
      </c>
      <c r="C553" s="8" t="s">
        <v>18</v>
      </c>
      <c r="D553" s="8" t="s">
        <v>159</v>
      </c>
      <c r="E553" s="8" t="s">
        <v>161</v>
      </c>
      <c r="F553" s="8" t="s">
        <v>26</v>
      </c>
      <c r="G553" s="8" t="s">
        <v>913</v>
      </c>
      <c r="H553" s="20">
        <v>2425608.3415853181</v>
      </c>
      <c r="I553" s="21">
        <f>H553/H$655</f>
        <v>6.1156718551136378E-2</v>
      </c>
      <c r="J553" s="22">
        <f>I553*J$685</f>
        <v>147600.39477535951</v>
      </c>
      <c r="K553" s="2">
        <v>1881070.1508337483</v>
      </c>
      <c r="L553" s="21">
        <f ca="1">K553/K$655</f>
        <v>4.7380835879335705E-2</v>
      </c>
      <c r="M553" s="22">
        <f ca="1">L553*M$685</f>
        <v>131103.24668648068</v>
      </c>
      <c r="N553" s="2">
        <v>1637284.4434581185</v>
      </c>
      <c r="O553" s="21">
        <f ca="1">N553/N$655</f>
        <v>1.415461696046107E-2</v>
      </c>
      <c r="P553" s="22">
        <f ca="1">O553*P$685</f>
        <v>40184.281809335283</v>
      </c>
      <c r="Q553" s="2">
        <v>2445794.8259272459</v>
      </c>
      <c r="R553" s="21">
        <f ca="1">Q553/Q$655</f>
        <v>1.7568165735748459E-2</v>
      </c>
      <c r="S553" s="22">
        <f ca="1">R553*S$685</f>
        <v>51022.313012622508</v>
      </c>
      <c r="T553" s="2">
        <v>2178308.5328437975</v>
      </c>
      <c r="U553" s="21">
        <f ca="1">T553/T$655</f>
        <v>2.1927808857627448E-2</v>
      </c>
      <c r="V553" s="22">
        <f ca="1">U553*V$685</f>
        <v>65021.158266853919</v>
      </c>
      <c r="W553" s="2">
        <v>2675926.759321176</v>
      </c>
      <c r="X553" s="21">
        <f ca="1">W553/W$655</f>
        <v>2.4960902676932462E-2</v>
      </c>
      <c r="Y553" s="22">
        <f ca="1">X553*Y$685</f>
        <v>75495.301499602981</v>
      </c>
      <c r="Z553" s="2">
        <v>2838949.7881020368</v>
      </c>
      <c r="AA553" s="21">
        <f ca="1">Z553/Z$655</f>
        <v>2.4611489571505874E-2</v>
      </c>
      <c r="AB553" s="22">
        <f ca="1">AA553*AB$685</f>
        <v>75778.379653454685</v>
      </c>
      <c r="AC553" s="2">
        <v>2385166.5395138497</v>
      </c>
      <c r="AD553" s="21">
        <f ca="1">AC553/AC$655</f>
        <v>2.1171353779079298E-2</v>
      </c>
      <c r="AE553" s="22">
        <f ca="1">AD553*AE$685</f>
        <v>66424.795807872477</v>
      </c>
      <c r="AF553" s="2">
        <v>2951184.6557263685</v>
      </c>
      <c r="AG553" s="21">
        <f ca="1">AF553/AF$655</f>
        <v>2.450122328937825E-2</v>
      </c>
      <c r="AH553" s="22">
        <f ca="1">AG553*AH$685</f>
        <v>78255.909986486251</v>
      </c>
      <c r="AI553" s="2">
        <v>1683846.8067824806</v>
      </c>
      <c r="AJ553" s="21">
        <f ca="1">AI553/AI$655</f>
        <v>9.0939013023172231E-3</v>
      </c>
      <c r="AK553" s="22">
        <f ca="1">AJ553*AK$685</f>
        <v>29568.370482004066</v>
      </c>
      <c r="AL553" s="2">
        <v>23103140.844094142</v>
      </c>
    </row>
    <row r="554" spans="1:38" ht="12.75" x14ac:dyDescent="0.2">
      <c r="A554" s="8" t="s">
        <v>152</v>
      </c>
      <c r="B554" s="8" t="s">
        <v>17</v>
      </c>
      <c r="C554" s="8" t="s">
        <v>18</v>
      </c>
      <c r="D554" s="8" t="s">
        <v>159</v>
      </c>
      <c r="E554" s="8" t="s">
        <v>161</v>
      </c>
      <c r="F554" s="8" t="s">
        <v>38</v>
      </c>
      <c r="G554" s="8" t="s">
        <v>914</v>
      </c>
      <c r="H554" s="20">
        <v>0</v>
      </c>
      <c r="I554" s="21">
        <f>H554/H$656</f>
        <v>0</v>
      </c>
      <c r="J554" s="22">
        <f>I554*J$686</f>
        <v>0</v>
      </c>
      <c r="K554" s="2">
        <v>0</v>
      </c>
      <c r="L554" s="21">
        <f ca="1">K554/K$656</f>
        <v>0</v>
      </c>
      <c r="M554" s="22">
        <f ca="1">L554*M$686</f>
        <v>0</v>
      </c>
      <c r="N554" s="2">
        <v>0</v>
      </c>
      <c r="O554" s="21">
        <f ca="1">N554/N$656</f>
        <v>0</v>
      </c>
      <c r="P554" s="22">
        <f ca="1">O554*P$686</f>
        <v>0</v>
      </c>
      <c r="Q554" s="2">
        <v>0</v>
      </c>
      <c r="R554" s="21">
        <f ca="1">Q554/Q$656</f>
        <v>0</v>
      </c>
      <c r="S554" s="22">
        <f ca="1">R554*S$686</f>
        <v>0</v>
      </c>
      <c r="T554" s="2">
        <v>0</v>
      </c>
      <c r="U554" s="21">
        <f ca="1">T554/T$656</f>
        <v>0</v>
      </c>
      <c r="V554" s="22">
        <f ca="1">U554*V$686</f>
        <v>0</v>
      </c>
      <c r="W554" s="2">
        <v>0</v>
      </c>
      <c r="X554" s="21">
        <f ca="1">W554/W$656</f>
        <v>0</v>
      </c>
      <c r="Y554" s="22">
        <f ca="1">X554*Y$686</f>
        <v>0</v>
      </c>
      <c r="Z554" s="2">
        <v>0</v>
      </c>
      <c r="AA554" s="21">
        <f ca="1">Z554/Z$656</f>
        <v>0</v>
      </c>
      <c r="AB554" s="22">
        <f ca="1">AA554*AB$686</f>
        <v>0</v>
      </c>
      <c r="AC554" s="2">
        <v>0</v>
      </c>
      <c r="AD554" s="21">
        <f ca="1">AC554/AC$656</f>
        <v>0</v>
      </c>
      <c r="AE554" s="22">
        <f ca="1">AD554*AE$686</f>
        <v>0</v>
      </c>
      <c r="AF554" s="2">
        <v>0</v>
      </c>
      <c r="AG554" s="21">
        <f ca="1">AF554/AF$656</f>
        <v>0</v>
      </c>
      <c r="AH554" s="22">
        <f ca="1">AG554*AH$686</f>
        <v>0</v>
      </c>
      <c r="AI554" s="2">
        <v>0</v>
      </c>
      <c r="AJ554" s="21">
        <f ca="1">AI554/AI$656</f>
        <v>0</v>
      </c>
      <c r="AK554" s="22">
        <f ca="1">AJ554*AK$686</f>
        <v>0</v>
      </c>
      <c r="AL554" s="2">
        <v>0</v>
      </c>
    </row>
    <row r="555" spans="1:38" ht="12.75" x14ac:dyDescent="0.2">
      <c r="A555" s="8" t="s">
        <v>152</v>
      </c>
      <c r="B555" s="8" t="s">
        <v>17</v>
      </c>
      <c r="C555" s="8" t="s">
        <v>18</v>
      </c>
      <c r="D555" s="8" t="s">
        <v>159</v>
      </c>
      <c r="E555" s="8" t="s">
        <v>161</v>
      </c>
      <c r="F555" s="8" t="s">
        <v>27</v>
      </c>
      <c r="G555" s="8" t="s">
        <v>915</v>
      </c>
      <c r="H555" s="20">
        <v>251020.34456185653</v>
      </c>
      <c r="I555" s="21">
        <f>H555/H$657</f>
        <v>4.9216544368515212E-3</v>
      </c>
      <c r="J555" s="22">
        <f>I555*J$687</f>
        <v>51052.227962026533</v>
      </c>
      <c r="K555" s="2">
        <v>0</v>
      </c>
      <c r="L555" s="21">
        <f ca="1">K555/K$657</f>
        <v>0</v>
      </c>
      <c r="M555" s="22">
        <f ca="1">L555*M$687</f>
        <v>0</v>
      </c>
      <c r="N555" s="2">
        <v>0</v>
      </c>
      <c r="O555" s="21">
        <f ca="1">N555/N$657</f>
        <v>0</v>
      </c>
      <c r="P555" s="22">
        <f ca="1">O555*P$687</f>
        <v>0</v>
      </c>
      <c r="Q555" s="2">
        <v>61374.63092375359</v>
      </c>
      <c r="R555" s="21">
        <f ca="1">Q555/Q$657</f>
        <v>1.1112227102900974E-3</v>
      </c>
      <c r="S555" s="22">
        <f ca="1">R555*S$687</f>
        <v>18319.131353008976</v>
      </c>
      <c r="T555" s="2">
        <v>0</v>
      </c>
      <c r="U555" s="21">
        <f ca="1">T555/T$657</f>
        <v>0</v>
      </c>
      <c r="V555" s="22">
        <f ca="1">U555*V$687</f>
        <v>0</v>
      </c>
      <c r="W555" s="2">
        <v>0</v>
      </c>
      <c r="X555" s="21">
        <f ca="1">W555/W$657</f>
        <v>0</v>
      </c>
      <c r="Y555" s="22">
        <f ca="1">X555*Y$687</f>
        <v>0</v>
      </c>
      <c r="Z555" s="2">
        <v>0</v>
      </c>
      <c r="AA555" s="21">
        <f ca="1">Z555/Z$657</f>
        <v>0</v>
      </c>
      <c r="AB555" s="22">
        <f ca="1">AA555*AB$687</f>
        <v>0</v>
      </c>
      <c r="AC555" s="2">
        <v>328306.63368087873</v>
      </c>
      <c r="AD555" s="21">
        <f ca="1">AC555/AC$657</f>
        <v>5.977129999926287E-3</v>
      </c>
      <c r="AE555" s="22">
        <f ca="1">AD555*AE$687</f>
        <v>106449.67641144522</v>
      </c>
      <c r="AF555" s="2">
        <v>0</v>
      </c>
      <c r="AG555" s="21">
        <f ca="1">AF555/AF$657</f>
        <v>0</v>
      </c>
      <c r="AH555" s="22">
        <f ca="1">AG555*AH$687</f>
        <v>0</v>
      </c>
      <c r="AI555" s="2">
        <v>213128.72370096721</v>
      </c>
      <c r="AJ555" s="21">
        <f ca="1">AI555/AI$657</f>
        <v>3.8406181338908958E-3</v>
      </c>
      <c r="AK555" s="22">
        <f ca="1">AJ555*AK$687</f>
        <v>70884.0181317526</v>
      </c>
      <c r="AL555" s="2">
        <v>853830.33286745613</v>
      </c>
    </row>
    <row r="556" spans="1:38" ht="12.75" x14ac:dyDescent="0.2">
      <c r="A556" s="8" t="s">
        <v>152</v>
      </c>
      <c r="B556" s="8" t="s">
        <v>17</v>
      </c>
      <c r="C556" s="8" t="s">
        <v>18</v>
      </c>
      <c r="D556" s="8" t="s">
        <v>159</v>
      </c>
      <c r="E556" s="8" t="s">
        <v>161</v>
      </c>
      <c r="F556" s="8" t="s">
        <v>28</v>
      </c>
      <c r="G556" s="8" t="s">
        <v>916</v>
      </c>
      <c r="H556" s="20">
        <v>0</v>
      </c>
      <c r="I556" s="21">
        <f>H556/H$669</f>
        <v>0</v>
      </c>
      <c r="J556" s="22">
        <f>I556*J$699</f>
        <v>0</v>
      </c>
      <c r="K556" s="2">
        <v>5802.8749598736622</v>
      </c>
      <c r="L556" s="21">
        <f ca="1">K556/K$669</f>
        <v>7.9991573718520025E-4</v>
      </c>
      <c r="M556" s="22">
        <f ca="1">L556*M$699</f>
        <v>3791.3790175986487</v>
      </c>
      <c r="N556" s="2">
        <v>7975.292760774505</v>
      </c>
      <c r="O556" s="21">
        <f ca="1">N556/N$669</f>
        <v>2.8276733202811541E-4</v>
      </c>
      <c r="P556" s="22">
        <f ca="1">O556*P$699</f>
        <v>1375.0850373366495</v>
      </c>
      <c r="Q556" s="2">
        <v>0</v>
      </c>
      <c r="R556" s="21">
        <f ca="1">Q556/Q$669</f>
        <v>0</v>
      </c>
      <c r="S556" s="22">
        <f ca="1">R556*S$699</f>
        <v>0</v>
      </c>
      <c r="T556" s="2">
        <v>0</v>
      </c>
      <c r="U556" s="21">
        <f ca="1">T556/T$669</f>
        <v>0</v>
      </c>
      <c r="V556" s="22">
        <f ca="1">U556*V$699</f>
        <v>0</v>
      </c>
      <c r="W556" s="2">
        <v>0</v>
      </c>
      <c r="X556" s="21">
        <f ca="1">W556/W$669</f>
        <v>0</v>
      </c>
      <c r="Y556" s="22">
        <f ca="1">X556*Y$699</f>
        <v>0</v>
      </c>
      <c r="Z556" s="2">
        <v>4258.835122170839</v>
      </c>
      <c r="AA556" s="21">
        <f ca="1">Z556/Z$669</f>
        <v>1.4476351761223206E-4</v>
      </c>
      <c r="AB556" s="22">
        <f ca="1">AA556*AB$699</f>
        <v>763.49953234008854</v>
      </c>
      <c r="AC556" s="2">
        <v>246715.88703318834</v>
      </c>
      <c r="AD556" s="21">
        <f ca="1">AC556/AC$669</f>
        <v>7.8231400384377887E-3</v>
      </c>
      <c r="AE556" s="22">
        <f ca="1">AD556*AE$699</f>
        <v>42044.087934003321</v>
      </c>
      <c r="AF556" s="2">
        <v>0</v>
      </c>
      <c r="AG556" s="21">
        <f ca="1">AF556/AF$669</f>
        <v>0</v>
      </c>
      <c r="AH556" s="22">
        <f ca="1">AG556*AH$699</f>
        <v>0</v>
      </c>
      <c r="AI556" s="2">
        <v>0</v>
      </c>
      <c r="AJ556" s="21">
        <f ca="1">AI556/AI$669</f>
        <v>0</v>
      </c>
      <c r="AK556" s="22">
        <f ca="1">AJ556*AK$699</f>
        <v>0</v>
      </c>
      <c r="AL556" s="2">
        <v>264752.88987600734</v>
      </c>
    </row>
    <row r="557" spans="1:38" ht="12.75" x14ac:dyDescent="0.2">
      <c r="A557" s="8" t="s">
        <v>152</v>
      </c>
      <c r="B557" s="8" t="s">
        <v>17</v>
      </c>
      <c r="C557" s="8" t="s">
        <v>18</v>
      </c>
      <c r="D557" s="8" t="s">
        <v>159</v>
      </c>
      <c r="E557" s="8" t="s">
        <v>161</v>
      </c>
      <c r="F557" s="8" t="s">
        <v>30</v>
      </c>
      <c r="G557" s="8" t="s">
        <v>917</v>
      </c>
      <c r="H557" s="20">
        <v>2308776.5827983292</v>
      </c>
      <c r="I557" s="21">
        <f>H557/H$648</f>
        <v>3.49156457593039E-2</v>
      </c>
      <c r="J557" s="22">
        <f>I557*J$678</f>
        <v>2296907.7747182408</v>
      </c>
      <c r="K557" s="2">
        <v>2347395.028992699</v>
      </c>
      <c r="L557" s="21">
        <f ca="1">K557/K$648</f>
        <v>3.8704945848220748E-2</v>
      </c>
      <c r="M557" s="22">
        <f ca="1">L557*M$678</f>
        <v>2820178.1314513991</v>
      </c>
      <c r="N557" s="2">
        <v>3199742.4186820081</v>
      </c>
      <c r="O557" s="21">
        <f ca="1">N557/N$648</f>
        <v>0.26939216916970005</v>
      </c>
      <c r="P557" s="22">
        <f ca="1">O557*P$678</f>
        <v>20139208.794281855</v>
      </c>
      <c r="Q557" s="2">
        <v>2672649.7054190794</v>
      </c>
      <c r="R557" s="21">
        <f ca="1">Q557/Q$648</f>
        <v>0.16708026488727232</v>
      </c>
      <c r="S557" s="22">
        <f ca="1">R557*S$678</f>
        <v>12777862.958359431</v>
      </c>
      <c r="T557" s="2">
        <v>2030649.8293009263</v>
      </c>
      <c r="U557" s="21">
        <f ca="1">T557/T$648</f>
        <v>0.17917845324082216</v>
      </c>
      <c r="V557" s="22">
        <f ca="1">U557*V$678</f>
        <v>13990865.973199129</v>
      </c>
      <c r="W557" s="2">
        <v>2411029.1828405955</v>
      </c>
      <c r="X557" s="21">
        <f ca="1">W557/W$648</f>
        <v>7.1437997075206247E-2</v>
      </c>
      <c r="Y557" s="22">
        <f ca="1">X557*Y$678</f>
        <v>5689685.4107212303</v>
      </c>
      <c r="Z557" s="2">
        <v>5126431.624546567</v>
      </c>
      <c r="AA557" s="21">
        <f ca="1">Z557/Z$648</f>
        <v>0.34544475906291922</v>
      </c>
      <c r="AB557" s="22">
        <f ca="1">AA557*AB$678</f>
        <v>28008211.088478338</v>
      </c>
      <c r="AC557" s="2">
        <v>3183006.1240852918</v>
      </c>
      <c r="AD557" s="21">
        <f ca="1">AC557/AC$648</f>
        <v>0.24321405465918511</v>
      </c>
      <c r="AE557" s="22">
        <f ca="1">AD557*AE$678</f>
        <v>20094148.837074846</v>
      </c>
      <c r="AF557" s="2">
        <v>3955509.7144056759</v>
      </c>
      <c r="AG557" s="21">
        <f ca="1">AF557/AF$648</f>
        <v>0.28267076004425773</v>
      </c>
      <c r="AH557" s="22">
        <f ca="1">AG557*AH$678</f>
        <v>23774402.520919729</v>
      </c>
      <c r="AI557" s="2">
        <v>3702723.4539252943</v>
      </c>
      <c r="AJ557" s="21">
        <f ca="1">AI557/AI$648</f>
        <v>0.19573848117250242</v>
      </c>
      <c r="AK557" s="22">
        <f ca="1">AJ557*AK$678</f>
        <v>16759178.125191992</v>
      </c>
      <c r="AL557" s="2">
        <v>30937913.664996464</v>
      </c>
    </row>
    <row r="558" spans="1:38" ht="12.75" x14ac:dyDescent="0.2">
      <c r="A558" s="8" t="s">
        <v>152</v>
      </c>
      <c r="B558" s="8" t="s">
        <v>17</v>
      </c>
      <c r="C558" s="8" t="s">
        <v>18</v>
      </c>
      <c r="D558" s="8" t="s">
        <v>159</v>
      </c>
      <c r="E558" s="8" t="s">
        <v>161</v>
      </c>
      <c r="F558" s="8" t="s">
        <v>47</v>
      </c>
      <c r="G558" s="8" t="s">
        <v>918</v>
      </c>
      <c r="H558" s="20">
        <v>7387417.4327500202</v>
      </c>
      <c r="I558" s="21">
        <f>H558/H$658</f>
        <v>0.1573719749787415</v>
      </c>
      <c r="J558" s="22">
        <f>I558*J$688</f>
        <v>5021140.6064628977</v>
      </c>
      <c r="K558" s="2">
        <v>8711329.5399790164</v>
      </c>
      <c r="L558" s="21">
        <f ca="1">K558/K$658</f>
        <v>0.18472153448835082</v>
      </c>
      <c r="M558" s="22">
        <f ca="1">L558*M$688</f>
        <v>8680256.1274928916</v>
      </c>
      <c r="N558" s="2">
        <v>3890546.6460464844</v>
      </c>
      <c r="O558" s="21">
        <f ca="1">N558/N$658</f>
        <v>0.14374042209200749</v>
      </c>
      <c r="P558" s="22">
        <f ca="1">O558*P$688</f>
        <v>6930128.5240924256</v>
      </c>
      <c r="Q558" s="2">
        <v>3949095.0318059791</v>
      </c>
      <c r="R558" s="21">
        <f ca="1">Q558/Q$658</f>
        <v>0.12645845657648921</v>
      </c>
      <c r="S558" s="22">
        <f ca="1">R558*S$688</f>
        <v>6237145.6214469522</v>
      </c>
      <c r="T558" s="2">
        <v>3220886.6176636787</v>
      </c>
      <c r="U558" s="21">
        <f ca="1">T558/T$658</f>
        <v>0.11467379560764611</v>
      </c>
      <c r="V558" s="22">
        <f ca="1">U558*V$688</f>
        <v>5774680.1786111332</v>
      </c>
      <c r="W558" s="2">
        <v>3024858.1693604449</v>
      </c>
      <c r="X558" s="21">
        <f ca="1">W558/W$658</f>
        <v>0.11659763729949611</v>
      </c>
      <c r="Y558" s="22">
        <f ca="1">X558*Y$688</f>
        <v>5988991.1430828152</v>
      </c>
      <c r="Z558" s="2">
        <v>3293815.384089557</v>
      </c>
      <c r="AA558" s="21">
        <f ca="1">Z558/Z$658</f>
        <v>0.13101340187501131</v>
      </c>
      <c r="AB558" s="22">
        <f ca="1">AA558*AB$688</f>
        <v>6850581.263391044</v>
      </c>
      <c r="AC558" s="2">
        <v>4938636.9109461242</v>
      </c>
      <c r="AD558" s="21">
        <f ca="1">AC558/AC$658</f>
        <v>0.13515942713820944</v>
      </c>
      <c r="AE558" s="22">
        <f ca="1">AD558*AE$688</f>
        <v>7201653.5533066401</v>
      </c>
      <c r="AF558" s="2">
        <v>8435604.1917003393</v>
      </c>
      <c r="AG558" s="21">
        <f ca="1">AF558/AF$658</f>
        <v>0.17316197236120118</v>
      </c>
      <c r="AH558" s="22">
        <f ca="1">AG558*AH$688</f>
        <v>9392607.7234069146</v>
      </c>
      <c r="AI558" s="2">
        <v>7007737.3268668372</v>
      </c>
      <c r="AJ558" s="21">
        <f ca="1">AI558/AI$658</f>
        <v>0.1090677565435163</v>
      </c>
      <c r="AK558" s="22">
        <f ca="1">AJ558*AK$688</f>
        <v>6022514.0083820801</v>
      </c>
      <c r="AL558" s="2">
        <v>53859927.251208477</v>
      </c>
    </row>
    <row r="559" spans="1:38" ht="12.75" x14ac:dyDescent="0.2">
      <c r="A559" s="8" t="s">
        <v>152</v>
      </c>
      <c r="B559" s="8" t="s">
        <v>17</v>
      </c>
      <c r="C559" s="8" t="s">
        <v>18</v>
      </c>
      <c r="D559" s="8" t="s">
        <v>159</v>
      </c>
      <c r="E559" s="8" t="s">
        <v>161</v>
      </c>
      <c r="F559" s="8" t="s">
        <v>43</v>
      </c>
      <c r="G559" s="8" t="s">
        <v>919</v>
      </c>
      <c r="H559" s="20">
        <v>5468214.0139731914</v>
      </c>
      <c r="I559" s="21">
        <f>H559/H$659</f>
        <v>0.18717041975828522</v>
      </c>
      <c r="J559" s="22">
        <f>I559*J$689</f>
        <v>8778339.8536093552</v>
      </c>
      <c r="K559" s="2">
        <v>6085222.5717354603</v>
      </c>
      <c r="L559" s="21">
        <f ca="1">K559/K$659</f>
        <v>9.0704567475370937E-2</v>
      </c>
      <c r="M559" s="22">
        <f ca="1">L559*M$689</f>
        <v>4465691.1683866335</v>
      </c>
      <c r="N559" s="2">
        <v>7463714.496270448</v>
      </c>
      <c r="O559" s="21">
        <f ca="1">N559/N$659</f>
        <v>0.22118158632103438</v>
      </c>
      <c r="P559" s="22">
        <f ca="1">O559*P$689</f>
        <v>11172641.356475713</v>
      </c>
      <c r="Q559" s="2">
        <v>8320031.5186500931</v>
      </c>
      <c r="R559" s="21">
        <f ca="1">Q559/Q$659</f>
        <v>0.13591917610641252</v>
      </c>
      <c r="S559" s="22">
        <f ca="1">R559*S$689</f>
        <v>7023656.3843398811</v>
      </c>
      <c r="T559" s="2">
        <v>8086844.8758689854</v>
      </c>
      <c r="U559" s="21">
        <f ca="1">T559/T$659</f>
        <v>0.14164577866038158</v>
      </c>
      <c r="V559" s="22">
        <f ca="1">U559*V$689</f>
        <v>7473291.1387948785</v>
      </c>
      <c r="W559" s="2">
        <v>4653329.3927340796</v>
      </c>
      <c r="X559" s="21">
        <f ca="1">W559/W$659</f>
        <v>0.12314368915005053</v>
      </c>
      <c r="Y559" s="22">
        <f ca="1">X559*Y$689</f>
        <v>6627055.3389721336</v>
      </c>
      <c r="Z559" s="2">
        <v>8288693.7610564074</v>
      </c>
      <c r="AA559" s="21">
        <f ca="1">Z559/Z$659</f>
        <v>0.14014145397299577</v>
      </c>
      <c r="AB559" s="22">
        <f ca="1">AA559*AB$689</f>
        <v>7677553.1932454072</v>
      </c>
      <c r="AC559" s="2">
        <v>9251941.8080891035</v>
      </c>
      <c r="AD559" s="21">
        <f ca="1">AC559/AC$659</f>
        <v>0.49804382450072993</v>
      </c>
      <c r="AE559" s="22">
        <f ca="1">AD559*AE$689</f>
        <v>27803403.243505716</v>
      </c>
      <c r="AF559" s="2">
        <v>8358691.6083510229</v>
      </c>
      <c r="AG559" s="21">
        <f ca="1">AF559/AF$659</f>
        <v>7.7979489208023361E-2</v>
      </c>
      <c r="AH559" s="22">
        <f ca="1">AG559*AH$689</f>
        <v>4431579.6883335421</v>
      </c>
      <c r="AI559" s="2">
        <v>9159703.7033970244</v>
      </c>
      <c r="AJ559" s="21">
        <f ca="1">AI559/AI$659</f>
        <v>0.14432504570933685</v>
      </c>
      <c r="AK559" s="22">
        <f ca="1">AJ559*AK$689</f>
        <v>8349638.2275209446</v>
      </c>
      <c r="AL559" s="2">
        <v>75136387.750125811</v>
      </c>
    </row>
    <row r="560" spans="1:38" ht="12.75" x14ac:dyDescent="0.2">
      <c r="A560" s="8" t="s">
        <v>152</v>
      </c>
      <c r="B560" s="8" t="s">
        <v>17</v>
      </c>
      <c r="C560" s="8" t="s">
        <v>18</v>
      </c>
      <c r="D560" s="8" t="s">
        <v>159</v>
      </c>
      <c r="E560" s="8" t="s">
        <v>161</v>
      </c>
      <c r="F560" s="8" t="s">
        <v>145</v>
      </c>
      <c r="G560" s="8" t="s">
        <v>920</v>
      </c>
      <c r="H560" s="20">
        <v>-12815.249169736886</v>
      </c>
      <c r="I560" s="21">
        <f>H560/H$661</f>
        <v>-4.016037653044157E-3</v>
      </c>
      <c r="J560" s="22">
        <f>I560*J$691</f>
        <v>-6155.617857042309</v>
      </c>
      <c r="K560" s="2">
        <v>-73933.902329663077</v>
      </c>
      <c r="L560" s="21">
        <f ca="1">K560/K$661</f>
        <v>-2.5450722026905312E-3</v>
      </c>
      <c r="M560" s="22">
        <f ca="1">L560*M$691</f>
        <v>-4002.7852124313572</v>
      </c>
      <c r="N560" s="2">
        <v>-17099027.67910054</v>
      </c>
      <c r="O560" s="21">
        <f ca="1">N560/N$661</f>
        <v>0.3801942892122353</v>
      </c>
      <c r="P560" s="22">
        <f ca="1">O560*P$691</f>
        <v>613500.79232915456</v>
      </c>
      <c r="Q560" s="2">
        <v>-2737778.5485325097</v>
      </c>
      <c r="R560" s="21">
        <f ca="1">Q560/Q$661</f>
        <v>-0.16445654804743917</v>
      </c>
      <c r="S560" s="22">
        <f ca="1">R560*S$691</f>
        <v>-271479.0642005665</v>
      </c>
      <c r="T560" s="2">
        <v>-737189.00519731047</v>
      </c>
      <c r="U560" s="21">
        <f ca="1">T560/T$661</f>
        <v>-1.102879474453955</v>
      </c>
      <c r="V560" s="22">
        <f ca="1">U560*V$691</f>
        <v>-1858826.9908173298</v>
      </c>
      <c r="W560" s="2">
        <v>-416362.05091653945</v>
      </c>
      <c r="X560" s="21">
        <f ca="1">W560/W$661</f>
        <v>-0.18863270310663552</v>
      </c>
      <c r="Y560" s="22">
        <f ca="1">X560*Y$691</f>
        <v>-324285.90638013848</v>
      </c>
      <c r="Z560" s="2">
        <v>-469802.74941447069</v>
      </c>
      <c r="AA560" s="21">
        <f ca="1">Z560/Z$661</f>
        <v>-0.3968485949536148</v>
      </c>
      <c r="AB560" s="22">
        <f ca="1">AA560*AB$691</f>
        <v>-694518.32882897055</v>
      </c>
      <c r="AC560" s="2">
        <v>-179546.81591040496</v>
      </c>
      <c r="AD560" s="21">
        <f ca="1">AC560/AC$661</f>
        <v>1</v>
      </c>
      <c r="AE560" s="22">
        <f ca="1">AD560*AE$691</f>
        <v>1783335.48</v>
      </c>
      <c r="AF560" s="2">
        <v>-177877.16803358318</v>
      </c>
      <c r="AG560" s="21">
        <f ca="1">AF560/AF$661</f>
        <v>1</v>
      </c>
      <c r="AH560" s="22">
        <f ca="1">AG560*AH$691</f>
        <v>1815435.52</v>
      </c>
      <c r="AI560" s="2">
        <v>-30985.593427796124</v>
      </c>
      <c r="AJ560" s="21">
        <f ca="1">AI560/AI$661</f>
        <v>-2.8682933475313855E-2</v>
      </c>
      <c r="AK560" s="22">
        <f ca="1">AJ560*AK$691</f>
        <v>-53009.312559718768</v>
      </c>
      <c r="AL560" s="2">
        <v>-21935318.762032554</v>
      </c>
    </row>
    <row r="561" spans="1:38" ht="12.75" x14ac:dyDescent="0.2">
      <c r="A561" s="8" t="s">
        <v>152</v>
      </c>
      <c r="B561" s="8" t="s">
        <v>17</v>
      </c>
      <c r="C561" s="8" t="s">
        <v>18</v>
      </c>
      <c r="D561" s="8" t="s">
        <v>159</v>
      </c>
      <c r="E561" s="8" t="s">
        <v>161</v>
      </c>
      <c r="F561" s="8" t="s">
        <v>139</v>
      </c>
      <c r="G561" s="8" t="s">
        <v>921</v>
      </c>
      <c r="H561" s="20">
        <v>339353.12228825688</v>
      </c>
      <c r="I561" s="21">
        <f>H561/H$662</f>
        <v>5.4196578503808844E-2</v>
      </c>
      <c r="J561" s="22">
        <f>I561*J$692</f>
        <v>173980.88077451408</v>
      </c>
      <c r="K561" s="2">
        <v>347223.01536546258</v>
      </c>
      <c r="L561" s="21">
        <f ca="1">K561/K$662</f>
        <v>5.9616312117403987E-2</v>
      </c>
      <c r="M561" s="22">
        <f ca="1">L561*M$692</f>
        <v>163810.18507378775</v>
      </c>
      <c r="N561" s="2">
        <v>367142.64211871818</v>
      </c>
      <c r="O561" s="21">
        <f ca="1">N561/N$662</f>
        <v>6.790173914794051E-2</v>
      </c>
      <c r="P561" s="22">
        <f ca="1">O561*P$692</f>
        <v>191427.37910803879</v>
      </c>
      <c r="Q561" s="2">
        <v>377805.43449705205</v>
      </c>
      <c r="R561" s="21">
        <f ca="1">Q561/Q$662</f>
        <v>6.7592133089971973E-2</v>
      </c>
      <c r="S561" s="22">
        <f ca="1">R561*S$692</f>
        <v>194937.29754292147</v>
      </c>
      <c r="T561" s="2">
        <v>397000.35813528014</v>
      </c>
      <c r="U561" s="21">
        <f ca="1">T561/T$662</f>
        <v>0.10161068796475449</v>
      </c>
      <c r="V561" s="22">
        <f ca="1">U561*V$692</f>
        <v>299201.60737222614</v>
      </c>
      <c r="W561" s="2">
        <v>408515.26768407883</v>
      </c>
      <c r="X561" s="21">
        <f ca="1">W561/W$662</f>
        <v>0.10222222831707729</v>
      </c>
      <c r="Y561" s="22">
        <f ca="1">X561*Y$692</f>
        <v>307022.38866132911</v>
      </c>
      <c r="Z561" s="2">
        <v>419548.57482601336</v>
      </c>
      <c r="AA561" s="21">
        <f ca="1">Z561/Z$662</f>
        <v>9.8494335572756594E-2</v>
      </c>
      <c r="AB561" s="22">
        <f ca="1">AA561*AB$692</f>
        <v>301150.60126387142</v>
      </c>
      <c r="AC561" s="2">
        <v>426753.77668708004</v>
      </c>
      <c r="AD561" s="21">
        <f ca="1">AC561/AC$662</f>
        <v>0.10976887985819891</v>
      </c>
      <c r="AE561" s="22">
        <f ca="1">AD561*AE$692</f>
        <v>341999.83534677146</v>
      </c>
      <c r="AF561" s="2">
        <v>361613.85848705971</v>
      </c>
      <c r="AG561" s="21">
        <f ca="1">AF561/AF$662</f>
        <v>0.10058479707260162</v>
      </c>
      <c r="AH561" s="22">
        <f ca="1">AG561*AH$692</f>
        <v>319026.51986935252</v>
      </c>
      <c r="AI561" s="2">
        <v>404439.49694830074</v>
      </c>
      <c r="AJ561" s="21">
        <f ca="1">AI561/AI$662</f>
        <v>7.7578811950968912E-2</v>
      </c>
      <c r="AK561" s="22">
        <f ca="1">AJ561*AK$692</f>
        <v>250487.08865778404</v>
      </c>
      <c r="AL561" s="2">
        <v>3849395.547037303</v>
      </c>
    </row>
    <row r="562" spans="1:38" ht="12.75" x14ac:dyDescent="0.2">
      <c r="A562" s="8" t="s">
        <v>152</v>
      </c>
      <c r="B562" s="8" t="s">
        <v>17</v>
      </c>
      <c r="C562" s="8" t="s">
        <v>18</v>
      </c>
      <c r="D562" s="8" t="s">
        <v>159</v>
      </c>
      <c r="E562" s="8" t="s">
        <v>161</v>
      </c>
      <c r="F562" s="8" t="s">
        <v>48</v>
      </c>
      <c r="G562" s="8" t="s">
        <v>922</v>
      </c>
      <c r="H562" s="20">
        <v>6899624.4602096817</v>
      </c>
      <c r="I562" s="21">
        <f>H562/H$663</f>
        <v>0.47767565179134919</v>
      </c>
      <c r="J562" s="22">
        <f>I562*J$693</f>
        <v>9634188.6320093274</v>
      </c>
      <c r="K562" s="2">
        <v>7306347.1085682027</v>
      </c>
      <c r="L562" s="21">
        <f ca="1">K562/K$663</f>
        <v>0.48262367008746349</v>
      </c>
      <c r="M562" s="22">
        <f ca="1">L562*M$693</f>
        <v>11030558.477188023</v>
      </c>
      <c r="N562" s="2">
        <v>7835725.1374609517</v>
      </c>
      <c r="O562" s="21">
        <f ca="1">N562/N$663</f>
        <v>0.42766324467362804</v>
      </c>
      <c r="P562" s="22">
        <f ca="1">O562*P$693</f>
        <v>10028550.617096586</v>
      </c>
      <c r="Q562" s="2">
        <v>8299391.5502663143</v>
      </c>
      <c r="R562" s="21">
        <f ca="1">Q562/Q$663</f>
        <v>0.38112385280664396</v>
      </c>
      <c r="S562" s="22">
        <f ca="1">R562*S$693</f>
        <v>9142774.4948354699</v>
      </c>
      <c r="T562" s="2">
        <v>8044975.6654141266</v>
      </c>
      <c r="U562" s="21">
        <f ca="1">T562/T$663</f>
        <v>0.37960821623771029</v>
      </c>
      <c r="V562" s="22">
        <f ca="1">U562*V$693</f>
        <v>9297650.6453007963</v>
      </c>
      <c r="W562" s="2">
        <v>8380620.7684482941</v>
      </c>
      <c r="X562" s="21">
        <f ca="1">W562/W$663</f>
        <v>0.37430659989888826</v>
      </c>
      <c r="Y562" s="22">
        <f ca="1">X562*Y$693</f>
        <v>9351155.4501086958</v>
      </c>
      <c r="Z562" s="2">
        <v>9795320.7809929308</v>
      </c>
      <c r="AA562" s="21">
        <f ca="1">Z562/Z$663</f>
        <v>0.38593439320087969</v>
      </c>
      <c r="AB562" s="22">
        <f ca="1">AA562*AB$693</f>
        <v>9815197.7283245046</v>
      </c>
      <c r="AC562" s="2">
        <v>79211.830548708065</v>
      </c>
      <c r="AD562" s="21">
        <f ca="1">AC562/AC$663</f>
        <v>5.2359952799621119E-3</v>
      </c>
      <c r="AE562" s="22">
        <f ca="1">AD562*AE$693</f>
        <v>135693.48615285262</v>
      </c>
      <c r="AF562" s="2">
        <v>10875357.736759149</v>
      </c>
      <c r="AG562" s="21">
        <f ca="1">AF562/AF$663</f>
        <v>0.40923235120414048</v>
      </c>
      <c r="AH562" s="22">
        <f ca="1">AG562*AH$693</f>
        <v>10796363.310157623</v>
      </c>
      <c r="AI562" s="2">
        <v>9886986.4362526126</v>
      </c>
      <c r="AJ562" s="21">
        <f ca="1">AI562/AI$663</f>
        <v>0.4120051219112183</v>
      </c>
      <c r="AK562" s="22">
        <f ca="1">AJ562*AK$693</f>
        <v>11065165.777796134</v>
      </c>
      <c r="AL562" s="2">
        <v>77403561.474920973</v>
      </c>
    </row>
    <row r="563" spans="1:38" ht="12.75" x14ac:dyDescent="0.2">
      <c r="A563" s="8" t="s">
        <v>152</v>
      </c>
      <c r="B563" s="8" t="s">
        <v>17</v>
      </c>
      <c r="C563" s="8" t="s">
        <v>18</v>
      </c>
      <c r="D563" s="8" t="s">
        <v>159</v>
      </c>
      <c r="E563" s="8" t="s">
        <v>161</v>
      </c>
      <c r="F563" s="8" t="s">
        <v>146</v>
      </c>
      <c r="G563" s="8" t="s">
        <v>923</v>
      </c>
      <c r="H563" s="20">
        <v>3699247.1830168329</v>
      </c>
      <c r="I563" s="21">
        <f>H563/H$664</f>
        <v>0.12239708394193098</v>
      </c>
      <c r="J563" s="22">
        <f>I563*J$694</f>
        <v>7966456.5545867831</v>
      </c>
      <c r="K563" s="2">
        <v>527534.08726124209</v>
      </c>
      <c r="L563" s="21">
        <f ca="1">K563/K$664</f>
        <v>1.8675912773669423E-2</v>
      </c>
      <c r="M563" s="22">
        <f ca="1">L563*M$694</f>
        <v>791137.38182452612</v>
      </c>
      <c r="N563" s="2">
        <v>0</v>
      </c>
      <c r="O563" s="21">
        <f ca="1">N563/N$664</f>
        <v>0</v>
      </c>
      <c r="P563" s="22">
        <f ca="1">O563*P$694</f>
        <v>0</v>
      </c>
      <c r="Q563" s="2">
        <v>0</v>
      </c>
      <c r="R563" s="21">
        <f ca="1">Q563/Q$664</f>
        <v>0</v>
      </c>
      <c r="S563" s="22">
        <f ca="1">R563*S$694</f>
        <v>0</v>
      </c>
      <c r="T563" s="2">
        <v>0</v>
      </c>
      <c r="U563" s="21">
        <f ca="1">T563/T$664</f>
        <v>0</v>
      </c>
      <c r="V563" s="22">
        <f ca="1">U563*V$694</f>
        <v>0</v>
      </c>
      <c r="W563" s="2">
        <v>0</v>
      </c>
      <c r="X563" s="21">
        <f ca="1">W563/W$664</f>
        <v>0</v>
      </c>
      <c r="Y563" s="22">
        <f ca="1">X563*Y$694</f>
        <v>0</v>
      </c>
      <c r="Z563" s="2">
        <v>0</v>
      </c>
      <c r="AA563" s="21">
        <f ca="1">Z563/Z$664</f>
        <v>0</v>
      </c>
      <c r="AB563" s="22">
        <f ca="1">AA563*AB$694</f>
        <v>0</v>
      </c>
      <c r="AC563" s="2">
        <v>0</v>
      </c>
      <c r="AD563" s="21">
        <f ca="1">AC563/AC$664</f>
        <v>0</v>
      </c>
      <c r="AE563" s="22">
        <f ca="1">AD563*AE$694</f>
        <v>0</v>
      </c>
      <c r="AF563" s="2">
        <v>0</v>
      </c>
      <c r="AG563" s="21">
        <f ca="1">AF563/AF$664</f>
        <v>0</v>
      </c>
      <c r="AH563" s="22">
        <f ca="1">AG563*AH$694</f>
        <v>0</v>
      </c>
      <c r="AI563" s="2">
        <v>0</v>
      </c>
      <c r="AJ563" s="21">
        <f ca="1">AI563/AI$664</f>
        <v>0</v>
      </c>
      <c r="AK563" s="22">
        <f ca="1">AJ563*AK$694</f>
        <v>0</v>
      </c>
      <c r="AL563" s="2">
        <v>4226781.2702780748</v>
      </c>
    </row>
    <row r="564" spans="1:38" ht="12.75" x14ac:dyDescent="0.2">
      <c r="A564" s="8" t="s">
        <v>152</v>
      </c>
      <c r="B564" s="8" t="s">
        <v>17</v>
      </c>
      <c r="C564" s="8" t="s">
        <v>18</v>
      </c>
      <c r="D564" s="8" t="s">
        <v>159</v>
      </c>
      <c r="E564" s="8" t="s">
        <v>161</v>
      </c>
      <c r="F564" s="8" t="s">
        <v>34</v>
      </c>
      <c r="G564" s="8" t="s">
        <v>924</v>
      </c>
      <c r="H564" s="20">
        <v>81284.351048253797</v>
      </c>
      <c r="I564" s="21">
        <f>H564/H$653</f>
        <v>3.6329468117943568E-2</v>
      </c>
      <c r="J564" s="22">
        <f>I564*J$683</f>
        <v>76552.220016214676</v>
      </c>
      <c r="K564" s="2">
        <v>189318.79556587824</v>
      </c>
      <c r="L564" s="21">
        <f ca="1">K564/K$653</f>
        <v>5.6768111605886414E-2</v>
      </c>
      <c r="M564" s="22">
        <f ca="1">L564*M$683</f>
        <v>87463.991985867746</v>
      </c>
      <c r="N564" s="2">
        <v>50576.648257911656</v>
      </c>
      <c r="O564" s="21">
        <f ca="1">N564/N$653</f>
        <v>4.5286443578225685E-3</v>
      </c>
      <c r="P564" s="22">
        <f ca="1">O564*P$683</f>
        <v>7158.803198735849</v>
      </c>
      <c r="Q564" s="2">
        <v>0</v>
      </c>
      <c r="R564" s="21">
        <f ca="1">Q564/Q$653</f>
        <v>0</v>
      </c>
      <c r="S564" s="22">
        <f ca="1">R564*S$683</f>
        <v>0</v>
      </c>
      <c r="T564" s="2">
        <v>8714.0548168703808</v>
      </c>
      <c r="U564" s="21">
        <f ca="1">T564/T$653</f>
        <v>6.6080506230126374E-4</v>
      </c>
      <c r="V564" s="22">
        <f ca="1">U564*V$683</f>
        <v>1091.0557604016158</v>
      </c>
      <c r="W564" s="2">
        <v>0</v>
      </c>
      <c r="X564" s="21">
        <f ca="1">W564/W$653</f>
        <v>0</v>
      </c>
      <c r="Y564" s="22">
        <f ca="1">X564*Y$683</f>
        <v>0</v>
      </c>
      <c r="Z564" s="2">
        <v>0</v>
      </c>
      <c r="AA564" s="21">
        <f ca="1">Z564/Z$653</f>
        <v>0</v>
      </c>
      <c r="AB564" s="22">
        <f ca="1">AA564*AB$683</f>
        <v>0</v>
      </c>
      <c r="AC564" s="2">
        <v>8614.2865721720027</v>
      </c>
      <c r="AD564" s="21">
        <f ca="1">AC564/AC$653</f>
        <v>6.6360333149433049E-4</v>
      </c>
      <c r="AE564" s="22">
        <f ca="1">AD564*AE$683</f>
        <v>1159.322532110308</v>
      </c>
      <c r="AF564" s="2">
        <v>128012.70456828643</v>
      </c>
      <c r="AG564" s="21">
        <f ca="1">AF564/AF$653</f>
        <v>1.070609565967252E-2</v>
      </c>
      <c r="AH564" s="22">
        <f ca="1">AG564*AH$683</f>
        <v>19040.336335783955</v>
      </c>
      <c r="AI564" s="2">
        <v>0</v>
      </c>
      <c r="AJ564" s="21">
        <f ca="1">AI564/AI$653</f>
        <v>0</v>
      </c>
      <c r="AK564" s="22">
        <f ca="1">AJ564*AK$683</f>
        <v>0</v>
      </c>
      <c r="AL564" s="2">
        <v>466520.84082937252</v>
      </c>
    </row>
    <row r="565" spans="1:38" ht="12.75" x14ac:dyDescent="0.2">
      <c r="A565" s="8" t="s">
        <v>152</v>
      </c>
      <c r="B565" s="8" t="s">
        <v>17</v>
      </c>
      <c r="C565" s="8" t="s">
        <v>18</v>
      </c>
      <c r="D565" s="8" t="s">
        <v>159</v>
      </c>
      <c r="E565" s="8" t="s">
        <v>161</v>
      </c>
      <c r="F565" s="8" t="s">
        <v>49</v>
      </c>
      <c r="G565" s="8" t="s">
        <v>925</v>
      </c>
      <c r="H565" s="20">
        <v>0</v>
      </c>
      <c r="I565" s="21">
        <f>H565/H$644</f>
        <v>0</v>
      </c>
      <c r="J565" s="22">
        <f>I565*J$674</f>
        <v>0</v>
      </c>
      <c r="K565" s="2">
        <v>0</v>
      </c>
      <c r="L565" s="21">
        <f>K565/K$644</f>
        <v>0</v>
      </c>
      <c r="M565" s="22">
        <f>L565*M$674</f>
        <v>0</v>
      </c>
      <c r="N565" s="2">
        <v>0</v>
      </c>
      <c r="O565" s="21">
        <f>N565/N$644</f>
        <v>0</v>
      </c>
      <c r="P565" s="22">
        <f>O565*P$674</f>
        <v>0</v>
      </c>
      <c r="Q565" s="2">
        <v>0</v>
      </c>
      <c r="R565" s="21">
        <f>Q565/Q$644</f>
        <v>0</v>
      </c>
      <c r="S565" s="22">
        <f>R565*S$674</f>
        <v>0</v>
      </c>
      <c r="T565" s="2">
        <v>0</v>
      </c>
      <c r="U565" s="21">
        <f>T565/T$644</f>
        <v>0</v>
      </c>
      <c r="V565" s="22">
        <f>U565*V$674</f>
        <v>0</v>
      </c>
      <c r="W565" s="2">
        <v>0</v>
      </c>
      <c r="X565" s="21">
        <f>W565/W$644</f>
        <v>0</v>
      </c>
      <c r="Y565" s="22">
        <f>X565*Y$674</f>
        <v>0</v>
      </c>
      <c r="Z565" s="2">
        <v>0</v>
      </c>
      <c r="AA565" s="21">
        <f>Z565/Z$644</f>
        <v>0</v>
      </c>
      <c r="AB565" s="22">
        <f>AA565*AB$674</f>
        <v>0</v>
      </c>
      <c r="AC565" s="2">
        <v>0</v>
      </c>
      <c r="AD565" s="21">
        <f>AC565/AC$644</f>
        <v>0</v>
      </c>
      <c r="AE565" s="22">
        <f>AD565*AE$674</f>
        <v>0</v>
      </c>
      <c r="AF565" s="2">
        <v>7755967.6944055017</v>
      </c>
      <c r="AG565" s="21">
        <f>AF565/AF$644</f>
        <v>0.24029359279070089</v>
      </c>
      <c r="AH565" s="22">
        <f>AG565*AH$674</f>
        <v>6099817.8614389598</v>
      </c>
      <c r="AI565" s="2">
        <v>15312047.418902585</v>
      </c>
      <c r="AJ565" s="21">
        <f>AI565/AI$644</f>
        <v>0.42366051549491346</v>
      </c>
      <c r="AK565" s="22">
        <f>AJ565*AK$674</f>
        <v>10948142.581748653</v>
      </c>
      <c r="AL565" s="2">
        <v>23068015.113308087</v>
      </c>
    </row>
    <row r="566" spans="1:38" ht="12.75" x14ac:dyDescent="0.2">
      <c r="A566" s="8" t="s">
        <v>152</v>
      </c>
      <c r="B566" s="8" t="s">
        <v>17</v>
      </c>
      <c r="C566" s="8" t="s">
        <v>18</v>
      </c>
      <c r="D566" s="8" t="s">
        <v>159</v>
      </c>
      <c r="E566" s="8" t="s">
        <v>162</v>
      </c>
      <c r="F566" s="8" t="s">
        <v>24</v>
      </c>
      <c r="G566" s="8" t="s">
        <v>926</v>
      </c>
      <c r="H566" s="20">
        <v>317078.3299728714</v>
      </c>
      <c r="I566" s="21">
        <f>H566/H$646</f>
        <v>3.8616710320602851E-3</v>
      </c>
      <c r="J566" s="22">
        <f>I566*J$676</f>
        <v>8308.9258594221919</v>
      </c>
      <c r="K566" s="2">
        <v>0</v>
      </c>
      <c r="L566" s="21">
        <f ca="1">K566/K$646</f>
        <v>0</v>
      </c>
      <c r="M566" s="22">
        <f ca="1">L566*M$676</f>
        <v>0</v>
      </c>
      <c r="N566" s="2">
        <v>16482.271705600644</v>
      </c>
      <c r="O566" s="21">
        <f ca="1">N566/N$646</f>
        <v>1.7583001097129993E-4</v>
      </c>
      <c r="P566" s="22">
        <f ca="1">O566*P$676</f>
        <v>2987.1939295120296</v>
      </c>
      <c r="Q566" s="2">
        <v>34822.621889229289</v>
      </c>
      <c r="R566" s="21">
        <f ca="1">Q566/Q$646</f>
        <v>3.1308958201909639E-4</v>
      </c>
      <c r="S566" s="22">
        <f ca="1">R566*S$676</f>
        <v>5441.4502788823829</v>
      </c>
      <c r="T566" s="2">
        <v>116855.14122239975</v>
      </c>
      <c r="U566" s="21">
        <f ca="1">T566/T$646</f>
        <v>1.3928389290246257E-3</v>
      </c>
      <c r="V566" s="22">
        <f ca="1">U566*V$676</f>
        <v>24715.687018320354</v>
      </c>
      <c r="W566" s="2">
        <v>35364.084452847099</v>
      </c>
      <c r="X566" s="21">
        <f ca="1">W566/W$646</f>
        <v>4.0459167046097237E-4</v>
      </c>
      <c r="Y566" s="22">
        <f ca="1">X566*Y$676</f>
        <v>7322.9977339251373</v>
      </c>
      <c r="Z566" s="2">
        <v>0</v>
      </c>
      <c r="AA566" s="21">
        <f ca="1">Z566/Z$646</f>
        <v>0</v>
      </c>
      <c r="AB566" s="22">
        <f ca="1">AA566*AB$676</f>
        <v>0</v>
      </c>
      <c r="AC566" s="2">
        <v>284634.51110502431</v>
      </c>
      <c r="AD566" s="21">
        <f ca="1">AC566/AC$646</f>
        <v>2.7356653701583258E-3</v>
      </c>
      <c r="AE566" s="22">
        <f ca="1">AD566*AE$676</f>
        <v>51363.770542019061</v>
      </c>
      <c r="AF566" s="2">
        <v>367591.01526351878</v>
      </c>
      <c r="AG566" s="21">
        <f ca="1">AF566/AF$646</f>
        <v>3.904987253364895E-3</v>
      </c>
      <c r="AH566" s="22">
        <f ca="1">AG566*AH$676</f>
        <v>74638.228472358838</v>
      </c>
      <c r="AI566" s="2">
        <v>144147.56275889321</v>
      </c>
      <c r="AJ566" s="21">
        <f ca="1">AI566/AI$646</f>
        <v>1.1667254215734519E-3</v>
      </c>
      <c r="AK566" s="22">
        <f ca="1">AJ566*AK$676</f>
        <v>22701.687495024798</v>
      </c>
      <c r="AL566" s="2">
        <v>1316975.5383703844</v>
      </c>
    </row>
    <row r="567" spans="1:38" ht="12.75" x14ac:dyDescent="0.2">
      <c r="A567" s="8" t="s">
        <v>152</v>
      </c>
      <c r="B567" s="8" t="s">
        <v>17</v>
      </c>
      <c r="C567" s="8" t="s">
        <v>18</v>
      </c>
      <c r="D567" s="8" t="s">
        <v>159</v>
      </c>
      <c r="E567" s="8" t="s">
        <v>162</v>
      </c>
      <c r="F567" s="23" t="s">
        <v>37</v>
      </c>
      <c r="G567" s="8" t="s">
        <v>927</v>
      </c>
      <c r="H567" s="20">
        <v>0</v>
      </c>
      <c r="I567" s="21">
        <f>H567/H$649</f>
        <v>0</v>
      </c>
      <c r="J567" s="22">
        <f>I567*J$679</f>
        <v>0</v>
      </c>
      <c r="K567" s="2">
        <v>0</v>
      </c>
      <c r="L567" s="21">
        <f ca="1">K567/K$649</f>
        <v>0</v>
      </c>
      <c r="M567" s="22">
        <f ca="1">L567*M$679</f>
        <v>0</v>
      </c>
      <c r="N567" s="2">
        <v>0</v>
      </c>
      <c r="O567" s="21">
        <f ca="1">N567/N$649</f>
        <v>0</v>
      </c>
      <c r="P567" s="22">
        <f ca="1">O567*P$679</f>
        <v>0</v>
      </c>
      <c r="Q567" s="2">
        <v>0</v>
      </c>
      <c r="R567" s="21">
        <f ca="1">Q567/Q$649</f>
        <v>0</v>
      </c>
      <c r="S567" s="22">
        <f ca="1">R567*S$679</f>
        <v>0</v>
      </c>
      <c r="T567" s="2">
        <v>160258.47939071964</v>
      </c>
      <c r="U567" s="21">
        <f ca="1">T567/T$649</f>
        <v>2.0621592081354087E-3</v>
      </c>
      <c r="V567" s="22">
        <f ca="1">U567*V$679</f>
        <v>533533.68504281109</v>
      </c>
      <c r="W567" s="2">
        <v>0</v>
      </c>
      <c r="X567" s="21">
        <f ca="1">W567/W$649</f>
        <v>0</v>
      </c>
      <c r="Y567" s="22">
        <f ca="1">X567*Y$679</f>
        <v>0</v>
      </c>
      <c r="Z567" s="2">
        <v>79853.15854070324</v>
      </c>
      <c r="AA567" s="21">
        <f ca="1">Z567/Z$649</f>
        <v>8.2676969411021135E-4</v>
      </c>
      <c r="AB567" s="22">
        <f ca="1">AA567*AB$679</f>
        <v>222112.06558990071</v>
      </c>
      <c r="AC567" s="2">
        <v>0</v>
      </c>
      <c r="AD567" s="21">
        <f ca="1">AC567/AC$649</f>
        <v>0</v>
      </c>
      <c r="AE567" s="22">
        <f ca="1">AD567*AE$679</f>
        <v>0</v>
      </c>
      <c r="AF567" s="2">
        <v>0</v>
      </c>
      <c r="AG567" s="21">
        <f ca="1">AF567/AF$649</f>
        <v>0</v>
      </c>
      <c r="AH567" s="22">
        <f ca="1">AG567*AH$679</f>
        <v>0</v>
      </c>
      <c r="AI567" s="2">
        <v>0</v>
      </c>
      <c r="AJ567" s="21">
        <f ca="1">AI567/AI$649</f>
        <v>0</v>
      </c>
      <c r="AK567" s="22">
        <f ca="1">AJ567*AK$679</f>
        <v>0</v>
      </c>
      <c r="AL567" s="2">
        <v>240111.63793142288</v>
      </c>
    </row>
    <row r="568" spans="1:38" ht="12.75" x14ac:dyDescent="0.2">
      <c r="A568" s="8" t="s">
        <v>152</v>
      </c>
      <c r="B568" s="8" t="s">
        <v>17</v>
      </c>
      <c r="C568" s="8" t="s">
        <v>18</v>
      </c>
      <c r="D568" s="8" t="s">
        <v>159</v>
      </c>
      <c r="E568" s="8" t="s">
        <v>162</v>
      </c>
      <c r="F568" s="8" t="s">
        <v>25</v>
      </c>
      <c r="G568" s="8" t="s">
        <v>928</v>
      </c>
      <c r="H568" s="20">
        <v>1403831.3165969739</v>
      </c>
      <c r="I568" s="21">
        <f>H568/H$652</f>
        <v>0.10063165717502492</v>
      </c>
      <c r="J568" s="22">
        <f>I568*J$682</f>
        <v>7242914.6181870317</v>
      </c>
      <c r="K568" s="2">
        <v>2175899.1967669288</v>
      </c>
      <c r="L568" s="21">
        <f ca="1">K568/K$652</f>
        <v>9.6856677623194443E-2</v>
      </c>
      <c r="M568" s="22">
        <f ca="1">L568*M$682</f>
        <v>3493436.6247511725</v>
      </c>
      <c r="N568" s="2">
        <v>1539198.7775448509</v>
      </c>
      <c r="O568" s="21">
        <f ca="1">N568/N$652</f>
        <v>3.0842828349857757E-2</v>
      </c>
      <c r="P568" s="22">
        <f ca="1">O568*P$682</f>
        <v>1141365.8098487591</v>
      </c>
      <c r="Q568" s="2">
        <v>1264174.2213511562</v>
      </c>
      <c r="R568" s="21">
        <f ca="1">Q568/Q$652</f>
        <v>2.546965119166265E-2</v>
      </c>
      <c r="S568" s="22">
        <f ca="1">R568*S$682</f>
        <v>964204.80853161402</v>
      </c>
      <c r="T568" s="2">
        <v>269768.44030771143</v>
      </c>
      <c r="U568" s="21">
        <f ca="1">T568/T$652</f>
        <v>6.1486065293750412E-3</v>
      </c>
      <c r="V568" s="22">
        <f ca="1">U568*V$682</f>
        <v>237655.97621909901</v>
      </c>
      <c r="W568" s="2">
        <v>971618.83885089087</v>
      </c>
      <c r="X568" s="21">
        <f ca="1">W568/W$652</f>
        <v>2.1091112759538722E-2</v>
      </c>
      <c r="Y568" s="22">
        <f ca="1">X568*Y$682</f>
        <v>831518.09242329001</v>
      </c>
      <c r="Z568" s="2">
        <v>1991311.0841969014</v>
      </c>
      <c r="AA568" s="21">
        <f ca="1">Z568/Z$652</f>
        <v>4.3099113683666646E-2</v>
      </c>
      <c r="AB568" s="22">
        <f ca="1">AA568*AB$682</f>
        <v>1729769.8647835944</v>
      </c>
      <c r="AC568" s="2">
        <v>880307.47683130903</v>
      </c>
      <c r="AD568" s="21">
        <f ca="1">AC568/AC$652</f>
        <v>1.4131637884565843E-2</v>
      </c>
      <c r="AE568" s="22">
        <f ca="1">AD568*AE$682</f>
        <v>577945.21438413335</v>
      </c>
      <c r="AF568" s="2">
        <v>65396.017659405581</v>
      </c>
      <c r="AG568" s="21">
        <f ca="1">AF568/AF$652</f>
        <v>9.7705836055639685E-4</v>
      </c>
      <c r="AH568" s="22">
        <f ca="1">AG568*AH$682</f>
        <v>40678.268153303208</v>
      </c>
      <c r="AI568" s="2">
        <v>1019942.4503316224</v>
      </c>
      <c r="AJ568" s="21">
        <f ca="1">AI568/AI$652</f>
        <v>1.361629820351782E-2</v>
      </c>
      <c r="AK568" s="22">
        <f ca="1">AJ568*AK$682</f>
        <v>577096.95351974445</v>
      </c>
      <c r="AL568" s="2">
        <v>11581447.820437752</v>
      </c>
    </row>
    <row r="569" spans="1:38" ht="12.75" x14ac:dyDescent="0.2">
      <c r="A569" s="8" t="s">
        <v>152</v>
      </c>
      <c r="B569" s="8" t="s">
        <v>17</v>
      </c>
      <c r="C569" s="8" t="s">
        <v>18</v>
      </c>
      <c r="D569" s="8" t="s">
        <v>159</v>
      </c>
      <c r="E569" s="8" t="s">
        <v>162</v>
      </c>
      <c r="F569" s="8" t="s">
        <v>26</v>
      </c>
      <c r="G569" s="8" t="s">
        <v>929</v>
      </c>
      <c r="H569" s="20">
        <v>311115.31526461034</v>
      </c>
      <c r="I569" s="21">
        <f>H569/H$655</f>
        <v>7.8441319014224669E-3</v>
      </c>
      <c r="J569" s="22">
        <f>I569*J$685</f>
        <v>18931.639773181294</v>
      </c>
      <c r="K569" s="2">
        <v>209766.46519209814</v>
      </c>
      <c r="L569" s="21">
        <f ca="1">K569/K$655</f>
        <v>5.2836468942160167E-3</v>
      </c>
      <c r="M569" s="22">
        <f ca="1">L569*M$685</f>
        <v>14619.90379276466</v>
      </c>
      <c r="N569" s="2">
        <v>294739.41201543785</v>
      </c>
      <c r="O569" s="21">
        <f ca="1">N569/N$655</f>
        <v>2.5480749523390661E-3</v>
      </c>
      <c r="P569" s="22">
        <f ca="1">O569*P$685</f>
        <v>7233.8631445923838</v>
      </c>
      <c r="Q569" s="2">
        <v>520815.21822775184</v>
      </c>
      <c r="R569" s="21">
        <f ca="1">Q569/Q$655</f>
        <v>3.7410202910443647E-3</v>
      </c>
      <c r="S569" s="22">
        <f ca="1">R569*S$685</f>
        <v>10864.851296788262</v>
      </c>
      <c r="T569" s="2">
        <v>229838.81151917161</v>
      </c>
      <c r="U569" s="21">
        <f ca="1">T569/T$655</f>
        <v>2.3136582587210824E-3</v>
      </c>
      <c r="V569" s="22">
        <f ca="1">U569*V$685</f>
        <v>6860.5459301688825</v>
      </c>
      <c r="W569" s="2">
        <v>639455.59033601114</v>
      </c>
      <c r="X569" s="21">
        <f ca="1">W569/W$655</f>
        <v>5.9648077814531157E-3</v>
      </c>
      <c r="Y569" s="22">
        <f ca="1">X569*Y$685</f>
        <v>18040.812372708704</v>
      </c>
      <c r="Z569" s="2">
        <v>237133.17732642969</v>
      </c>
      <c r="AA569" s="21">
        <f ca="1">Z569/Z$655</f>
        <v>2.055760459479361E-3</v>
      </c>
      <c r="AB569" s="22">
        <f ca="1">AA569*AB$685</f>
        <v>6329.6533158783459</v>
      </c>
      <c r="AC569" s="2">
        <v>239698.02249192324</v>
      </c>
      <c r="AD569" s="21">
        <f ca="1">AC569/AC$655</f>
        <v>2.1276215099665778E-3</v>
      </c>
      <c r="AE569" s="22">
        <f ca="1">AD569*AE$685</f>
        <v>6675.3796583202384</v>
      </c>
      <c r="AF569" s="2">
        <v>242455.80086826385</v>
      </c>
      <c r="AG569" s="21">
        <f ca="1">AF569/AF$655</f>
        <v>2.0129081734522125E-3</v>
      </c>
      <c r="AH569" s="22">
        <f ca="1">AG569*AH$685</f>
        <v>6429.1467806437067</v>
      </c>
      <c r="AI569" s="2">
        <v>0</v>
      </c>
      <c r="AJ569" s="21">
        <f ca="1">AI569/AI$655</f>
        <v>0</v>
      </c>
      <c r="AK569" s="22">
        <f ca="1">AJ569*AK$685</f>
        <v>0</v>
      </c>
      <c r="AL569" s="2">
        <v>2925017.8132416974</v>
      </c>
    </row>
    <row r="570" spans="1:38" ht="12.75" x14ac:dyDescent="0.2">
      <c r="A570" s="8" t="s">
        <v>152</v>
      </c>
      <c r="B570" s="8" t="s">
        <v>17</v>
      </c>
      <c r="C570" s="8" t="s">
        <v>18</v>
      </c>
      <c r="D570" s="8" t="s">
        <v>159</v>
      </c>
      <c r="E570" s="8" t="s">
        <v>162</v>
      </c>
      <c r="F570" s="8" t="s">
        <v>28</v>
      </c>
      <c r="G570" s="8" t="s">
        <v>930</v>
      </c>
      <c r="H570" s="20">
        <v>0</v>
      </c>
      <c r="I570" s="21">
        <f>H570/H$669</f>
        <v>0</v>
      </c>
      <c r="J570" s="22">
        <f>I570*J$699</f>
        <v>0</v>
      </c>
      <c r="K570" s="2">
        <v>0</v>
      </c>
      <c r="L570" s="21">
        <f ca="1">K570/K$669</f>
        <v>0</v>
      </c>
      <c r="M570" s="22">
        <f ca="1">L570*M$699</f>
        <v>0</v>
      </c>
      <c r="N570" s="2">
        <v>0</v>
      </c>
      <c r="O570" s="21">
        <f ca="1">N570/N$669</f>
        <v>0</v>
      </c>
      <c r="P570" s="22">
        <f ca="1">O570*P$699</f>
        <v>0</v>
      </c>
      <c r="Q570" s="2">
        <v>0</v>
      </c>
      <c r="R570" s="21">
        <f ca="1">Q570/Q$669</f>
        <v>0</v>
      </c>
      <c r="S570" s="22">
        <f ca="1">R570*S$699</f>
        <v>0</v>
      </c>
      <c r="T570" s="2">
        <v>0</v>
      </c>
      <c r="U570" s="21">
        <f ca="1">T570/T$669</f>
        <v>0</v>
      </c>
      <c r="V570" s="22">
        <f ca="1">U570*V$699</f>
        <v>0</v>
      </c>
      <c r="W570" s="2">
        <v>0</v>
      </c>
      <c r="X570" s="21">
        <f ca="1">W570/W$669</f>
        <v>0</v>
      </c>
      <c r="Y570" s="22">
        <f ca="1">X570*Y$699</f>
        <v>0</v>
      </c>
      <c r="Z570" s="2">
        <v>0</v>
      </c>
      <c r="AA570" s="21">
        <f ca="1">Z570/Z$669</f>
        <v>0</v>
      </c>
      <c r="AB570" s="22">
        <f ca="1">AA570*AB$699</f>
        <v>0</v>
      </c>
      <c r="AC570" s="2">
        <v>0</v>
      </c>
      <c r="AD570" s="21">
        <f ca="1">AC570/AC$669</f>
        <v>0</v>
      </c>
      <c r="AE570" s="22">
        <f ca="1">AD570*AE$699</f>
        <v>0</v>
      </c>
      <c r="AF570" s="2">
        <v>0</v>
      </c>
      <c r="AG570" s="21">
        <f ca="1">AF570/AF$669</f>
        <v>0</v>
      </c>
      <c r="AH570" s="22">
        <f ca="1">AG570*AH$699</f>
        <v>0</v>
      </c>
      <c r="AI570" s="2">
        <v>462459.98190985713</v>
      </c>
      <c r="AJ570" s="21">
        <f ca="1">AI570/AI$669</f>
        <v>1.0571000250548907E-2</v>
      </c>
      <c r="AK570" s="22">
        <f ca="1">AJ570*AK$699</f>
        <v>58875.616875112348</v>
      </c>
      <c r="AL570" s="2">
        <v>462459.98190985713</v>
      </c>
    </row>
    <row r="571" spans="1:38" ht="12.75" x14ac:dyDescent="0.2">
      <c r="A571" s="8" t="s">
        <v>152</v>
      </c>
      <c r="B571" s="8" t="s">
        <v>17</v>
      </c>
      <c r="C571" s="8" t="s">
        <v>18</v>
      </c>
      <c r="D571" s="8" t="s">
        <v>159</v>
      </c>
      <c r="E571" s="8" t="s">
        <v>162</v>
      </c>
      <c r="F571" s="8" t="s">
        <v>47</v>
      </c>
      <c r="G571" s="8" t="s">
        <v>931</v>
      </c>
      <c r="H571" s="20">
        <v>3721059.5297995503</v>
      </c>
      <c r="I571" s="21">
        <f>H571/H$658</f>
        <v>7.9268633801844346E-2</v>
      </c>
      <c r="J571" s="22">
        <f>I571*J$688</f>
        <v>2529160.3289279696</v>
      </c>
      <c r="K571" s="2">
        <v>3593882.3628611392</v>
      </c>
      <c r="L571" s="21">
        <f ca="1">K571/K$658</f>
        <v>7.6207364420279838E-2</v>
      </c>
      <c r="M571" s="22">
        <f ca="1">L571*M$688</f>
        <v>3581062.9432105236</v>
      </c>
      <c r="N571" s="2">
        <v>3078333.44702806</v>
      </c>
      <c r="O571" s="21">
        <f ca="1">N571/N$658</f>
        <v>0.11373233359517751</v>
      </c>
      <c r="P571" s="22">
        <f ca="1">O571*P$688</f>
        <v>5483354.4919954753</v>
      </c>
      <c r="Q571" s="2">
        <v>2738371.1601786604</v>
      </c>
      <c r="R571" s="21">
        <f ca="1">Q571/Q$658</f>
        <v>8.768849259406146E-2</v>
      </c>
      <c r="S571" s="22">
        <f ca="1">R571*S$688</f>
        <v>4324945.2226512218</v>
      </c>
      <c r="T571" s="2">
        <v>2751290.86443331</v>
      </c>
      <c r="U571" s="21">
        <f ca="1">T571/T$658</f>
        <v>9.7954694994530106E-2</v>
      </c>
      <c r="V571" s="22">
        <f ca="1">U571*V$688</f>
        <v>4932748.8689935347</v>
      </c>
      <c r="W571" s="2">
        <v>2354403.1031848821</v>
      </c>
      <c r="X571" s="21">
        <f ca="1">W571/W$658</f>
        <v>9.0753953974642435E-2</v>
      </c>
      <c r="Y571" s="22">
        <f ca="1">X571*Y$688</f>
        <v>4661540.6550457422</v>
      </c>
      <c r="Z571" s="2">
        <v>2723578.2960672788</v>
      </c>
      <c r="AA571" s="21">
        <f ca="1">Z571/Z$658</f>
        <v>0.10833189363445486</v>
      </c>
      <c r="AB571" s="22">
        <f ca="1">AA571*AB$688</f>
        <v>5664584.1580991605</v>
      </c>
      <c r="AC571" s="2">
        <v>2707169.9247761634</v>
      </c>
      <c r="AD571" s="21">
        <f ca="1">AC571/AC$658</f>
        <v>7.4089175372975172E-2</v>
      </c>
      <c r="AE571" s="22">
        <f ca="1">AD571*AE$688</f>
        <v>3947668.2047545263</v>
      </c>
      <c r="AF571" s="2">
        <v>3479473.5947898654</v>
      </c>
      <c r="AG571" s="21">
        <f ca="1">AF571/AF$658</f>
        <v>7.1424938482217398E-2</v>
      </c>
      <c r="AH571" s="22">
        <f ca="1">AG571*AH$688</f>
        <v>3874213.371932311</v>
      </c>
      <c r="AI571" s="2">
        <v>3742413.9463107362</v>
      </c>
      <c r="AJ571" s="21">
        <f ca="1">AI571/AI$658</f>
        <v>5.8246574342388412E-2</v>
      </c>
      <c r="AK571" s="22">
        <f ca="1">AJ571*AK$688</f>
        <v>3216265.017584207</v>
      </c>
      <c r="AL571" s="2">
        <v>30889976.229429647</v>
      </c>
    </row>
    <row r="572" spans="1:38" ht="12.75" x14ac:dyDescent="0.2">
      <c r="A572" s="8" t="s">
        <v>152</v>
      </c>
      <c r="B572" s="8" t="s">
        <v>17</v>
      </c>
      <c r="C572" s="8" t="s">
        <v>18</v>
      </c>
      <c r="D572" s="8" t="s">
        <v>159</v>
      </c>
      <c r="E572" s="8" t="s">
        <v>162</v>
      </c>
      <c r="F572" s="8" t="s">
        <v>43</v>
      </c>
      <c r="G572" s="8" t="s">
        <v>932</v>
      </c>
      <c r="H572" s="20">
        <v>0</v>
      </c>
      <c r="I572" s="21">
        <f>H572/H$659</f>
        <v>0</v>
      </c>
      <c r="J572" s="22">
        <f>I572*J$689</f>
        <v>0</v>
      </c>
      <c r="K572" s="2">
        <v>0</v>
      </c>
      <c r="L572" s="21">
        <f ca="1">K572/K$659</f>
        <v>0</v>
      </c>
      <c r="M572" s="22">
        <f ca="1">L572*M$689</f>
        <v>0</v>
      </c>
      <c r="N572" s="2">
        <v>0</v>
      </c>
      <c r="O572" s="21">
        <f ca="1">N572/N$659</f>
        <v>0</v>
      </c>
      <c r="P572" s="22">
        <f ca="1">O572*P$689</f>
        <v>0</v>
      </c>
      <c r="Q572" s="2">
        <v>0</v>
      </c>
      <c r="R572" s="21">
        <f ca="1">Q572/Q$659</f>
        <v>0</v>
      </c>
      <c r="S572" s="22">
        <f ca="1">R572*S$689</f>
        <v>0</v>
      </c>
      <c r="T572" s="2">
        <v>0</v>
      </c>
      <c r="U572" s="21">
        <f ca="1">T572/T$659</f>
        <v>0</v>
      </c>
      <c r="V572" s="22">
        <f ca="1">U572*V$689</f>
        <v>0</v>
      </c>
      <c r="W572" s="2">
        <v>0</v>
      </c>
      <c r="X572" s="21">
        <f ca="1">W572/W$659</f>
        <v>0</v>
      </c>
      <c r="Y572" s="22">
        <f ca="1">X572*Y$689</f>
        <v>0</v>
      </c>
      <c r="Z572" s="2">
        <v>0</v>
      </c>
      <c r="AA572" s="21">
        <f ca="1">Z572/Z$659</f>
        <v>0</v>
      </c>
      <c r="AB572" s="22">
        <f ca="1">AA572*AB$689</f>
        <v>0</v>
      </c>
      <c r="AC572" s="2">
        <v>0</v>
      </c>
      <c r="AD572" s="21">
        <f ca="1">AC572/AC$659</f>
        <v>0</v>
      </c>
      <c r="AE572" s="22">
        <f ca="1">AD572*AE$689</f>
        <v>0</v>
      </c>
      <c r="AF572" s="2">
        <v>0</v>
      </c>
      <c r="AG572" s="21">
        <f ca="1">AF572/AF$659</f>
        <v>0</v>
      </c>
      <c r="AH572" s="22">
        <f ca="1">AG572*AH$689</f>
        <v>0</v>
      </c>
      <c r="AI572" s="2">
        <v>244836.15234899172</v>
      </c>
      <c r="AJ572" s="21">
        <f ca="1">AI572/AI$659</f>
        <v>3.8577654936547204E-3</v>
      </c>
      <c r="AK572" s="22">
        <f ca="1">AJ572*AK$689</f>
        <v>223183.34340597983</v>
      </c>
      <c r="AL572" s="2">
        <v>244836.15234899172</v>
      </c>
    </row>
    <row r="573" spans="1:38" ht="12.75" x14ac:dyDescent="0.2">
      <c r="A573" s="8" t="s">
        <v>152</v>
      </c>
      <c r="B573" s="8" t="s">
        <v>17</v>
      </c>
      <c r="C573" s="8" t="s">
        <v>18</v>
      </c>
      <c r="D573" s="8" t="s">
        <v>159</v>
      </c>
      <c r="E573" s="8" t="s">
        <v>162</v>
      </c>
      <c r="F573" s="8" t="s">
        <v>139</v>
      </c>
      <c r="G573" s="8" t="s">
        <v>933</v>
      </c>
      <c r="H573" s="20">
        <v>113117.70742941895</v>
      </c>
      <c r="I573" s="21">
        <f>H573/H$662</f>
        <v>1.8065526167936281E-2</v>
      </c>
      <c r="J573" s="22">
        <f>I573*J$692</f>
        <v>57993.626924838027</v>
      </c>
      <c r="K573" s="2">
        <v>115741.00512182087</v>
      </c>
      <c r="L573" s="21">
        <f ca="1">K573/K$662</f>
        <v>1.9872104039134662E-2</v>
      </c>
      <c r="M573" s="22">
        <f ca="1">L573*M$692</f>
        <v>54603.395024595913</v>
      </c>
      <c r="N573" s="2">
        <v>122380.88070623938</v>
      </c>
      <c r="O573" s="21">
        <f ca="1">N573/N$662</f>
        <v>2.26339130493135E-2</v>
      </c>
      <c r="P573" s="22">
        <f ca="1">O573*P$692</f>
        <v>63809.126369346253</v>
      </c>
      <c r="Q573" s="2">
        <v>125935.14483235068</v>
      </c>
      <c r="R573" s="21">
        <f ca="1">Q573/Q$662</f>
        <v>2.2530711029990658E-2</v>
      </c>
      <c r="S573" s="22">
        <f ca="1">R573*S$692</f>
        <v>64979.099180973819</v>
      </c>
      <c r="T573" s="2">
        <v>132333.45271176004</v>
      </c>
      <c r="U573" s="21">
        <f ca="1">T573/T$662</f>
        <v>3.387022932158483E-2</v>
      </c>
      <c r="V573" s="22">
        <f ca="1">U573*V$692</f>
        <v>99733.869124075369</v>
      </c>
      <c r="W573" s="2">
        <v>136171.75589469291</v>
      </c>
      <c r="X573" s="21">
        <f ca="1">W573/W$662</f>
        <v>3.4074076105692422E-2</v>
      </c>
      <c r="Y573" s="22">
        <f ca="1">X573*Y$692</f>
        <v>102340.79622044301</v>
      </c>
      <c r="Z573" s="2">
        <v>139849.52494200444</v>
      </c>
      <c r="AA573" s="21">
        <f ca="1">Z573/Z$662</f>
        <v>3.2831445190918865E-2</v>
      </c>
      <c r="AB573" s="22">
        <f ca="1">AA573*AB$692</f>
        <v>100383.5337546238</v>
      </c>
      <c r="AC573" s="2">
        <v>142251.25889569332</v>
      </c>
      <c r="AD573" s="21">
        <f ca="1">AC573/AC$662</f>
        <v>3.6589626619399629E-2</v>
      </c>
      <c r="AE573" s="22">
        <f ca="1">AD573*AE$692</f>
        <v>113999.94511559047</v>
      </c>
      <c r="AF573" s="2">
        <v>120537.95282901989</v>
      </c>
      <c r="AG573" s="21">
        <f ca="1">AF573/AF$662</f>
        <v>3.3528265690867205E-2</v>
      </c>
      <c r="AH573" s="22">
        <f ca="1">AG573*AH$692</f>
        <v>106342.17328978417</v>
      </c>
      <c r="AI573" s="2">
        <v>134813.16564943356</v>
      </c>
      <c r="AJ573" s="21">
        <f ca="1">AI573/AI$662</f>
        <v>2.5859603983656301E-2</v>
      </c>
      <c r="AK573" s="22">
        <f ca="1">AJ573*AK$692</f>
        <v>83495.696219261328</v>
      </c>
      <c r="AL573" s="2">
        <v>1283131.8490124342</v>
      </c>
    </row>
    <row r="574" spans="1:38" ht="12.75" x14ac:dyDescent="0.2">
      <c r="A574" s="8" t="s">
        <v>152</v>
      </c>
      <c r="B574" s="8" t="s">
        <v>17</v>
      </c>
      <c r="C574" s="8" t="s">
        <v>18</v>
      </c>
      <c r="D574" s="8" t="s">
        <v>159</v>
      </c>
      <c r="E574" s="8" t="s">
        <v>162</v>
      </c>
      <c r="F574" s="8" t="s">
        <v>48</v>
      </c>
      <c r="G574" s="8" t="s">
        <v>934</v>
      </c>
      <c r="H574" s="20">
        <v>0</v>
      </c>
      <c r="I574" s="21">
        <f>H574/H$663</f>
        <v>0</v>
      </c>
      <c r="J574" s="22">
        <f>I574*J$693</f>
        <v>0</v>
      </c>
      <c r="K574" s="2">
        <v>0</v>
      </c>
      <c r="L574" s="21">
        <f ca="1">K574/K$663</f>
        <v>0</v>
      </c>
      <c r="M574" s="22">
        <f ca="1">L574*M$693</f>
        <v>0</v>
      </c>
      <c r="N574" s="2">
        <v>0</v>
      </c>
      <c r="O574" s="21">
        <f ca="1">N574/N$663</f>
        <v>0</v>
      </c>
      <c r="P574" s="22">
        <f ca="1">O574*P$693</f>
        <v>0</v>
      </c>
      <c r="Q574" s="2">
        <v>0</v>
      </c>
      <c r="R574" s="21">
        <f ca="1">Q574/Q$663</f>
        <v>0</v>
      </c>
      <c r="S574" s="22">
        <f ca="1">R574*S$693</f>
        <v>0</v>
      </c>
      <c r="T574" s="2">
        <v>0</v>
      </c>
      <c r="U574" s="21">
        <f ca="1">T574/T$663</f>
        <v>0</v>
      </c>
      <c r="V574" s="22">
        <f ca="1">U574*V$693</f>
        <v>0</v>
      </c>
      <c r="W574" s="2">
        <v>0</v>
      </c>
      <c r="X574" s="21">
        <f ca="1">W574/W$663</f>
        <v>0</v>
      </c>
      <c r="Y574" s="22">
        <f ca="1">X574*Y$693</f>
        <v>0</v>
      </c>
      <c r="Z574" s="2">
        <v>0</v>
      </c>
      <c r="AA574" s="21">
        <f ca="1">Z574/Z$663</f>
        <v>0</v>
      </c>
      <c r="AB574" s="22">
        <f ca="1">AA574*AB$693</f>
        <v>0</v>
      </c>
      <c r="AC574" s="2">
        <v>0</v>
      </c>
      <c r="AD574" s="21">
        <f ca="1">AC574/AC$663</f>
        <v>0</v>
      </c>
      <c r="AE574" s="22">
        <f ca="1">AD574*AE$693</f>
        <v>0</v>
      </c>
      <c r="AF574" s="2">
        <v>205343.49545053352</v>
      </c>
      <c r="AG574" s="21">
        <f ca="1">AF574/AF$663</f>
        <v>7.7269367575526224E-3</v>
      </c>
      <c r="AH574" s="22">
        <f ca="1">AG574*AH$693</f>
        <v>203851.95907333095</v>
      </c>
      <c r="AI574" s="2">
        <v>0</v>
      </c>
      <c r="AJ574" s="21">
        <f ca="1">AI574/AI$663</f>
        <v>0</v>
      </c>
      <c r="AK574" s="22">
        <f ca="1">AJ574*AK$693</f>
        <v>0</v>
      </c>
      <c r="AL574" s="2">
        <v>205343.49545053352</v>
      </c>
    </row>
    <row r="575" spans="1:38" ht="12.75" x14ac:dyDescent="0.2">
      <c r="A575" s="8" t="s">
        <v>152</v>
      </c>
      <c r="B575" s="8" t="s">
        <v>17</v>
      </c>
      <c r="C575" s="8" t="s">
        <v>18</v>
      </c>
      <c r="D575" s="8" t="s">
        <v>159</v>
      </c>
      <c r="E575" s="8" t="s">
        <v>162</v>
      </c>
      <c r="F575" s="8" t="s">
        <v>34</v>
      </c>
      <c r="G575" s="8" t="s">
        <v>935</v>
      </c>
      <c r="H575" s="20">
        <v>0</v>
      </c>
      <c r="I575" s="21">
        <f>H575/H$653</f>
        <v>0</v>
      </c>
      <c r="J575" s="22">
        <f>I575*J$683</f>
        <v>0</v>
      </c>
      <c r="K575" s="2">
        <v>0</v>
      </c>
      <c r="L575" s="21">
        <f ca="1">K575/K$653</f>
        <v>0</v>
      </c>
      <c r="M575" s="22">
        <f ca="1">L575*M$683</f>
        <v>0</v>
      </c>
      <c r="N575" s="2">
        <v>0</v>
      </c>
      <c r="O575" s="21">
        <f ca="1">N575/N$653</f>
        <v>0</v>
      </c>
      <c r="P575" s="22">
        <f ca="1">O575*P$683</f>
        <v>0</v>
      </c>
      <c r="Q575" s="2">
        <v>0</v>
      </c>
      <c r="R575" s="21">
        <f ca="1">Q575/Q$653</f>
        <v>0</v>
      </c>
      <c r="S575" s="22">
        <f ca="1">R575*S$683</f>
        <v>0</v>
      </c>
      <c r="T575" s="2">
        <v>0</v>
      </c>
      <c r="U575" s="21">
        <f ca="1">T575/T$653</f>
        <v>0</v>
      </c>
      <c r="V575" s="22">
        <f ca="1">U575*V$683</f>
        <v>0</v>
      </c>
      <c r="W575" s="2">
        <v>0</v>
      </c>
      <c r="X575" s="21">
        <f ca="1">W575/W$653</f>
        <v>0</v>
      </c>
      <c r="Y575" s="22">
        <f ca="1">X575*Y$683</f>
        <v>0</v>
      </c>
      <c r="Z575" s="2">
        <v>0</v>
      </c>
      <c r="AA575" s="21">
        <f ca="1">Z575/Z$653</f>
        <v>0</v>
      </c>
      <c r="AB575" s="22">
        <f ca="1">AA575*AB$683</f>
        <v>0</v>
      </c>
      <c r="AC575" s="2">
        <v>0</v>
      </c>
      <c r="AD575" s="21">
        <f ca="1">AC575/AC$653</f>
        <v>0</v>
      </c>
      <c r="AE575" s="22">
        <f ca="1">AD575*AE$683</f>
        <v>0</v>
      </c>
      <c r="AF575" s="2">
        <v>0</v>
      </c>
      <c r="AG575" s="21">
        <f ca="1">AF575/AF$653</f>
        <v>0</v>
      </c>
      <c r="AH575" s="22">
        <f ca="1">AG575*AH$683</f>
        <v>0</v>
      </c>
      <c r="AI575" s="2">
        <v>0</v>
      </c>
      <c r="AJ575" s="21">
        <f ca="1">AI575/AI$653</f>
        <v>0</v>
      </c>
      <c r="AK575" s="22">
        <f ca="1">AJ575*AK$683</f>
        <v>0</v>
      </c>
      <c r="AL575" s="2">
        <v>0</v>
      </c>
    </row>
    <row r="576" spans="1:38" ht="12.75" x14ac:dyDescent="0.2">
      <c r="A576" s="8" t="s">
        <v>152</v>
      </c>
      <c r="B576" s="8" t="s">
        <v>17</v>
      </c>
      <c r="C576" s="8" t="s">
        <v>18</v>
      </c>
      <c r="D576" s="8" t="s">
        <v>159</v>
      </c>
      <c r="E576" s="8" t="s">
        <v>162</v>
      </c>
      <c r="F576" s="8" t="s">
        <v>49</v>
      </c>
      <c r="G576" s="8" t="s">
        <v>936</v>
      </c>
      <c r="H576" s="20">
        <v>5744309.930162278</v>
      </c>
      <c r="I576" s="21">
        <f>H576/H$644</f>
        <v>0.29195200695264006</v>
      </c>
      <c r="J576" s="22">
        <f>I576*J$674</f>
        <v>8862171.9321826454</v>
      </c>
      <c r="K576" s="2">
        <v>0</v>
      </c>
      <c r="L576" s="21">
        <f>K576/K$644</f>
        <v>0</v>
      </c>
      <c r="M576" s="22">
        <f>L576*M$674</f>
        <v>0</v>
      </c>
      <c r="N576" s="2">
        <v>9058656.5293981135</v>
      </c>
      <c r="O576" s="21">
        <f>N576/N$644</f>
        <v>0.39275897523081899</v>
      </c>
      <c r="P576" s="22">
        <f>O576*P$674</f>
        <v>8861954.3197500855</v>
      </c>
      <c r="Q576" s="2">
        <v>0</v>
      </c>
      <c r="R576" s="21">
        <f>Q576/Q$644</f>
        <v>0</v>
      </c>
      <c r="S576" s="22">
        <f>R576*S$674</f>
        <v>0</v>
      </c>
      <c r="T576" s="2">
        <v>8768219.5119297877</v>
      </c>
      <c r="U576" s="21">
        <f>T576/T$644</f>
        <v>0.36707265890561042</v>
      </c>
      <c r="V576" s="22">
        <f>U576*V$674</f>
        <v>8650810.569622986</v>
      </c>
      <c r="W576" s="2">
        <v>0</v>
      </c>
      <c r="X576" s="21">
        <f>W576/W$644</f>
        <v>0</v>
      </c>
      <c r="Y576" s="22">
        <f>X576*Y$674</f>
        <v>0</v>
      </c>
      <c r="Z576" s="2">
        <v>8738009.0647030417</v>
      </c>
      <c r="AA576" s="21">
        <f>Z576/Z$644</f>
        <v>0.35503397754873622</v>
      </c>
      <c r="AB576" s="22">
        <f>AA576*AB$674</f>
        <v>8688056.4175046626</v>
      </c>
      <c r="AC576" s="2">
        <v>0</v>
      </c>
      <c r="AD576" s="21">
        <f>AC576/AC$644</f>
        <v>0</v>
      </c>
      <c r="AE576" s="22">
        <f>AD576*AE$674</f>
        <v>0</v>
      </c>
      <c r="AF576" s="2">
        <v>8056416.618338109</v>
      </c>
      <c r="AG576" s="21">
        <f>AF576/AF$644</f>
        <v>0.249602031689169</v>
      </c>
      <c r="AH576" s="22">
        <f>AG576*AH$674</f>
        <v>6336111.2273817006</v>
      </c>
      <c r="AI576" s="2">
        <v>4555186.9255547365</v>
      </c>
      <c r="AJ576" s="21">
        <f>AI576/AI$644</f>
        <v>0.12603493107484917</v>
      </c>
      <c r="AK576" s="22">
        <f>AJ576*AK$674</f>
        <v>3256967.1829728945</v>
      </c>
      <c r="AL576" s="2">
        <v>44920798.580086067</v>
      </c>
    </row>
    <row r="577" spans="1:38" ht="12.75" x14ac:dyDescent="0.2">
      <c r="A577" s="8" t="s">
        <v>152</v>
      </c>
      <c r="B577" s="8" t="s">
        <v>17</v>
      </c>
      <c r="C577" s="8" t="s">
        <v>18</v>
      </c>
      <c r="D577" s="8" t="s">
        <v>159</v>
      </c>
      <c r="E577" s="8" t="s">
        <v>163</v>
      </c>
      <c r="F577" s="23" t="s">
        <v>37</v>
      </c>
      <c r="G577" s="8" t="s">
        <v>937</v>
      </c>
      <c r="H577" s="20">
        <v>0</v>
      </c>
      <c r="I577" s="21">
        <f>H577/H$649</f>
        <v>0</v>
      </c>
      <c r="J577" s="22">
        <f>I577*J$679</f>
        <v>0</v>
      </c>
      <c r="K577" s="2">
        <v>0</v>
      </c>
      <c r="L577" s="21">
        <f ca="1">K577/K$649</f>
        <v>0</v>
      </c>
      <c r="M577" s="22">
        <f ca="1">L577*M$679</f>
        <v>0</v>
      </c>
      <c r="N577" s="2">
        <v>0</v>
      </c>
      <c r="O577" s="21">
        <f ca="1">N577/N$649</f>
        <v>0</v>
      </c>
      <c r="P577" s="22">
        <f ca="1">O577*P$679</f>
        <v>0</v>
      </c>
      <c r="Q577" s="2">
        <v>0</v>
      </c>
      <c r="R577" s="21">
        <f ca="1">Q577/Q$649</f>
        <v>0</v>
      </c>
      <c r="S577" s="22">
        <f ca="1">R577*S$679</f>
        <v>0</v>
      </c>
      <c r="T577" s="2">
        <v>0</v>
      </c>
      <c r="U577" s="21">
        <f ca="1">T577/T$649</f>
        <v>0</v>
      </c>
      <c r="V577" s="22">
        <f ca="1">U577*V$679</f>
        <v>0</v>
      </c>
      <c r="W577" s="2">
        <v>180156.65664657956</v>
      </c>
      <c r="X577" s="21">
        <f ca="1">W577/W$649</f>
        <v>2.0257289743908667E-3</v>
      </c>
      <c r="Y577" s="22">
        <f ca="1">X577*Y$679</f>
        <v>534590.41044545115</v>
      </c>
      <c r="Z577" s="2">
        <v>0</v>
      </c>
      <c r="AA577" s="21">
        <f ca="1">Z577/Z$649</f>
        <v>0</v>
      </c>
      <c r="AB577" s="22">
        <f ca="1">AA577*AB$679</f>
        <v>0</v>
      </c>
      <c r="AC577" s="2">
        <v>0</v>
      </c>
      <c r="AD577" s="21">
        <f ca="1">AC577/AC$649</f>
        <v>0</v>
      </c>
      <c r="AE577" s="22">
        <f ca="1">AD577*AE$679</f>
        <v>0</v>
      </c>
      <c r="AF577" s="2">
        <v>0</v>
      </c>
      <c r="AG577" s="21">
        <f ca="1">AF577/AF$649</f>
        <v>0</v>
      </c>
      <c r="AH577" s="22">
        <f ca="1">AG577*AH$679</f>
        <v>0</v>
      </c>
      <c r="AI577" s="2">
        <v>0</v>
      </c>
      <c r="AJ577" s="21">
        <f ca="1">AI577/AI$649</f>
        <v>0</v>
      </c>
      <c r="AK577" s="22">
        <f ca="1">AJ577*AK$679</f>
        <v>0</v>
      </c>
      <c r="AL577" s="2">
        <v>180156.65664657956</v>
      </c>
    </row>
    <row r="578" spans="1:38" ht="12.75" x14ac:dyDescent="0.2">
      <c r="A578" s="8" t="s">
        <v>152</v>
      </c>
      <c r="B578" s="8" t="s">
        <v>17</v>
      </c>
      <c r="C578" s="8" t="s">
        <v>18</v>
      </c>
      <c r="D578" s="8" t="s">
        <v>164</v>
      </c>
      <c r="E578" s="8" t="s">
        <v>165</v>
      </c>
      <c r="F578" s="8" t="s">
        <v>21</v>
      </c>
      <c r="G578" s="8" t="s">
        <v>938</v>
      </c>
      <c r="H578" s="20">
        <v>77000</v>
      </c>
      <c r="I578" s="21">
        <f>H578/H$645</f>
        <v>5.0962424176650908E-3</v>
      </c>
      <c r="J578" s="22">
        <f>I578*J$675</f>
        <v>719.58942937431084</v>
      </c>
      <c r="K578" s="2">
        <v>77000</v>
      </c>
      <c r="L578" s="21">
        <f ca="1">K578/K$645</f>
        <v>5.0330301284176367E-3</v>
      </c>
      <c r="M578" s="22">
        <f ca="1">L578*M$675</f>
        <v>2171.5511792070733</v>
      </c>
      <c r="N578" s="2">
        <v>77000</v>
      </c>
      <c r="O578" s="21">
        <f ca="1">N578/N$645</f>
        <v>3.5444152029625317E-3</v>
      </c>
      <c r="P578" s="22">
        <f ca="1">O578*P$675</f>
        <v>1569.0344914404395</v>
      </c>
      <c r="Q578" s="2">
        <v>77000</v>
      </c>
      <c r="R578" s="21">
        <f ca="1">Q578/Q$645</f>
        <v>3.0498416651958578E-3</v>
      </c>
      <c r="S578" s="22">
        <f ca="1">R578*S$675</f>
        <v>1381.1499240718467</v>
      </c>
      <c r="T578" s="2">
        <v>77000</v>
      </c>
      <c r="U578" s="21">
        <f ca="1">T578/T$645</f>
        <v>3.7304114620079782E-3</v>
      </c>
      <c r="V578" s="22">
        <f ca="1">U578*V$675</f>
        <v>1724.828855524044</v>
      </c>
      <c r="W578" s="2">
        <v>77000</v>
      </c>
      <c r="X578" s="21">
        <f ca="1">W578/W$645</f>
        <v>3.7251386420926809E-3</v>
      </c>
      <c r="Y578" s="22">
        <f ca="1">X578*Y$675</f>
        <v>1756.838710967824</v>
      </c>
      <c r="Z578" s="2">
        <v>77000</v>
      </c>
      <c r="AA578" s="21">
        <f ca="1">Z578/Z$645</f>
        <v>3.74273077270084E-3</v>
      </c>
      <c r="AB578" s="22">
        <f ca="1">AA578*AB$675</f>
        <v>1796.9078746313867</v>
      </c>
      <c r="AC578" s="2">
        <v>77000</v>
      </c>
      <c r="AD578" s="21">
        <f ca="1">AC578/AC$645</f>
        <v>3.2423309275820423E-3</v>
      </c>
      <c r="AE578" s="22">
        <f ca="1">AD578*AE$675</f>
        <v>1586.2394641188187</v>
      </c>
      <c r="AF578" s="2">
        <v>77000</v>
      </c>
      <c r="AG578" s="21">
        <f ca="1">AF578/AF$645</f>
        <v>3.5300744204944815E-3</v>
      </c>
      <c r="AH578" s="22">
        <f ca="1">AG578*AH$675</f>
        <v>1758.097860552921</v>
      </c>
      <c r="AI578" s="2">
        <v>77000</v>
      </c>
      <c r="AJ578" s="21">
        <f ca="1">AI578/AI$645</f>
        <v>3.020050904525002E-3</v>
      </c>
      <c r="AK578" s="22">
        <f ca="1">AJ578*AK$675</f>
        <v>1531.1623053351268</v>
      </c>
      <c r="AL578" s="2">
        <v>770000</v>
      </c>
    </row>
    <row r="579" spans="1:38" ht="12.75" x14ac:dyDescent="0.2">
      <c r="A579" s="8" t="s">
        <v>152</v>
      </c>
      <c r="B579" s="8" t="s">
        <v>17</v>
      </c>
      <c r="C579" s="8" t="s">
        <v>18</v>
      </c>
      <c r="D579" s="8" t="s">
        <v>164</v>
      </c>
      <c r="E579" s="8" t="s">
        <v>165</v>
      </c>
      <c r="F579" s="8" t="s">
        <v>24</v>
      </c>
      <c r="G579" s="8" t="s">
        <v>939</v>
      </c>
      <c r="H579" s="20">
        <v>102727.68399619585</v>
      </c>
      <c r="I579" s="21">
        <f>H579/H$646</f>
        <v>1.2511120564836246E-3</v>
      </c>
      <c r="J579" s="22">
        <f>I579*J$676</f>
        <v>2691.942745212426</v>
      </c>
      <c r="K579" s="2">
        <v>234572.32424844598</v>
      </c>
      <c r="L579" s="21">
        <f ca="1">K579/K$646</f>
        <v>3.7141569434643142E-3</v>
      </c>
      <c r="M579" s="22">
        <f ca="1">L579*M$676</f>
        <v>14440.691594476601</v>
      </c>
      <c r="N579" s="2">
        <v>760532.59235217527</v>
      </c>
      <c r="O579" s="21">
        <f ca="1">N579/N$646</f>
        <v>8.1132295623955065E-3</v>
      </c>
      <c r="P579" s="22">
        <f ca="1">O579*P$676</f>
        <v>137836.48174532226</v>
      </c>
      <c r="Q579" s="2">
        <v>185710.68418890837</v>
      </c>
      <c r="R579" s="21">
        <f ca="1">Q579/Q$646</f>
        <v>1.6697215009869725E-3</v>
      </c>
      <c r="S579" s="22">
        <f ca="1">R579*S$676</f>
        <v>29019.510865255506</v>
      </c>
      <c r="T579" s="2">
        <v>65000</v>
      </c>
      <c r="U579" s="21">
        <f ca="1">T579/T$646</f>
        <v>7.7475864082261075E-4</v>
      </c>
      <c r="V579" s="22">
        <f ca="1">U579*V$676</f>
        <v>13747.958706697211</v>
      </c>
      <c r="W579" s="2">
        <v>250994.39956880521</v>
      </c>
      <c r="X579" s="21">
        <f ca="1">W579/W$646</f>
        <v>2.8715643277374891E-3</v>
      </c>
      <c r="Y579" s="22">
        <f ca="1">X579*Y$676</f>
        <v>51974.522957635476</v>
      </c>
      <c r="Z579" s="2">
        <v>321057.80361960683</v>
      </c>
      <c r="AA579" s="21">
        <f ca="1">Z579/Z$646</f>
        <v>2.7661729692070418E-3</v>
      </c>
      <c r="AB579" s="22">
        <f ca="1">AA579*AB$676</f>
        <v>50968.173846188598</v>
      </c>
      <c r="AC579" s="2">
        <v>358609.8055949221</v>
      </c>
      <c r="AD579" s="21">
        <f ca="1">AC579/AC$646</f>
        <v>3.446653122829703E-3</v>
      </c>
      <c r="AE579" s="22">
        <f ca="1">AD579*AE$676</f>
        <v>64712.995262542863</v>
      </c>
      <c r="AF579" s="2">
        <v>65000</v>
      </c>
      <c r="AG579" s="21">
        <f ca="1">AF579/AF$646</f>
        <v>6.9050700623560289E-4</v>
      </c>
      <c r="AH579" s="22">
        <f ca="1">AG579*AH$676</f>
        <v>13198.050684741002</v>
      </c>
      <c r="AI579" s="2">
        <v>65000</v>
      </c>
      <c r="AJ579" s="21">
        <f ca="1">AI579/AI$646</f>
        <v>5.2610776728235446E-4</v>
      </c>
      <c r="AK579" s="22">
        <f ca="1">AJ579*AK$676</f>
        <v>10236.79942230292</v>
      </c>
      <c r="AL579" s="2">
        <v>2409205.2935690596</v>
      </c>
    </row>
    <row r="580" spans="1:38" ht="12.75" x14ac:dyDescent="0.2">
      <c r="A580" s="8" t="s">
        <v>152</v>
      </c>
      <c r="B580" s="8" t="s">
        <v>17</v>
      </c>
      <c r="C580" s="8" t="s">
        <v>18</v>
      </c>
      <c r="D580" s="8" t="s">
        <v>164</v>
      </c>
      <c r="E580" s="8" t="s">
        <v>165</v>
      </c>
      <c r="F580" s="8" t="s">
        <v>25</v>
      </c>
      <c r="G580" s="8" t="s">
        <v>940</v>
      </c>
      <c r="H580" s="20">
        <v>0</v>
      </c>
      <c r="I580" s="21">
        <f>H580/H$652</f>
        <v>0</v>
      </c>
      <c r="J580" s="22">
        <f>I580*J$682</f>
        <v>0</v>
      </c>
      <c r="K580" s="2">
        <v>0</v>
      </c>
      <c r="L580" s="21">
        <f ca="1">K580/K$652</f>
        <v>0</v>
      </c>
      <c r="M580" s="22">
        <f ca="1">L580*M$682</f>
        <v>0</v>
      </c>
      <c r="N580" s="2">
        <v>1778353.3764603215</v>
      </c>
      <c r="O580" s="21">
        <f ca="1">N580/N$652</f>
        <v>3.563506464255712E-2</v>
      </c>
      <c r="P580" s="22">
        <f ca="1">O580*P$682</f>
        <v>1318706.7007411032</v>
      </c>
      <c r="Q580" s="2">
        <v>0</v>
      </c>
      <c r="R580" s="21">
        <f ca="1">Q580/Q$652</f>
        <v>0</v>
      </c>
      <c r="S580" s="22">
        <f ca="1">R580*S$682</f>
        <v>0</v>
      </c>
      <c r="T580" s="2">
        <v>0</v>
      </c>
      <c r="U580" s="21">
        <f ca="1">T580/T$652</f>
        <v>0</v>
      </c>
      <c r="V580" s="22">
        <f ca="1">U580*V$682</f>
        <v>0</v>
      </c>
      <c r="W580" s="2">
        <v>0</v>
      </c>
      <c r="X580" s="21">
        <f ca="1">W580/W$652</f>
        <v>0</v>
      </c>
      <c r="Y580" s="22">
        <f ca="1">X580*Y$682</f>
        <v>0</v>
      </c>
      <c r="Z580" s="2">
        <v>0</v>
      </c>
      <c r="AA580" s="21">
        <f ca="1">Z580/Z$652</f>
        <v>0</v>
      </c>
      <c r="AB580" s="22">
        <f ca="1">AA580*AB$682</f>
        <v>0</v>
      </c>
      <c r="AC580" s="2">
        <v>0</v>
      </c>
      <c r="AD580" s="21">
        <f ca="1">AC580/AC$652</f>
        <v>0</v>
      </c>
      <c r="AE580" s="22">
        <f ca="1">AD580*AE$682</f>
        <v>0</v>
      </c>
      <c r="AF580" s="2">
        <v>0</v>
      </c>
      <c r="AG580" s="21">
        <f ca="1">AF580/AF$652</f>
        <v>0</v>
      </c>
      <c r="AH580" s="22">
        <f ca="1">AG580*AH$682</f>
        <v>0</v>
      </c>
      <c r="AI580" s="2">
        <v>0</v>
      </c>
      <c r="AJ580" s="21">
        <f ca="1">AI580/AI$652</f>
        <v>0</v>
      </c>
      <c r="AK580" s="22">
        <f ca="1">AJ580*AK$682</f>
        <v>0</v>
      </c>
      <c r="AL580" s="2">
        <v>1778353.3764603215</v>
      </c>
    </row>
    <row r="581" spans="1:38" ht="12.75" x14ac:dyDescent="0.2">
      <c r="A581" s="8" t="s">
        <v>152</v>
      </c>
      <c r="B581" s="8" t="s">
        <v>17</v>
      </c>
      <c r="C581" s="8" t="s">
        <v>18</v>
      </c>
      <c r="D581" s="8" t="s">
        <v>164</v>
      </c>
      <c r="E581" s="8" t="s">
        <v>165</v>
      </c>
      <c r="F581" s="8" t="s">
        <v>26</v>
      </c>
      <c r="G581" s="8" t="s">
        <v>941</v>
      </c>
      <c r="H581" s="20">
        <v>0</v>
      </c>
      <c r="I581" s="21">
        <f>H581/H$655</f>
        <v>0</v>
      </c>
      <c r="J581" s="22">
        <f>I581*J$685</f>
        <v>0</v>
      </c>
      <c r="K581" s="2">
        <v>0</v>
      </c>
      <c r="L581" s="21">
        <f ca="1">K581/K$655</f>
        <v>0</v>
      </c>
      <c r="M581" s="22">
        <f ca="1">L581*M$685</f>
        <v>0</v>
      </c>
      <c r="N581" s="2">
        <v>0</v>
      </c>
      <c r="O581" s="21">
        <f ca="1">N581/N$655</f>
        <v>0</v>
      </c>
      <c r="P581" s="22">
        <f ca="1">O581*P$685</f>
        <v>0</v>
      </c>
      <c r="Q581" s="2">
        <v>0</v>
      </c>
      <c r="R581" s="21">
        <f ca="1">Q581/Q$655</f>
        <v>0</v>
      </c>
      <c r="S581" s="22">
        <f ca="1">R581*S$685</f>
        <v>0</v>
      </c>
      <c r="T581" s="2">
        <v>0</v>
      </c>
      <c r="U581" s="21">
        <f ca="1">T581/T$655</f>
        <v>0</v>
      </c>
      <c r="V581" s="22">
        <f ca="1">U581*V$685</f>
        <v>0</v>
      </c>
      <c r="W581" s="2">
        <v>0</v>
      </c>
      <c r="X581" s="21">
        <f ca="1">W581/W$655</f>
        <v>0</v>
      </c>
      <c r="Y581" s="22">
        <f ca="1">X581*Y$685</f>
        <v>0</v>
      </c>
      <c r="Z581" s="2">
        <v>0</v>
      </c>
      <c r="AA581" s="21">
        <f ca="1">Z581/Z$655</f>
        <v>0</v>
      </c>
      <c r="AB581" s="22">
        <f ca="1">AA581*AB$685</f>
        <v>0</v>
      </c>
      <c r="AC581" s="2">
        <v>0</v>
      </c>
      <c r="AD581" s="21">
        <f ca="1">AC581/AC$655</f>
        <v>0</v>
      </c>
      <c r="AE581" s="22">
        <f ca="1">AD581*AE$685</f>
        <v>0</v>
      </c>
      <c r="AF581" s="2">
        <v>0</v>
      </c>
      <c r="AG581" s="21">
        <f ca="1">AF581/AF$655</f>
        <v>0</v>
      </c>
      <c r="AH581" s="22">
        <f ca="1">AG581*AH$685</f>
        <v>0</v>
      </c>
      <c r="AI581" s="2">
        <v>0</v>
      </c>
      <c r="AJ581" s="21">
        <f ca="1">AI581/AI$655</f>
        <v>0</v>
      </c>
      <c r="AK581" s="22">
        <f ca="1">AJ581*AK$685</f>
        <v>0</v>
      </c>
      <c r="AL581" s="2">
        <v>0</v>
      </c>
    </row>
    <row r="582" spans="1:38" ht="12.75" x14ac:dyDescent="0.2">
      <c r="A582" s="8" t="s">
        <v>152</v>
      </c>
      <c r="B582" s="8" t="s">
        <v>17</v>
      </c>
      <c r="C582" s="8" t="s">
        <v>18</v>
      </c>
      <c r="D582" s="8" t="s">
        <v>164</v>
      </c>
      <c r="E582" s="8" t="s">
        <v>165</v>
      </c>
      <c r="F582" s="8" t="s">
        <v>28</v>
      </c>
      <c r="G582" s="8" t="s">
        <v>942</v>
      </c>
      <c r="H582" s="20">
        <v>0</v>
      </c>
      <c r="I582" s="21">
        <f>H582/H$669</f>
        <v>0</v>
      </c>
      <c r="J582" s="22">
        <f>I582*J$699</f>
        <v>0</v>
      </c>
      <c r="K582" s="2">
        <v>0</v>
      </c>
      <c r="L582" s="21">
        <f ca="1">K582/K$669</f>
        <v>0</v>
      </c>
      <c r="M582" s="22">
        <f ca="1">L582*M$699</f>
        <v>0</v>
      </c>
      <c r="N582" s="2">
        <v>0</v>
      </c>
      <c r="O582" s="21">
        <f ca="1">N582/N$669</f>
        <v>0</v>
      </c>
      <c r="P582" s="22">
        <f ca="1">O582*P$699</f>
        <v>0</v>
      </c>
      <c r="Q582" s="2">
        <v>0</v>
      </c>
      <c r="R582" s="21">
        <f ca="1">Q582/Q$669</f>
        <v>0</v>
      </c>
      <c r="S582" s="22">
        <f ca="1">R582*S$699</f>
        <v>0</v>
      </c>
      <c r="T582" s="2">
        <v>0</v>
      </c>
      <c r="U582" s="21">
        <f ca="1">T582/T$669</f>
        <v>0</v>
      </c>
      <c r="V582" s="22">
        <f ca="1">U582*V$699</f>
        <v>0</v>
      </c>
      <c r="W582" s="2">
        <v>0</v>
      </c>
      <c r="X582" s="21">
        <f ca="1">W582/W$669</f>
        <v>0</v>
      </c>
      <c r="Y582" s="22">
        <f ca="1">X582*Y$699</f>
        <v>0</v>
      </c>
      <c r="Z582" s="2">
        <v>0</v>
      </c>
      <c r="AA582" s="21">
        <f ca="1">Z582/Z$669</f>
        <v>0</v>
      </c>
      <c r="AB582" s="22">
        <f ca="1">AA582*AB$699</f>
        <v>0</v>
      </c>
      <c r="AC582" s="2">
        <v>0</v>
      </c>
      <c r="AD582" s="21">
        <f ca="1">AC582/AC$669</f>
        <v>0</v>
      </c>
      <c r="AE582" s="22">
        <f ca="1">AD582*AE$699</f>
        <v>0</v>
      </c>
      <c r="AF582" s="2">
        <v>0</v>
      </c>
      <c r="AG582" s="21">
        <f ca="1">AF582/AF$669</f>
        <v>0</v>
      </c>
      <c r="AH582" s="22">
        <f ca="1">AG582*AH$699</f>
        <v>0</v>
      </c>
      <c r="AI582" s="2">
        <v>0</v>
      </c>
      <c r="AJ582" s="21">
        <f ca="1">AI582/AI$669</f>
        <v>0</v>
      </c>
      <c r="AK582" s="22">
        <f ca="1">AJ582*AK$699</f>
        <v>0</v>
      </c>
      <c r="AL582" s="2">
        <v>0</v>
      </c>
    </row>
    <row r="583" spans="1:38" ht="12.75" x14ac:dyDescent="0.2">
      <c r="A583" s="8" t="s">
        <v>152</v>
      </c>
      <c r="B583" s="8" t="s">
        <v>17</v>
      </c>
      <c r="C583" s="8" t="s">
        <v>18</v>
      </c>
      <c r="D583" s="8" t="s">
        <v>164</v>
      </c>
      <c r="E583" s="8" t="s">
        <v>165</v>
      </c>
      <c r="F583" s="8" t="s">
        <v>34</v>
      </c>
      <c r="G583" s="8" t="s">
        <v>943</v>
      </c>
      <c r="H583" s="20">
        <v>17241.134192274883</v>
      </c>
      <c r="I583" s="21">
        <f>H583/H$653</f>
        <v>7.7058034772720619E-3</v>
      </c>
      <c r="J583" s="22">
        <f>I583*J$683</f>
        <v>16237.407089989461</v>
      </c>
      <c r="K583" s="2">
        <v>68843.198387592085</v>
      </c>
      <c r="L583" s="21">
        <f ca="1">K583/K$653</f>
        <v>2.0642949674867787E-2</v>
      </c>
      <c r="M583" s="22">
        <f ca="1">L583*M$683</f>
        <v>31805.087994860998</v>
      </c>
      <c r="N583" s="2">
        <v>65895.856435899346</v>
      </c>
      <c r="O583" s="21">
        <f ca="1">N583/N$653</f>
        <v>5.9003296725112691E-3</v>
      </c>
      <c r="P583" s="22">
        <f ca="1">O583*P$683</f>
        <v>9327.1397786420403</v>
      </c>
      <c r="Q583" s="2">
        <v>8672.3004704977157</v>
      </c>
      <c r="R583" s="21">
        <f ca="1">Q583/Q$653</f>
        <v>6.6291119138809891E-4</v>
      </c>
      <c r="S583" s="22">
        <f ca="1">R583*S$683</f>
        <v>1072.0207542576393</v>
      </c>
      <c r="T583" s="2">
        <v>130710.82225305573</v>
      </c>
      <c r="U583" s="21">
        <f ca="1">T583/T$653</f>
        <v>9.9120759345189564E-3</v>
      </c>
      <c r="V583" s="22">
        <f ca="1">U583*V$683</f>
        <v>16365.836406024238</v>
      </c>
      <c r="W583" s="2">
        <v>8707.5717379180114</v>
      </c>
      <c r="X583" s="21">
        <f ca="1">W583/W$653</f>
        <v>7.829254779103985E-4</v>
      </c>
      <c r="Y583" s="22">
        <f ca="1">X583*Y$683</f>
        <v>1318.5426480497986</v>
      </c>
      <c r="Z583" s="2">
        <v>43420.154956507387</v>
      </c>
      <c r="AA583" s="21">
        <f ca="1">Z583/Z$653</f>
        <v>3.8854954616053634E-3</v>
      </c>
      <c r="AB583" s="22">
        <f ca="1">AA583*AB$683</f>
        <v>6661.4372215632693</v>
      </c>
      <c r="AC583" s="2">
        <v>60300.006005204021</v>
      </c>
      <c r="AD583" s="21">
        <f ca="1">AC583/AC$653</f>
        <v>4.6452233204603141E-3</v>
      </c>
      <c r="AE583" s="22">
        <f ca="1">AD583*AE$683</f>
        <v>8115.2577247721565</v>
      </c>
      <c r="AF583" s="2">
        <v>68273.442436419427</v>
      </c>
      <c r="AG583" s="21">
        <f ca="1">AF583/AF$653</f>
        <v>5.7099176851586773E-3</v>
      </c>
      <c r="AH583" s="22">
        <f ca="1">AG583*AH$683</f>
        <v>10154.846045751443</v>
      </c>
      <c r="AI583" s="2">
        <v>45994.24024438487</v>
      </c>
      <c r="AJ583" s="21">
        <f ca="1">AI583/AI$653</f>
        <v>3.3833983651093721E-3</v>
      </c>
      <c r="AK583" s="22">
        <f ca="1">AJ583*AK$683</f>
        <v>6125.5403922299738</v>
      </c>
      <c r="AL583" s="2">
        <v>518058.72711975349</v>
      </c>
    </row>
    <row r="584" spans="1:38" ht="12.75" x14ac:dyDescent="0.2">
      <c r="A584" s="8" t="s">
        <v>152</v>
      </c>
      <c r="B584" s="8" t="s">
        <v>17</v>
      </c>
      <c r="C584" s="8" t="s">
        <v>18</v>
      </c>
      <c r="D584" s="8" t="s">
        <v>164</v>
      </c>
      <c r="E584" s="8" t="s">
        <v>166</v>
      </c>
      <c r="F584" s="8" t="s">
        <v>21</v>
      </c>
      <c r="G584" s="8" t="s">
        <v>944</v>
      </c>
      <c r="H584" s="20">
        <v>77000</v>
      </c>
      <c r="I584" s="21">
        <f>H584/H$645</f>
        <v>5.0962424176650908E-3</v>
      </c>
      <c r="J584" s="22">
        <f>I584*J$675</f>
        <v>719.58942937431084</v>
      </c>
      <c r="K584" s="2">
        <v>77000</v>
      </c>
      <c r="L584" s="21">
        <f ca="1">K584/K$645</f>
        <v>5.0330301284176367E-3</v>
      </c>
      <c r="M584" s="22">
        <f ca="1">L584*M$675</f>
        <v>2171.5511792070733</v>
      </c>
      <c r="N584" s="2">
        <v>77000</v>
      </c>
      <c r="O584" s="21">
        <f ca="1">N584/N$645</f>
        <v>3.5444152029625317E-3</v>
      </c>
      <c r="P584" s="22">
        <f ca="1">O584*P$675</f>
        <v>1569.0344914404395</v>
      </c>
      <c r="Q584" s="2">
        <v>77000</v>
      </c>
      <c r="R584" s="21">
        <f ca="1">Q584/Q$645</f>
        <v>3.0498416651958578E-3</v>
      </c>
      <c r="S584" s="22">
        <f ca="1">R584*S$675</f>
        <v>1381.1499240718467</v>
      </c>
      <c r="T584" s="2">
        <v>77000</v>
      </c>
      <c r="U584" s="21">
        <f ca="1">T584/T$645</f>
        <v>3.7304114620079782E-3</v>
      </c>
      <c r="V584" s="22">
        <f ca="1">U584*V$675</f>
        <v>1724.828855524044</v>
      </c>
      <c r="W584" s="2">
        <v>77000</v>
      </c>
      <c r="X584" s="21">
        <f ca="1">W584/W$645</f>
        <v>3.7251386420926809E-3</v>
      </c>
      <c r="Y584" s="22">
        <f ca="1">X584*Y$675</f>
        <v>1756.838710967824</v>
      </c>
      <c r="Z584" s="2">
        <v>77000</v>
      </c>
      <c r="AA584" s="21">
        <f ca="1">Z584/Z$645</f>
        <v>3.74273077270084E-3</v>
      </c>
      <c r="AB584" s="22">
        <f ca="1">AA584*AB$675</f>
        <v>1796.9078746313867</v>
      </c>
      <c r="AC584" s="2">
        <v>77000</v>
      </c>
      <c r="AD584" s="21">
        <f ca="1">AC584/AC$645</f>
        <v>3.2423309275820423E-3</v>
      </c>
      <c r="AE584" s="22">
        <f ca="1">AD584*AE$675</f>
        <v>1586.2394641188187</v>
      </c>
      <c r="AF584" s="2">
        <v>77000</v>
      </c>
      <c r="AG584" s="21">
        <f ca="1">AF584/AF$645</f>
        <v>3.5300744204944815E-3</v>
      </c>
      <c r="AH584" s="22">
        <f ca="1">AG584*AH$675</f>
        <v>1758.097860552921</v>
      </c>
      <c r="AI584" s="2">
        <v>77000</v>
      </c>
      <c r="AJ584" s="21">
        <f ca="1">AI584/AI$645</f>
        <v>3.020050904525002E-3</v>
      </c>
      <c r="AK584" s="22">
        <f ca="1">AJ584*AK$675</f>
        <v>1531.1623053351268</v>
      </c>
      <c r="AL584" s="2">
        <v>770000</v>
      </c>
    </row>
    <row r="585" spans="1:38" ht="12.75" x14ac:dyDescent="0.2">
      <c r="A585" s="8" t="s">
        <v>152</v>
      </c>
      <c r="B585" s="8" t="s">
        <v>17</v>
      </c>
      <c r="C585" s="8" t="s">
        <v>18</v>
      </c>
      <c r="D585" s="8" t="s">
        <v>164</v>
      </c>
      <c r="E585" s="8" t="s">
        <v>166</v>
      </c>
      <c r="F585" s="8" t="s">
        <v>24</v>
      </c>
      <c r="G585" s="8" t="s">
        <v>945</v>
      </c>
      <c r="H585" s="20">
        <v>0</v>
      </c>
      <c r="I585" s="21">
        <f>H585/H$646</f>
        <v>0</v>
      </c>
      <c r="J585" s="22">
        <f>I585*J$676</f>
        <v>0</v>
      </c>
      <c r="K585" s="2">
        <v>0</v>
      </c>
      <c r="L585" s="21">
        <f ca="1">K585/K$646</f>
        <v>0</v>
      </c>
      <c r="M585" s="22">
        <f ca="1">L585*M$676</f>
        <v>0</v>
      </c>
      <c r="N585" s="2">
        <v>0</v>
      </c>
      <c r="O585" s="21">
        <f ca="1">N585/N$646</f>
        <v>0</v>
      </c>
      <c r="P585" s="22">
        <f ca="1">O585*P$676</f>
        <v>0</v>
      </c>
      <c r="Q585" s="2">
        <v>0</v>
      </c>
      <c r="R585" s="21">
        <f ca="1">Q585/Q$646</f>
        <v>0</v>
      </c>
      <c r="S585" s="22">
        <f ca="1">R585*S$676</f>
        <v>0</v>
      </c>
      <c r="T585" s="2">
        <v>0</v>
      </c>
      <c r="U585" s="21">
        <f ca="1">T585/T$646</f>
        <v>0</v>
      </c>
      <c r="V585" s="22">
        <f ca="1">U585*V$676</f>
        <v>0</v>
      </c>
      <c r="W585" s="2">
        <v>0</v>
      </c>
      <c r="X585" s="21">
        <f ca="1">W585/W$646</f>
        <v>0</v>
      </c>
      <c r="Y585" s="22">
        <f ca="1">X585*Y$676</f>
        <v>0</v>
      </c>
      <c r="Z585" s="2">
        <v>92895.841102351435</v>
      </c>
      <c r="AA585" s="21">
        <f ca="1">Z585/Z$646</f>
        <v>8.0037289769020357E-4</v>
      </c>
      <c r="AB585" s="22">
        <f ca="1">AA585*AB$676</f>
        <v>14747.286393643706</v>
      </c>
      <c r="AC585" s="2">
        <v>0</v>
      </c>
      <c r="AD585" s="21">
        <f ca="1">AC585/AC$646</f>
        <v>0</v>
      </c>
      <c r="AE585" s="22">
        <f ca="1">AD585*AE$676</f>
        <v>0</v>
      </c>
      <c r="AF585" s="2">
        <v>0</v>
      </c>
      <c r="AG585" s="21">
        <f ca="1">AF585/AF$646</f>
        <v>0</v>
      </c>
      <c r="AH585" s="22">
        <f ca="1">AG585*AH$676</f>
        <v>0</v>
      </c>
      <c r="AI585" s="2">
        <v>0</v>
      </c>
      <c r="AJ585" s="21">
        <f ca="1">AI585/AI$646</f>
        <v>0</v>
      </c>
      <c r="AK585" s="22">
        <f ca="1">AJ585*AK$676</f>
        <v>0</v>
      </c>
      <c r="AL585" s="2">
        <v>92895.841102351435</v>
      </c>
    </row>
    <row r="586" spans="1:38" ht="12.75" x14ac:dyDescent="0.2">
      <c r="A586" s="8" t="s">
        <v>152</v>
      </c>
      <c r="B586" s="8" t="s">
        <v>17</v>
      </c>
      <c r="C586" s="8" t="s">
        <v>18</v>
      </c>
      <c r="D586" s="8" t="s">
        <v>164</v>
      </c>
      <c r="E586" s="8" t="s">
        <v>166</v>
      </c>
      <c r="F586" s="23" t="s">
        <v>37</v>
      </c>
      <c r="G586" s="8" t="s">
        <v>946</v>
      </c>
      <c r="H586" s="20">
        <v>250000</v>
      </c>
      <c r="I586" s="21">
        <f>H586/H$649</f>
        <v>3.5285129643643489E-3</v>
      </c>
      <c r="J586" s="22">
        <f>I586*J$679</f>
        <v>169910.27372910944</v>
      </c>
      <c r="K586" s="2">
        <v>250000</v>
      </c>
      <c r="L586" s="21">
        <f ca="1">K586/K$649</f>
        <v>2.9805397069146639E-3</v>
      </c>
      <c r="M586" s="22">
        <f ca="1">L586*M$679</f>
        <v>272219.71656460548</v>
      </c>
      <c r="N586" s="2">
        <v>250000</v>
      </c>
      <c r="O586" s="21">
        <f ca="1">N586/N$649</f>
        <v>2.8008397796176927E-3</v>
      </c>
      <c r="P586" s="22">
        <f ca="1">O586*P$679</f>
        <v>693787.61447231541</v>
      </c>
      <c r="Q586" s="2">
        <v>250000</v>
      </c>
      <c r="R586" s="21">
        <f ca="1">Q586/Q$649</f>
        <v>3.1736728350068829E-3</v>
      </c>
      <c r="S586" s="22">
        <f ca="1">R586*S$679</f>
        <v>804222.2138250299</v>
      </c>
      <c r="T586" s="2">
        <v>250000</v>
      </c>
      <c r="U586" s="21">
        <f ca="1">T586/T$649</f>
        <v>3.2169268296683116E-3</v>
      </c>
      <c r="V586" s="22">
        <f ca="1">U586*V$679</f>
        <v>832301.80248688208</v>
      </c>
      <c r="W586" s="2">
        <v>3043341.5989610562</v>
      </c>
      <c r="X586" s="21">
        <f ca="1">W586/W$649</f>
        <v>3.4220135801468259E-2</v>
      </c>
      <c r="Y586" s="22">
        <f ca="1">X586*Y$679</f>
        <v>9030702.8604884781</v>
      </c>
      <c r="Z586" s="2">
        <v>902681.48155762709</v>
      </c>
      <c r="AA586" s="21">
        <f ca="1">Z586/Z$649</f>
        <v>9.3460259559543686E-3</v>
      </c>
      <c r="AB586" s="22">
        <f ca="1">AA586*AB$679</f>
        <v>2510814.2508391594</v>
      </c>
      <c r="AC586" s="2">
        <v>897439.57364027877</v>
      </c>
      <c r="AD586" s="21">
        <f ca="1">AC586/AC$649</f>
        <v>9.1744093420472357E-3</v>
      </c>
      <c r="AE586" s="22">
        <f ca="1">AD586*AE$679</f>
        <v>2511538.8451033919</v>
      </c>
      <c r="AF586" s="2">
        <v>941706.36561095866</v>
      </c>
      <c r="AG586" s="21">
        <f ca="1">AF586/AF$649</f>
        <v>9.2903204253483827E-3</v>
      </c>
      <c r="AH586" s="22">
        <f ca="1">AG586*AH$679</f>
        <v>2589048.9248276581</v>
      </c>
      <c r="AI586" s="2">
        <v>1614613.332601154</v>
      </c>
      <c r="AJ586" s="21">
        <f ca="1">AI586/AI$649</f>
        <v>8.429005650771787E-3</v>
      </c>
      <c r="AK586" s="22">
        <f ca="1">AJ586*AK$679</f>
        <v>2391297.9256084464</v>
      </c>
      <c r="AL586" s="2">
        <v>8649782.3523710743</v>
      </c>
    </row>
    <row r="587" spans="1:38" ht="12.75" x14ac:dyDescent="0.2">
      <c r="A587" s="8" t="s">
        <v>152</v>
      </c>
      <c r="B587" s="8" t="s">
        <v>17</v>
      </c>
      <c r="C587" s="8" t="s">
        <v>18</v>
      </c>
      <c r="D587" s="8" t="s">
        <v>164</v>
      </c>
      <c r="E587" s="8" t="s">
        <v>166</v>
      </c>
      <c r="F587" s="8" t="s">
        <v>26</v>
      </c>
      <c r="G587" s="8" t="s">
        <v>947</v>
      </c>
      <c r="H587" s="20">
        <v>1321.1597082202975</v>
      </c>
      <c r="I587" s="21">
        <f>H587/H$655</f>
        <v>3.331032098278601E-5</v>
      </c>
      <c r="J587" s="22">
        <f>I587*J$685</f>
        <v>80.393726864892415</v>
      </c>
      <c r="K587" s="2">
        <v>0</v>
      </c>
      <c r="L587" s="21">
        <f ca="1">K587/K$655</f>
        <v>0</v>
      </c>
      <c r="M587" s="22">
        <f ca="1">L587*M$685</f>
        <v>0</v>
      </c>
      <c r="N587" s="2">
        <v>0</v>
      </c>
      <c r="O587" s="21">
        <f ca="1">N587/N$655</f>
        <v>0</v>
      </c>
      <c r="P587" s="22">
        <f ca="1">O587*P$685</f>
        <v>0</v>
      </c>
      <c r="Q587" s="2">
        <v>0</v>
      </c>
      <c r="R587" s="21">
        <f ca="1">Q587/Q$655</f>
        <v>0</v>
      </c>
      <c r="S587" s="22">
        <f ca="1">R587*S$685</f>
        <v>0</v>
      </c>
      <c r="T587" s="2">
        <v>0</v>
      </c>
      <c r="U587" s="21">
        <f ca="1">T587/T$655</f>
        <v>0</v>
      </c>
      <c r="V587" s="22">
        <f ca="1">U587*V$685</f>
        <v>0</v>
      </c>
      <c r="W587" s="2">
        <v>0</v>
      </c>
      <c r="X587" s="21">
        <f ca="1">W587/W$655</f>
        <v>0</v>
      </c>
      <c r="Y587" s="22">
        <f ca="1">X587*Y$685</f>
        <v>0</v>
      </c>
      <c r="Z587" s="2">
        <v>0</v>
      </c>
      <c r="AA587" s="21">
        <f ca="1">Z587/Z$655</f>
        <v>0</v>
      </c>
      <c r="AB587" s="22">
        <f ca="1">AA587*AB$685</f>
        <v>0</v>
      </c>
      <c r="AC587" s="2">
        <v>0</v>
      </c>
      <c r="AD587" s="21">
        <f ca="1">AC587/AC$655</f>
        <v>0</v>
      </c>
      <c r="AE587" s="22">
        <f ca="1">AD587*AE$685</f>
        <v>0</v>
      </c>
      <c r="AF587" s="2">
        <v>0</v>
      </c>
      <c r="AG587" s="21">
        <f ca="1">AF587/AF$655</f>
        <v>0</v>
      </c>
      <c r="AH587" s="22">
        <f ca="1">AG587*AH$685</f>
        <v>0</v>
      </c>
      <c r="AI587" s="2">
        <v>0</v>
      </c>
      <c r="AJ587" s="21">
        <f ca="1">AI587/AI$655</f>
        <v>0</v>
      </c>
      <c r="AK587" s="22">
        <f ca="1">AJ587*AK$685</f>
        <v>0</v>
      </c>
      <c r="AL587" s="2">
        <v>1321.1597082202975</v>
      </c>
    </row>
    <row r="588" spans="1:38" ht="12.75" x14ac:dyDescent="0.2">
      <c r="A588" s="8" t="s">
        <v>152</v>
      </c>
      <c r="B588" s="8" t="s">
        <v>17</v>
      </c>
      <c r="C588" s="8" t="s">
        <v>18</v>
      </c>
      <c r="D588" s="8" t="s">
        <v>164</v>
      </c>
      <c r="E588" s="8" t="s">
        <v>166</v>
      </c>
      <c r="F588" s="8" t="s">
        <v>28</v>
      </c>
      <c r="G588" s="8" t="s">
        <v>948</v>
      </c>
      <c r="H588" s="20">
        <v>0</v>
      </c>
      <c r="I588" s="21">
        <f>H588/H$669</f>
        <v>0</v>
      </c>
      <c r="J588" s="22">
        <f>I588*J$699</f>
        <v>0</v>
      </c>
      <c r="K588" s="2">
        <v>0</v>
      </c>
      <c r="L588" s="21">
        <f ca="1">K588/K$669</f>
        <v>0</v>
      </c>
      <c r="M588" s="22">
        <f ca="1">L588*M$699</f>
        <v>0</v>
      </c>
      <c r="N588" s="2">
        <v>0</v>
      </c>
      <c r="O588" s="21">
        <f ca="1">N588/N$669</f>
        <v>0</v>
      </c>
      <c r="P588" s="22">
        <f ca="1">O588*P$699</f>
        <v>0</v>
      </c>
      <c r="Q588" s="2">
        <v>0</v>
      </c>
      <c r="R588" s="21">
        <f ca="1">Q588/Q$669</f>
        <v>0</v>
      </c>
      <c r="S588" s="22">
        <f ca="1">R588*S$699</f>
        <v>0</v>
      </c>
      <c r="T588" s="2">
        <v>0</v>
      </c>
      <c r="U588" s="21">
        <f ca="1">T588/T$669</f>
        <v>0</v>
      </c>
      <c r="V588" s="22">
        <f ca="1">U588*V$699</f>
        <v>0</v>
      </c>
      <c r="W588" s="2">
        <v>0</v>
      </c>
      <c r="X588" s="21">
        <f ca="1">W588/W$669</f>
        <v>0</v>
      </c>
      <c r="Y588" s="22">
        <f ca="1">X588*Y$699</f>
        <v>0</v>
      </c>
      <c r="Z588" s="2">
        <v>0</v>
      </c>
      <c r="AA588" s="21">
        <f ca="1">Z588/Z$669</f>
        <v>0</v>
      </c>
      <c r="AB588" s="22">
        <f ca="1">AA588*AB$699</f>
        <v>0</v>
      </c>
      <c r="AC588" s="2">
        <v>0</v>
      </c>
      <c r="AD588" s="21">
        <f ca="1">AC588/AC$669</f>
        <v>0</v>
      </c>
      <c r="AE588" s="22">
        <f ca="1">AD588*AE$699</f>
        <v>0</v>
      </c>
      <c r="AF588" s="2">
        <v>0</v>
      </c>
      <c r="AG588" s="21">
        <f ca="1">AF588/AF$669</f>
        <v>0</v>
      </c>
      <c r="AH588" s="22">
        <f ca="1">AG588*AH$699</f>
        <v>0</v>
      </c>
      <c r="AI588" s="2">
        <v>0</v>
      </c>
      <c r="AJ588" s="21">
        <f ca="1">AI588/AI$669</f>
        <v>0</v>
      </c>
      <c r="AK588" s="22">
        <f ca="1">AJ588*AK$699</f>
        <v>0</v>
      </c>
      <c r="AL588" s="2">
        <v>0</v>
      </c>
    </row>
    <row r="589" spans="1:38" ht="12.75" x14ac:dyDescent="0.2">
      <c r="A589" s="8" t="s">
        <v>152</v>
      </c>
      <c r="B589" s="8" t="s">
        <v>17</v>
      </c>
      <c r="C589" s="8" t="s">
        <v>18</v>
      </c>
      <c r="D589" s="8" t="s">
        <v>164</v>
      </c>
      <c r="E589" s="8" t="s">
        <v>166</v>
      </c>
      <c r="F589" s="8" t="s">
        <v>34</v>
      </c>
      <c r="G589" s="8" t="s">
        <v>949</v>
      </c>
      <c r="H589" s="20">
        <v>60343.969672962085</v>
      </c>
      <c r="I589" s="21">
        <f>H589/H$653</f>
        <v>2.6970312170452211E-2</v>
      </c>
      <c r="J589" s="22">
        <f>I589*J$683</f>
        <v>56830.924814963102</v>
      </c>
      <c r="K589" s="2">
        <v>327005.19234106241</v>
      </c>
      <c r="L589" s="21">
        <f ca="1">K589/K$653</f>
        <v>9.8054010955621981E-2</v>
      </c>
      <c r="M589" s="22">
        <f ca="1">L589*M$683</f>
        <v>151074.16797558972</v>
      </c>
      <c r="N589" s="2">
        <v>173462.61754684549</v>
      </c>
      <c r="O589" s="21">
        <f ca="1">N589/N$653</f>
        <v>1.5531881437472934E-2</v>
      </c>
      <c r="P589" s="22">
        <f ca="1">O589*P$683</f>
        <v>24552.531338634119</v>
      </c>
      <c r="Q589" s="2">
        <v>8672.3004704977157</v>
      </c>
      <c r="R589" s="21">
        <f ca="1">Q589/Q$653</f>
        <v>6.6291119138809891E-4</v>
      </c>
      <c r="S589" s="22">
        <f ca="1">R589*S$683</f>
        <v>1072.0207542576393</v>
      </c>
      <c r="T589" s="2">
        <v>365990.30230855604</v>
      </c>
      <c r="U589" s="21">
        <f ca="1">T589/T$653</f>
        <v>2.7753812616653079E-2</v>
      </c>
      <c r="V589" s="22">
        <f ca="1">U589*V$683</f>
        <v>45824.341936867866</v>
      </c>
      <c r="W589" s="2">
        <v>69660.573903344091</v>
      </c>
      <c r="X589" s="21">
        <f ca="1">W589/W$653</f>
        <v>6.263403823283188E-3</v>
      </c>
      <c r="Y589" s="22">
        <f ca="1">X589*Y$683</f>
        <v>10548.341184398389</v>
      </c>
      <c r="Z589" s="2">
        <v>112892.4028869192</v>
      </c>
      <c r="AA589" s="21">
        <f ca="1">Z589/Z$653</f>
        <v>1.0102288200173944E-2</v>
      </c>
      <c r="AB589" s="22">
        <f ca="1">AA589*AB$683</f>
        <v>17319.736776064499</v>
      </c>
      <c r="AC589" s="2">
        <v>172285.73144344005</v>
      </c>
      <c r="AD589" s="21">
        <f ca="1">AC589/AC$653</f>
        <v>1.3272066629886609E-2</v>
      </c>
      <c r="AE589" s="22">
        <f ca="1">AD589*AE$683</f>
        <v>23186.450642206157</v>
      </c>
      <c r="AF589" s="2">
        <v>204820.32730925828</v>
      </c>
      <c r="AG589" s="21">
        <f ca="1">AF589/AF$653</f>
        <v>1.7129753055476031E-2</v>
      </c>
      <c r="AH589" s="22">
        <f ca="1">AG589*AH$683</f>
        <v>30464.538137254323</v>
      </c>
      <c r="AI589" s="2">
        <v>84242.082131820716</v>
      </c>
      <c r="AJ589" s="21">
        <f ca="1">AI589/AI$653</f>
        <v>6.1969612160950611E-3</v>
      </c>
      <c r="AK589" s="22">
        <f ca="1">AJ589*AK$683</f>
        <v>11219.410823663322</v>
      </c>
      <c r="AL589" s="2">
        <v>1579375.500014706</v>
      </c>
    </row>
    <row r="590" spans="1:38" ht="12.75" x14ac:dyDescent="0.2">
      <c r="A590" s="8" t="s">
        <v>152</v>
      </c>
      <c r="B590" s="8" t="s">
        <v>17</v>
      </c>
      <c r="C590" s="8" t="s">
        <v>18</v>
      </c>
      <c r="D590" s="8" t="s">
        <v>164</v>
      </c>
      <c r="E590" s="8" t="s">
        <v>167</v>
      </c>
      <c r="F590" s="8" t="s">
        <v>24</v>
      </c>
      <c r="G590" s="8" t="s">
        <v>950</v>
      </c>
      <c r="H590" s="20">
        <v>33170.356794287007</v>
      </c>
      <c r="I590" s="21">
        <f>H590/H$646</f>
        <v>4.0397906084140657E-4</v>
      </c>
      <c r="J590" s="22">
        <f>I590*J$676</f>
        <v>869.217506468804</v>
      </c>
      <c r="K590" s="2">
        <v>0</v>
      </c>
      <c r="L590" s="21">
        <f ca="1">K590/K$646</f>
        <v>0</v>
      </c>
      <c r="M590" s="22">
        <f ca="1">L590*M$676</f>
        <v>0</v>
      </c>
      <c r="N590" s="2">
        <v>19853.693798672051</v>
      </c>
      <c r="O590" s="21">
        <f ca="1">N590/N$646</f>
        <v>2.1179575611868741E-4</v>
      </c>
      <c r="P590" s="22">
        <f ca="1">O590*P$676</f>
        <v>3598.2196297389896</v>
      </c>
      <c r="Q590" s="2">
        <v>0</v>
      </c>
      <c r="R590" s="21">
        <f ca="1">Q590/Q$646</f>
        <v>0</v>
      </c>
      <c r="S590" s="22">
        <f ca="1">R590*S$676</f>
        <v>0</v>
      </c>
      <c r="T590" s="2">
        <v>769240.70107545436</v>
      </c>
      <c r="U590" s="21">
        <f ca="1">T590/T$646</f>
        <v>9.1688596927792503E-3</v>
      </c>
      <c r="V590" s="22">
        <f ca="1">U590*V$676</f>
        <v>162699.83682917169</v>
      </c>
      <c r="W590" s="2">
        <v>0</v>
      </c>
      <c r="X590" s="21">
        <f ca="1">W590/W$646</f>
        <v>0</v>
      </c>
      <c r="Y590" s="22">
        <f ca="1">X590*Y$676</f>
        <v>0</v>
      </c>
      <c r="Z590" s="2">
        <v>45117.034575497331</v>
      </c>
      <c r="AA590" s="21">
        <f ca="1">Z590/Z$646</f>
        <v>3.8871978841974072E-4</v>
      </c>
      <c r="AB590" s="22">
        <f ca="1">AA590*AB$676</f>
        <v>7162.3640221278174</v>
      </c>
      <c r="AC590" s="2">
        <v>0</v>
      </c>
      <c r="AD590" s="21">
        <f ca="1">AC590/AC$646</f>
        <v>0</v>
      </c>
      <c r="AE590" s="22">
        <f ca="1">AD590*AE$676</f>
        <v>0</v>
      </c>
      <c r="AF590" s="2">
        <v>0</v>
      </c>
      <c r="AG590" s="21">
        <f ca="1">AF590/AF$646</f>
        <v>0</v>
      </c>
      <c r="AH590" s="22">
        <f ca="1">AG590*AH$676</f>
        <v>0</v>
      </c>
      <c r="AI590" s="2">
        <v>0</v>
      </c>
      <c r="AJ590" s="21">
        <f ca="1">AI590/AI$646</f>
        <v>0</v>
      </c>
      <c r="AK590" s="22">
        <f ca="1">AJ590*AK$676</f>
        <v>0</v>
      </c>
      <c r="AL590" s="2">
        <v>867381.78624391078</v>
      </c>
    </row>
    <row r="591" spans="1:38" ht="12.75" x14ac:dyDescent="0.2">
      <c r="A591" s="8" t="s">
        <v>152</v>
      </c>
      <c r="B591" s="8" t="s">
        <v>17</v>
      </c>
      <c r="C591" s="8" t="s">
        <v>18</v>
      </c>
      <c r="D591" s="8" t="s">
        <v>164</v>
      </c>
      <c r="E591" s="8" t="s">
        <v>167</v>
      </c>
      <c r="F591" s="23" t="s">
        <v>37</v>
      </c>
      <c r="G591" s="8" t="s">
        <v>951</v>
      </c>
      <c r="H591" s="20">
        <v>0</v>
      </c>
      <c r="I591" s="21">
        <f>H591/H$649</f>
        <v>0</v>
      </c>
      <c r="J591" s="22">
        <f>I591*J$679</f>
        <v>0</v>
      </c>
      <c r="K591" s="2">
        <v>0</v>
      </c>
      <c r="L591" s="21">
        <f ca="1">K591/K$649</f>
        <v>0</v>
      </c>
      <c r="M591" s="22">
        <f ca="1">L591*M$679</f>
        <v>0</v>
      </c>
      <c r="N591" s="2">
        <v>0</v>
      </c>
      <c r="O591" s="21">
        <f ca="1">N591/N$649</f>
        <v>0</v>
      </c>
      <c r="P591" s="22">
        <f ca="1">O591*P$679</f>
        <v>0</v>
      </c>
      <c r="Q591" s="2">
        <v>0</v>
      </c>
      <c r="R591" s="21">
        <f ca="1">Q591/Q$649</f>
        <v>0</v>
      </c>
      <c r="S591" s="22">
        <f ca="1">R591*S$679</f>
        <v>0</v>
      </c>
      <c r="T591" s="2">
        <v>0</v>
      </c>
      <c r="U591" s="21">
        <f ca="1">T591/T$649</f>
        <v>0</v>
      </c>
      <c r="V591" s="22">
        <f ca="1">U591*V$679</f>
        <v>0</v>
      </c>
      <c r="W591" s="2">
        <v>0</v>
      </c>
      <c r="X591" s="21">
        <f ca="1">W591/W$649</f>
        <v>0</v>
      </c>
      <c r="Y591" s="22">
        <f ca="1">X591*Y$679</f>
        <v>0</v>
      </c>
      <c r="Z591" s="2">
        <v>0</v>
      </c>
      <c r="AA591" s="21">
        <f ca="1">Z591/Z$649</f>
        <v>0</v>
      </c>
      <c r="AB591" s="22">
        <f ca="1">AA591*AB$679</f>
        <v>0</v>
      </c>
      <c r="AC591" s="2">
        <v>0</v>
      </c>
      <c r="AD591" s="21">
        <f ca="1">AC591/AC$649</f>
        <v>0</v>
      </c>
      <c r="AE591" s="22">
        <f ca="1">AD591*AE$679</f>
        <v>0</v>
      </c>
      <c r="AF591" s="2">
        <v>0</v>
      </c>
      <c r="AG591" s="21">
        <f ca="1">AF591/AF$649</f>
        <v>0</v>
      </c>
      <c r="AH591" s="22">
        <f ca="1">AG591*AH$679</f>
        <v>0</v>
      </c>
      <c r="AI591" s="2">
        <v>0</v>
      </c>
      <c r="AJ591" s="21">
        <f ca="1">AI591/AI$649</f>
        <v>0</v>
      </c>
      <c r="AK591" s="22">
        <f ca="1">AJ591*AK$679</f>
        <v>0</v>
      </c>
      <c r="AL591" s="2">
        <v>0</v>
      </c>
    </row>
    <row r="592" spans="1:38" ht="12.75" x14ac:dyDescent="0.2">
      <c r="A592" s="8" t="s">
        <v>152</v>
      </c>
      <c r="B592" s="8" t="s">
        <v>17</v>
      </c>
      <c r="C592" s="8" t="s">
        <v>18</v>
      </c>
      <c r="D592" s="8" t="s">
        <v>164</v>
      </c>
      <c r="E592" s="8" t="s">
        <v>167</v>
      </c>
      <c r="F592" s="8" t="s">
        <v>28</v>
      </c>
      <c r="G592" s="8" t="s">
        <v>952</v>
      </c>
      <c r="H592" s="20">
        <v>0</v>
      </c>
      <c r="I592" s="21">
        <f>H592/H$669</f>
        <v>0</v>
      </c>
      <c r="J592" s="22">
        <f>I592*J$699</f>
        <v>0</v>
      </c>
      <c r="K592" s="2">
        <v>0</v>
      </c>
      <c r="L592" s="21">
        <f ca="1">K592/K$669</f>
        <v>0</v>
      </c>
      <c r="M592" s="22">
        <f ca="1">L592*M$699</f>
        <v>0</v>
      </c>
      <c r="N592" s="2">
        <v>0</v>
      </c>
      <c r="O592" s="21">
        <f ca="1">N592/N$669</f>
        <v>0</v>
      </c>
      <c r="P592" s="22">
        <f ca="1">O592*P$699</f>
        <v>0</v>
      </c>
      <c r="Q592" s="2">
        <v>0</v>
      </c>
      <c r="R592" s="21">
        <f ca="1">Q592/Q$669</f>
        <v>0</v>
      </c>
      <c r="S592" s="22">
        <f ca="1">R592*S$699</f>
        <v>0</v>
      </c>
      <c r="T592" s="2">
        <v>0</v>
      </c>
      <c r="U592" s="21">
        <f ca="1">T592/T$669</f>
        <v>0</v>
      </c>
      <c r="V592" s="22">
        <f ca="1">U592*V$699</f>
        <v>0</v>
      </c>
      <c r="W592" s="2">
        <v>102062.08222466966</v>
      </c>
      <c r="X592" s="21">
        <f ca="1">W592/W$669</f>
        <v>3.6589536185721193E-3</v>
      </c>
      <c r="Y592" s="22">
        <f ca="1">X592*Y$699</f>
        <v>18956.526993158594</v>
      </c>
      <c r="Z592" s="2">
        <v>0</v>
      </c>
      <c r="AA592" s="21">
        <f ca="1">Z592/Z$669</f>
        <v>0</v>
      </c>
      <c r="AB592" s="22">
        <f ca="1">AA592*AB$699</f>
        <v>0</v>
      </c>
      <c r="AC592" s="2">
        <v>0</v>
      </c>
      <c r="AD592" s="21">
        <f ca="1">AC592/AC$669</f>
        <v>0</v>
      </c>
      <c r="AE592" s="22">
        <f ca="1">AD592*AE$699</f>
        <v>0</v>
      </c>
      <c r="AF592" s="2">
        <v>0</v>
      </c>
      <c r="AG592" s="21">
        <f ca="1">AF592/AF$669</f>
        <v>0</v>
      </c>
      <c r="AH592" s="22">
        <f ca="1">AG592*AH$699</f>
        <v>0</v>
      </c>
      <c r="AI592" s="2">
        <v>0</v>
      </c>
      <c r="AJ592" s="21">
        <f ca="1">AI592/AI$669</f>
        <v>0</v>
      </c>
      <c r="AK592" s="22">
        <f ca="1">AJ592*AK$699</f>
        <v>0</v>
      </c>
      <c r="AL592" s="2">
        <v>102062.08222466966</v>
      </c>
    </row>
    <row r="593" spans="1:38" ht="12.75" x14ac:dyDescent="0.2">
      <c r="A593" s="8" t="s">
        <v>152</v>
      </c>
      <c r="B593" s="8" t="s">
        <v>17</v>
      </c>
      <c r="C593" s="8" t="s">
        <v>18</v>
      </c>
      <c r="D593" s="8" t="s">
        <v>164</v>
      </c>
      <c r="E593" s="8" t="s">
        <v>167</v>
      </c>
      <c r="F593" s="8" t="s">
        <v>34</v>
      </c>
      <c r="G593" s="8" t="s">
        <v>953</v>
      </c>
      <c r="H593" s="20">
        <v>25861.701288412325</v>
      </c>
      <c r="I593" s="21">
        <f>H593/H$653</f>
        <v>1.1558705215908092E-2</v>
      </c>
      <c r="J593" s="22">
        <f>I593*J$683</f>
        <v>24356.11063498419</v>
      </c>
      <c r="K593" s="2">
        <v>34421.599193796043</v>
      </c>
      <c r="L593" s="21">
        <f ca="1">K593/K$653</f>
        <v>1.0321474837433894E-2</v>
      </c>
      <c r="M593" s="22">
        <f ca="1">L593*M$683</f>
        <v>15902.543997430499</v>
      </c>
      <c r="N593" s="2">
        <v>34692.523509369101</v>
      </c>
      <c r="O593" s="21">
        <f ca="1">N593/N$653</f>
        <v>3.1063762874945868E-3</v>
      </c>
      <c r="P593" s="22">
        <f ca="1">O593*P$683</f>
        <v>4910.5062677268243</v>
      </c>
      <c r="Q593" s="2">
        <v>0</v>
      </c>
      <c r="R593" s="21">
        <f ca="1">Q593/Q$653</f>
        <v>0</v>
      </c>
      <c r="S593" s="22">
        <f ca="1">R593*S$683</f>
        <v>0</v>
      </c>
      <c r="T593" s="2">
        <v>69712.438534963047</v>
      </c>
      <c r="U593" s="21">
        <f ca="1">T593/T$653</f>
        <v>5.2864404984101099E-3</v>
      </c>
      <c r="V593" s="22">
        <f ca="1">U593*V$683</f>
        <v>8728.4460832129262</v>
      </c>
      <c r="W593" s="2">
        <v>8707.5717379180114</v>
      </c>
      <c r="X593" s="21">
        <f ca="1">W593/W$653</f>
        <v>7.829254779103985E-4</v>
      </c>
      <c r="Y593" s="22">
        <f ca="1">X593*Y$683</f>
        <v>1318.5426480497986</v>
      </c>
      <c r="Z593" s="2">
        <v>52104.185947808859</v>
      </c>
      <c r="AA593" s="21">
        <f ca="1">Z593/Z$653</f>
        <v>4.6625945539264359E-3</v>
      </c>
      <c r="AB593" s="22">
        <f ca="1">AA593*AB$683</f>
        <v>7993.7246658759223</v>
      </c>
      <c r="AC593" s="2">
        <v>51685.71943303202</v>
      </c>
      <c r="AD593" s="21">
        <f ca="1">AC593/AC$653</f>
        <v>3.9816199889659834E-3</v>
      </c>
      <c r="AE593" s="22">
        <f ca="1">AD593*AE$683</f>
        <v>6955.9351926618483</v>
      </c>
      <c r="AF593" s="2">
        <v>76807.622740971856</v>
      </c>
      <c r="AG593" s="21">
        <f ca="1">AF593/AF$653</f>
        <v>6.4236573958035116E-3</v>
      </c>
      <c r="AH593" s="22">
        <f ca="1">AG593*AH$683</f>
        <v>11424.201801470372</v>
      </c>
      <c r="AI593" s="2">
        <v>33696.832852728287</v>
      </c>
      <c r="AJ593" s="21">
        <f ca="1">AI593/AI$653</f>
        <v>2.4787844864380243E-3</v>
      </c>
      <c r="AK593" s="22">
        <f ca="1">AJ593*AK$683</f>
        <v>4487.764329465328</v>
      </c>
      <c r="AL593" s="2">
        <v>387690.19523899956</v>
      </c>
    </row>
    <row r="594" spans="1:38" ht="12.75" x14ac:dyDescent="0.2">
      <c r="A594" s="8" t="s">
        <v>152</v>
      </c>
      <c r="B594" s="8" t="s">
        <v>17</v>
      </c>
      <c r="C594" s="8" t="s">
        <v>18</v>
      </c>
      <c r="D594" s="8" t="s">
        <v>164</v>
      </c>
      <c r="E594" s="8" t="s">
        <v>167</v>
      </c>
      <c r="F594" s="8" t="s">
        <v>55</v>
      </c>
      <c r="G594" s="8" t="s">
        <v>954</v>
      </c>
      <c r="H594" s="20">
        <v>0</v>
      </c>
      <c r="I594" s="21">
        <f>H594/H$654</f>
        <v>0</v>
      </c>
      <c r="J594" s="22">
        <f>I594*J$684</f>
        <v>0</v>
      </c>
      <c r="K594" s="2">
        <v>0</v>
      </c>
      <c r="L594" s="21">
        <f ca="1">K594/K$654</f>
        <v>0</v>
      </c>
      <c r="M594" s="22">
        <f ca="1">L594*M$684</f>
        <v>0</v>
      </c>
      <c r="N594" s="2">
        <v>0</v>
      </c>
      <c r="O594" s="21">
        <f ca="1">N594/N$654</f>
        <v>0</v>
      </c>
      <c r="P594" s="22">
        <f ca="1">O594*P$684</f>
        <v>0</v>
      </c>
      <c r="Q594" s="2">
        <v>0</v>
      </c>
      <c r="R594" s="21">
        <f ca="1">Q594/Q$654</f>
        <v>0</v>
      </c>
      <c r="S594" s="22">
        <f ca="1">R594*S$684</f>
        <v>0</v>
      </c>
      <c r="T594" s="2">
        <v>0</v>
      </c>
      <c r="U594" s="21">
        <f ca="1">T594/T$654</f>
        <v>0</v>
      </c>
      <c r="V594" s="22">
        <f ca="1">U594*V$684</f>
        <v>0</v>
      </c>
      <c r="W594" s="2">
        <v>0</v>
      </c>
      <c r="X594" s="21">
        <f ca="1">W594/W$654</f>
        <v>0</v>
      </c>
      <c r="Y594" s="22">
        <f ca="1">X594*Y$684</f>
        <v>0</v>
      </c>
      <c r="Z594" s="2">
        <v>0</v>
      </c>
      <c r="AA594" s="21">
        <f ca="1">Z594/Z$654</f>
        <v>0</v>
      </c>
      <c r="AB594" s="22">
        <f ca="1">AA594*AB$684</f>
        <v>0</v>
      </c>
      <c r="AC594" s="2">
        <v>0</v>
      </c>
      <c r="AD594" s="21">
        <f ca="1">AC594/AC$654</f>
        <v>0</v>
      </c>
      <c r="AE594" s="22">
        <f ca="1">AD594*AE$684</f>
        <v>0</v>
      </c>
      <c r="AF594" s="2">
        <v>0</v>
      </c>
      <c r="AG594" s="21">
        <f ca="1">AF594/AF$654</f>
        <v>0</v>
      </c>
      <c r="AH594" s="22">
        <f ca="1">AG594*AH$684</f>
        <v>0</v>
      </c>
      <c r="AI594" s="2">
        <v>0</v>
      </c>
      <c r="AJ594" s="21">
        <f ca="1">AI594/AI$654</f>
        <v>0</v>
      </c>
      <c r="AK594" s="22">
        <f ca="1">AJ594*AK$684</f>
        <v>0</v>
      </c>
      <c r="AL594" s="2">
        <v>0</v>
      </c>
    </row>
    <row r="595" spans="1:38" ht="12.75" x14ac:dyDescent="0.2">
      <c r="A595" s="8" t="s">
        <v>152</v>
      </c>
      <c r="B595" s="8" t="s">
        <v>17</v>
      </c>
      <c r="C595" s="8" t="s">
        <v>18</v>
      </c>
      <c r="D595" s="8" t="s">
        <v>164</v>
      </c>
      <c r="E595" s="8" t="s">
        <v>168</v>
      </c>
      <c r="F595" s="23" t="s">
        <v>37</v>
      </c>
      <c r="G595" s="8" t="s">
        <v>955</v>
      </c>
      <c r="H595" s="20">
        <v>0</v>
      </c>
      <c r="I595" s="21">
        <f>H595/H$649</f>
        <v>0</v>
      </c>
      <c r="J595" s="22">
        <f>I595*J$679</f>
        <v>0</v>
      </c>
      <c r="K595" s="2">
        <v>0</v>
      </c>
      <c r="L595" s="21">
        <f ca="1">K595/K$649</f>
        <v>0</v>
      </c>
      <c r="M595" s="22">
        <f ca="1">L595*M$679</f>
        <v>0</v>
      </c>
      <c r="N595" s="2">
        <v>0</v>
      </c>
      <c r="O595" s="21">
        <f ca="1">N595/N$649</f>
        <v>0</v>
      </c>
      <c r="P595" s="22">
        <f ca="1">O595*P$679</f>
        <v>0</v>
      </c>
      <c r="Q595" s="2">
        <v>0</v>
      </c>
      <c r="R595" s="21">
        <f ca="1">Q595/Q$649</f>
        <v>0</v>
      </c>
      <c r="S595" s="22">
        <f ca="1">R595*S$679</f>
        <v>0</v>
      </c>
      <c r="T595" s="2">
        <v>0</v>
      </c>
      <c r="U595" s="21">
        <f ca="1">T595/T$649</f>
        <v>0</v>
      </c>
      <c r="V595" s="22">
        <f ca="1">U595*V$679</f>
        <v>0</v>
      </c>
      <c r="W595" s="2">
        <v>0</v>
      </c>
      <c r="X595" s="21">
        <f ca="1">W595/W$649</f>
        <v>0</v>
      </c>
      <c r="Y595" s="22">
        <f ca="1">X595*Y$679</f>
        <v>0</v>
      </c>
      <c r="Z595" s="2">
        <v>0</v>
      </c>
      <c r="AA595" s="21">
        <f ca="1">Z595/Z$649</f>
        <v>0</v>
      </c>
      <c r="AB595" s="22">
        <f ca="1">AA595*AB$679</f>
        <v>0</v>
      </c>
      <c r="AC595" s="2">
        <v>0</v>
      </c>
      <c r="AD595" s="21">
        <f ca="1">AC595/AC$649</f>
        <v>0</v>
      </c>
      <c r="AE595" s="22">
        <f ca="1">AD595*AE$679</f>
        <v>0</v>
      </c>
      <c r="AF595" s="2">
        <v>1569504.4238257338</v>
      </c>
      <c r="AG595" s="21">
        <f ca="1">AF595/AF$649</f>
        <v>1.5483806352825164E-2</v>
      </c>
      <c r="AH595" s="22">
        <f ca="1">AG595*AH$679</f>
        <v>4315064.5354106138</v>
      </c>
      <c r="AI595" s="2">
        <v>0</v>
      </c>
      <c r="AJ595" s="21">
        <f ca="1">AI595/AI$649</f>
        <v>0</v>
      </c>
      <c r="AK595" s="22">
        <f ca="1">AJ595*AK$679</f>
        <v>0</v>
      </c>
      <c r="AL595" s="2">
        <v>1569504.4238257338</v>
      </c>
    </row>
    <row r="596" spans="1:38" ht="12.75" x14ac:dyDescent="0.2">
      <c r="A596" s="8" t="s">
        <v>152</v>
      </c>
      <c r="B596" s="8" t="s">
        <v>17</v>
      </c>
      <c r="C596" s="8" t="s">
        <v>18</v>
      </c>
      <c r="D596" s="8" t="s">
        <v>169</v>
      </c>
      <c r="E596" s="8" t="s">
        <v>170</v>
      </c>
      <c r="F596" s="8" t="s">
        <v>21</v>
      </c>
      <c r="G596" s="8" t="s">
        <v>956</v>
      </c>
      <c r="H596" s="20">
        <v>257000</v>
      </c>
      <c r="I596" s="21">
        <f>H596/H$645</f>
        <v>1.700953638103803E-2</v>
      </c>
      <c r="J596" s="22">
        <f>I596*J$675</f>
        <v>2401.7465370025698</v>
      </c>
      <c r="K596" s="2">
        <v>257000</v>
      </c>
      <c r="L596" s="21">
        <f ca="1">K596/K$645</f>
        <v>1.6798555103939385E-2</v>
      </c>
      <c r="M596" s="22">
        <f ca="1">L596*M$675</f>
        <v>7247.9045851456867</v>
      </c>
      <c r="N596" s="2">
        <v>257000</v>
      </c>
      <c r="O596" s="21">
        <f ca="1">N596/N$645</f>
        <v>1.1830061131965853E-2</v>
      </c>
      <c r="P596" s="22">
        <f ca="1">O596*P$675</f>
        <v>5236.907328573935</v>
      </c>
      <c r="Q596" s="2">
        <v>257000</v>
      </c>
      <c r="R596" s="21">
        <f ca="1">Q596/Q$645</f>
        <v>1.0179341661757603E-2</v>
      </c>
      <c r="S596" s="22">
        <f ca="1">R596*S$675</f>
        <v>4609.8120842398002</v>
      </c>
      <c r="T596" s="2">
        <v>257000</v>
      </c>
      <c r="U596" s="21">
        <f ca="1">T596/T$645</f>
        <v>1.2450853840727928E-2</v>
      </c>
      <c r="V596" s="22">
        <f ca="1">U596*V$675</f>
        <v>5756.8963099958355</v>
      </c>
      <c r="W596" s="2">
        <v>257000</v>
      </c>
      <c r="X596" s="21">
        <f ca="1">W596/W$645</f>
        <v>1.2433254948283365E-2</v>
      </c>
      <c r="Y596" s="22">
        <f ca="1">X596*Y$675</f>
        <v>5863.7343989445553</v>
      </c>
      <c r="Z596" s="2">
        <v>257000</v>
      </c>
      <c r="AA596" s="21">
        <f ca="1">Z596/Z$645</f>
        <v>1.2491971540053453E-2</v>
      </c>
      <c r="AB596" s="22">
        <f ca="1">AA596*AB$675</f>
        <v>5997.4717374060565</v>
      </c>
      <c r="AC596" s="2">
        <v>257000</v>
      </c>
      <c r="AD596" s="21">
        <f ca="1">AC596/AC$645</f>
        <v>1.0821805823228375E-2</v>
      </c>
      <c r="AE596" s="22">
        <f ca="1">AD596*AE$675</f>
        <v>5294.3317179030701</v>
      </c>
      <c r="AF596" s="2">
        <v>257000</v>
      </c>
      <c r="AG596" s="21">
        <f ca="1">AF596/AF$645</f>
        <v>1.1782196442429633E-2</v>
      </c>
      <c r="AH596" s="22">
        <f ca="1">AG596*AH$675</f>
        <v>5867.9370150922168</v>
      </c>
      <c r="AI596" s="2">
        <v>257000</v>
      </c>
      <c r="AJ596" s="21">
        <f ca="1">AI596/AI$645</f>
        <v>1.0079910161856177E-2</v>
      </c>
      <c r="AK596" s="22">
        <f ca="1">AJ596*AK$675</f>
        <v>5110.502759365294</v>
      </c>
      <c r="AL596" s="2">
        <v>2570000</v>
      </c>
    </row>
    <row r="597" spans="1:38" ht="12.75" x14ac:dyDescent="0.2">
      <c r="A597" s="8" t="s">
        <v>152</v>
      </c>
      <c r="B597" s="8" t="s">
        <v>17</v>
      </c>
      <c r="C597" s="8" t="s">
        <v>18</v>
      </c>
      <c r="D597" s="8" t="s">
        <v>169</v>
      </c>
      <c r="E597" s="8" t="s">
        <v>170</v>
      </c>
      <c r="F597" s="8" t="s">
        <v>24</v>
      </c>
      <c r="G597" s="8" t="s">
        <v>957</v>
      </c>
      <c r="H597" s="20">
        <v>79665.930405683932</v>
      </c>
      <c r="I597" s="21">
        <f>H597/H$646</f>
        <v>9.702448468051465E-4</v>
      </c>
      <c r="J597" s="22">
        <f>I597*J$676</f>
        <v>2087.6176221798255</v>
      </c>
      <c r="K597" s="2">
        <v>0</v>
      </c>
      <c r="L597" s="21">
        <f ca="1">K597/K$646</f>
        <v>0</v>
      </c>
      <c r="M597" s="22">
        <f ca="1">L597*M$676</f>
        <v>0</v>
      </c>
      <c r="N597" s="2">
        <v>0</v>
      </c>
      <c r="O597" s="21">
        <f ca="1">N597/N$646</f>
        <v>0</v>
      </c>
      <c r="P597" s="22">
        <f ca="1">O597*P$676</f>
        <v>0</v>
      </c>
      <c r="Q597" s="2">
        <v>0</v>
      </c>
      <c r="R597" s="21">
        <f ca="1">Q597/Q$646</f>
        <v>0</v>
      </c>
      <c r="S597" s="22">
        <f ca="1">R597*S$676</f>
        <v>0</v>
      </c>
      <c r="T597" s="2">
        <v>0</v>
      </c>
      <c r="U597" s="21">
        <f ca="1">T597/T$646</f>
        <v>0</v>
      </c>
      <c r="V597" s="22">
        <f ca="1">U597*V$676</f>
        <v>0</v>
      </c>
      <c r="W597" s="2">
        <v>0</v>
      </c>
      <c r="X597" s="21">
        <f ca="1">W597/W$646</f>
        <v>0</v>
      </c>
      <c r="Y597" s="22">
        <f ca="1">X597*Y$676</f>
        <v>0</v>
      </c>
      <c r="Z597" s="2">
        <v>0</v>
      </c>
      <c r="AA597" s="21">
        <f ca="1">Z597/Z$646</f>
        <v>0</v>
      </c>
      <c r="AB597" s="22">
        <f ca="1">AA597*AB$676</f>
        <v>0</v>
      </c>
      <c r="AC597" s="2">
        <v>133735.97390973545</v>
      </c>
      <c r="AD597" s="21">
        <f ca="1">AC597/AC$646</f>
        <v>1.2853566882979517E-3</v>
      </c>
      <c r="AE597" s="22">
        <f ca="1">AD597*AE$676</f>
        <v>24133.348589547917</v>
      </c>
      <c r="AF597" s="2">
        <v>0</v>
      </c>
      <c r="AG597" s="21">
        <f ca="1">AF597/AF$646</f>
        <v>0</v>
      </c>
      <c r="AH597" s="22">
        <f ca="1">AG597*AH$676</f>
        <v>0</v>
      </c>
      <c r="AI597" s="2">
        <v>0</v>
      </c>
      <c r="AJ597" s="21">
        <f ca="1">AI597/AI$646</f>
        <v>0</v>
      </c>
      <c r="AK597" s="22">
        <f ca="1">AJ597*AK$676</f>
        <v>0</v>
      </c>
      <c r="AL597" s="2">
        <v>213401.90431541938</v>
      </c>
    </row>
    <row r="598" spans="1:38" ht="12.75" x14ac:dyDescent="0.2">
      <c r="A598" s="8" t="s">
        <v>152</v>
      </c>
      <c r="B598" s="8" t="s">
        <v>17</v>
      </c>
      <c r="C598" s="8" t="s">
        <v>18</v>
      </c>
      <c r="D598" s="8" t="s">
        <v>169</v>
      </c>
      <c r="E598" s="8" t="s">
        <v>170</v>
      </c>
      <c r="F598" s="23" t="s">
        <v>37</v>
      </c>
      <c r="G598" s="8" t="s">
        <v>958</v>
      </c>
      <c r="H598" s="20">
        <v>400127.69754491921</v>
      </c>
      <c r="I598" s="21">
        <f>H598/H$649</f>
        <v>5.6474230727540185E-3</v>
      </c>
      <c r="J598" s="22">
        <f>I598*J$679</f>
        <v>271943.22646582214</v>
      </c>
      <c r="K598" s="2">
        <v>409010.94649331848</v>
      </c>
      <c r="L598" s="21">
        <f ca="1">K598/K$649</f>
        <v>4.8762934663443393E-3</v>
      </c>
      <c r="M598" s="22">
        <f ca="1">L598*M$679</f>
        <v>445363.37570492871</v>
      </c>
      <c r="N598" s="2">
        <v>0</v>
      </c>
      <c r="O598" s="21">
        <f ca="1">N598/N$649</f>
        <v>0</v>
      </c>
      <c r="P598" s="22">
        <f ca="1">O598*P$679</f>
        <v>0</v>
      </c>
      <c r="Q598" s="2">
        <v>0</v>
      </c>
      <c r="R598" s="21">
        <f ca="1">Q598/Q$649</f>
        <v>0</v>
      </c>
      <c r="S598" s="22">
        <f ca="1">R598*S$679</f>
        <v>0</v>
      </c>
      <c r="T598" s="2">
        <v>0</v>
      </c>
      <c r="U598" s="21">
        <f ca="1">T598/T$649</f>
        <v>0</v>
      </c>
      <c r="V598" s="22">
        <f ca="1">U598*V$679</f>
        <v>0</v>
      </c>
      <c r="W598" s="2">
        <v>3567442.2843384002</v>
      </c>
      <c r="X598" s="21">
        <f ca="1">W598/W$649</f>
        <v>4.0113262170646771E-2</v>
      </c>
      <c r="Y598" s="22">
        <f ca="1">X598*Y$679</f>
        <v>10585900.463096386</v>
      </c>
      <c r="Z598" s="2">
        <v>1741118.6680872862</v>
      </c>
      <c r="AA598" s="21">
        <f ca="1">Z598/Z$649</f>
        <v>1.8026890544227521E-2</v>
      </c>
      <c r="AB598" s="22">
        <f ca="1">AA598*AB$679</f>
        <v>4842932.5886825239</v>
      </c>
      <c r="AC598" s="2">
        <v>0</v>
      </c>
      <c r="AD598" s="21">
        <f ca="1">AC598/AC$649</f>
        <v>0</v>
      </c>
      <c r="AE598" s="22">
        <f ca="1">AD598*AE$679</f>
        <v>0</v>
      </c>
      <c r="AF598" s="2">
        <v>0</v>
      </c>
      <c r="AG598" s="21">
        <f ca="1">AF598/AF$649</f>
        <v>0</v>
      </c>
      <c r="AH598" s="22">
        <f ca="1">AG598*AH$679</f>
        <v>0</v>
      </c>
      <c r="AI598" s="2">
        <v>4239595.62248661</v>
      </c>
      <c r="AJ598" s="21">
        <f ca="1">AI598/AI$649</f>
        <v>2.2132590346790142E-2</v>
      </c>
      <c r="AK598" s="22">
        <f ca="1">AJ598*AK$679</f>
        <v>6278987.0570053244</v>
      </c>
      <c r="AL598" s="2">
        <v>10357295.218950532</v>
      </c>
    </row>
    <row r="599" spans="1:38" ht="12.75" x14ac:dyDescent="0.2">
      <c r="A599" s="8" t="s">
        <v>152</v>
      </c>
      <c r="B599" s="8" t="s">
        <v>17</v>
      </c>
      <c r="C599" s="8" t="s">
        <v>18</v>
      </c>
      <c r="D599" s="8" t="s">
        <v>169</v>
      </c>
      <c r="E599" s="8" t="s">
        <v>170</v>
      </c>
      <c r="F599" s="8" t="s">
        <v>27</v>
      </c>
      <c r="G599" s="8" t="s">
        <v>959</v>
      </c>
      <c r="H599" s="20">
        <v>620000</v>
      </c>
      <c r="I599" s="21">
        <f>H599/H$657</f>
        <v>1.2156089404522388E-2</v>
      </c>
      <c r="J599" s="22">
        <f>I599*J$687</f>
        <v>126094.88442741205</v>
      </c>
      <c r="K599" s="2">
        <v>620000</v>
      </c>
      <c r="L599" s="21">
        <f ca="1">K599/K$657</f>
        <v>1.5873694290136978E-2</v>
      </c>
      <c r="M599" s="22">
        <f ca="1">L599*M$687</f>
        <v>249320.95717905666</v>
      </c>
      <c r="N599" s="2">
        <v>620000</v>
      </c>
      <c r="O599" s="21">
        <f ca="1">N599/N$657</f>
        <v>1.120967760447053E-2</v>
      </c>
      <c r="P599" s="22">
        <f ca="1">O599*P$687</f>
        <v>180643.04963876959</v>
      </c>
      <c r="Q599" s="2">
        <v>620000</v>
      </c>
      <c r="R599" s="21">
        <f ca="1">Q599/Q$657</f>
        <v>1.1225453742210866E-2</v>
      </c>
      <c r="S599" s="22">
        <f ca="1">R599*S$687</f>
        <v>185057.91836003982</v>
      </c>
      <c r="T599" s="2">
        <v>620000</v>
      </c>
      <c r="U599" s="21">
        <f ca="1">T599/T$657</f>
        <v>1.6026649157228491E-2</v>
      </c>
      <c r="V599" s="22">
        <f ca="1">U599*V$687</f>
        <v>269756.6998781524</v>
      </c>
      <c r="W599" s="2">
        <v>620000</v>
      </c>
      <c r="X599" s="21">
        <f ca="1">W599/W$657</f>
        <v>1.5821876939564068E-2</v>
      </c>
      <c r="Y599" s="22">
        <f ca="1">X599*Y$687</f>
        <v>271636.22360491962</v>
      </c>
      <c r="Z599" s="2">
        <v>620000</v>
      </c>
      <c r="AA599" s="21">
        <f ca="1">Z599/Z$657</f>
        <v>1.2782250041746259E-2</v>
      </c>
      <c r="AB599" s="22">
        <f ca="1">AA599*AB$687</f>
        <v>223400.82295481465</v>
      </c>
      <c r="AC599" s="2">
        <v>620000</v>
      </c>
      <c r="AD599" s="21">
        <f ca="1">AC599/AC$657</f>
        <v>1.128768114858269E-2</v>
      </c>
      <c r="AE599" s="22">
        <f ca="1">AD599*AE$687</f>
        <v>201027.91903756754</v>
      </c>
      <c r="AF599" s="2">
        <v>620000</v>
      </c>
      <c r="AG599" s="21">
        <f ca="1">AF599/AF$657</f>
        <v>1.2405584071801217E-2</v>
      </c>
      <c r="AH599" s="22">
        <f ca="1">AG599*AH$687</f>
        <v>224914.07709490426</v>
      </c>
      <c r="AI599" s="2">
        <v>620000</v>
      </c>
      <c r="AJ599" s="21">
        <f ca="1">AI599/AI$657</f>
        <v>1.1172512093458145E-2</v>
      </c>
      <c r="AK599" s="22">
        <f ca="1">AJ599*AK$687</f>
        <v>206204.44996118173</v>
      </c>
      <c r="AL599" s="2">
        <v>6200000</v>
      </c>
    </row>
    <row r="600" spans="1:38" ht="12.75" x14ac:dyDescent="0.2">
      <c r="A600" s="8" t="s">
        <v>152</v>
      </c>
      <c r="B600" s="8" t="s">
        <v>17</v>
      </c>
      <c r="C600" s="8" t="s">
        <v>18</v>
      </c>
      <c r="D600" s="8" t="s">
        <v>169</v>
      </c>
      <c r="E600" s="8" t="s">
        <v>170</v>
      </c>
      <c r="F600" s="8" t="s">
        <v>34</v>
      </c>
      <c r="G600" s="8" t="s">
        <v>960</v>
      </c>
      <c r="H600" s="20">
        <v>138457.53742148718</v>
      </c>
      <c r="I600" s="21">
        <f>H600/H$653</f>
        <v>6.1882621028207817E-2</v>
      </c>
      <c r="J600" s="22">
        <f>I600*J$683</f>
        <v>130396.95502152455</v>
      </c>
      <c r="K600" s="2">
        <v>421400.8230803709</v>
      </c>
      <c r="L600" s="21">
        <f ca="1">K600/K$653</f>
        <v>0.12635897499735879</v>
      </c>
      <c r="M600" s="22">
        <f ca="1">L600*M$683</f>
        <v>194684.30539383064</v>
      </c>
      <c r="N600" s="2">
        <v>363806.27143733035</v>
      </c>
      <c r="O600" s="21">
        <f ca="1">N600/N$653</f>
        <v>3.257529463169611E-2</v>
      </c>
      <c r="P600" s="22">
        <f ca="1">O600*P$683</f>
        <v>51494.466110223439</v>
      </c>
      <c r="Q600" s="2">
        <v>34689.201881990863</v>
      </c>
      <c r="R600" s="21">
        <f ca="1">Q600/Q$653</f>
        <v>2.6516447655523957E-3</v>
      </c>
      <c r="S600" s="22">
        <f ca="1">R600*S$683</f>
        <v>4288.0830170305571</v>
      </c>
      <c r="T600" s="2">
        <v>426988.68602664868</v>
      </c>
      <c r="U600" s="21">
        <f ca="1">T600/T$653</f>
        <v>3.2379448052761925E-2</v>
      </c>
      <c r="V600" s="22">
        <f ca="1">U600*V$683</f>
        <v>53461.732259679178</v>
      </c>
      <c r="W600" s="2">
        <v>150664.34470665801</v>
      </c>
      <c r="X600" s="21">
        <f ca="1">W600/W$653</f>
        <v>1.3546710567982222E-2</v>
      </c>
      <c r="Y600" s="22">
        <f ca="1">X600*Y$683</f>
        <v>22814.324132539812</v>
      </c>
      <c r="Z600" s="2">
        <v>251537.4494032152</v>
      </c>
      <c r="AA600" s="21">
        <f ca="1">Z600/Z$653</f>
        <v>2.2509077156886242E-2</v>
      </c>
      <c r="AB600" s="22">
        <f ca="1">AA600*AB$683</f>
        <v>38590.394938711353</v>
      </c>
      <c r="AC600" s="2">
        <v>327111.85523676901</v>
      </c>
      <c r="AD600" s="21">
        <f ca="1">AC600/AC$653</f>
        <v>2.519912880628471E-2</v>
      </c>
      <c r="AE600" s="22">
        <f ca="1">AD600*AE$683</f>
        <v>44023.163278717475</v>
      </c>
      <c r="AF600" s="2">
        <v>349770.60045133077</v>
      </c>
      <c r="AG600" s="21">
        <f ca="1">AF600/AF$653</f>
        <v>2.9252389596811482E-2</v>
      </c>
      <c r="AH600" s="22">
        <f ca="1">AG600*AH$683</f>
        <v>52024.132256419151</v>
      </c>
      <c r="AI600" s="2">
        <v>109514.70677136692</v>
      </c>
      <c r="AJ600" s="21">
        <f ca="1">AI600/AI$653</f>
        <v>8.0560495809235792E-3</v>
      </c>
      <c r="AK600" s="22">
        <f ca="1">AJ600*AK$683</f>
        <v>14585.234070762317</v>
      </c>
      <c r="AL600" s="2">
        <v>2573941.4764171676</v>
      </c>
    </row>
    <row r="601" spans="1:38" ht="12.75" x14ac:dyDescent="0.2">
      <c r="A601" s="8" t="s">
        <v>152</v>
      </c>
      <c r="B601" s="8" t="s">
        <v>17</v>
      </c>
      <c r="C601" s="8" t="s">
        <v>18</v>
      </c>
      <c r="D601" s="8" t="s">
        <v>169</v>
      </c>
      <c r="E601" s="8" t="s">
        <v>171</v>
      </c>
      <c r="F601" s="23" t="s">
        <v>37</v>
      </c>
      <c r="G601" s="8" t="s">
        <v>961</v>
      </c>
      <c r="H601" s="20">
        <v>250000</v>
      </c>
      <c r="I601" s="21">
        <f t="shared" ref="I601:I602" si="1200">H601/H$649</f>
        <v>3.5285129643643489E-3</v>
      </c>
      <c r="J601" s="22">
        <f t="shared" ref="J601:J602" si="1201">I601*J$679</f>
        <v>169910.27372910944</v>
      </c>
      <c r="K601" s="2">
        <v>250000</v>
      </c>
      <c r="L601" s="21">
        <f t="shared" ref="L601:L602" ca="1" si="1202">K601/K$649</f>
        <v>2.9805397069146639E-3</v>
      </c>
      <c r="M601" s="22">
        <f t="shared" ref="M601:M602" ca="1" si="1203">L601*M$679</f>
        <v>272219.71656460548</v>
      </c>
      <c r="N601" s="2">
        <v>250000</v>
      </c>
      <c r="O601" s="21">
        <f t="shared" ref="O601:O602" ca="1" si="1204">N601/N$649</f>
        <v>2.8008397796176927E-3</v>
      </c>
      <c r="P601" s="22">
        <f t="shared" ref="P601:P602" ca="1" si="1205">O601*P$679</f>
        <v>693787.61447231541</v>
      </c>
      <c r="Q601" s="2">
        <v>250000</v>
      </c>
      <c r="R601" s="21">
        <f t="shared" ref="R601:R602" ca="1" si="1206">Q601/Q$649</f>
        <v>3.1736728350068829E-3</v>
      </c>
      <c r="S601" s="22">
        <f t="shared" ref="S601:S602" ca="1" si="1207">R601*S$679</f>
        <v>804222.2138250299</v>
      </c>
      <c r="T601" s="2">
        <v>250000</v>
      </c>
      <c r="U601" s="21">
        <f t="shared" ref="U601:U602" ca="1" si="1208">T601/T$649</f>
        <v>3.2169268296683116E-3</v>
      </c>
      <c r="V601" s="22">
        <f t="shared" ref="V601:V602" ca="1" si="1209">U601*V$679</f>
        <v>832301.80248688208</v>
      </c>
      <c r="W601" s="2">
        <v>250000</v>
      </c>
      <c r="X601" s="21">
        <f t="shared" ref="X601:X602" ca="1" si="1210">W601/W$649</f>
        <v>2.8110659524016638E-3</v>
      </c>
      <c r="Y601" s="22">
        <f t="shared" ref="Y601:Y602" ca="1" si="1211">X601*Y$679</f>
        <v>741841.04600444809</v>
      </c>
      <c r="Z601" s="2">
        <v>250000</v>
      </c>
      <c r="AA601" s="21">
        <f t="shared" ref="AA601:AA602" ca="1" si="1212">Z601/Z$649</f>
        <v>2.5884063611860304E-3</v>
      </c>
      <c r="AB601" s="22">
        <f t="shared" ref="AB601:AB602" ca="1" si="1213">AA601*AB$679</f>
        <v>695376.58136805077</v>
      </c>
      <c r="AC601" s="2">
        <v>250000</v>
      </c>
      <c r="AD601" s="21">
        <f t="shared" ref="AD601:AD602" ca="1" si="1214">AC601/AC$649</f>
        <v>2.5557178476187355E-3</v>
      </c>
      <c r="AE601" s="22">
        <f t="shared" ref="AE601:AE602" ca="1" si="1215">AD601*AE$679</f>
        <v>699640.09802795178</v>
      </c>
      <c r="AF601" s="2">
        <v>250000</v>
      </c>
      <c r="AG601" s="21">
        <f t="shared" ref="AG601:AG602" ca="1" si="1216">AF601/AF$649</f>
        <v>2.4663527731707069E-3</v>
      </c>
      <c r="AH601" s="22">
        <f t="shared" ref="AH601:AH602" ca="1" si="1217">AG601*AH$679</f>
        <v>687329.14509607758</v>
      </c>
      <c r="AI601" s="2">
        <v>250000</v>
      </c>
      <c r="AJ601" s="21">
        <f t="shared" ref="AJ601:AJ602" ca="1" si="1218">AI601/AI$649</f>
        <v>1.3051121095960165E-3</v>
      </c>
      <c r="AK601" s="22">
        <f t="shared" ref="AK601:AK602" ca="1" si="1219">AJ601*AK$679</f>
        <v>370258.60577963392</v>
      </c>
      <c r="AL601" s="2">
        <v>2500000</v>
      </c>
    </row>
    <row r="602" spans="1:38" ht="12.75" x14ac:dyDescent="0.2">
      <c r="A602" s="8" t="s">
        <v>152</v>
      </c>
      <c r="B602" s="8" t="s">
        <v>17</v>
      </c>
      <c r="C602" s="8" t="s">
        <v>18</v>
      </c>
      <c r="D602" s="8" t="s">
        <v>169</v>
      </c>
      <c r="E602" s="8" t="s">
        <v>962</v>
      </c>
      <c r="F602" s="23" t="s">
        <v>37</v>
      </c>
      <c r="G602" s="8" t="s">
        <v>963</v>
      </c>
      <c r="H602" s="20">
        <v>0</v>
      </c>
      <c r="I602" s="21">
        <f t="shared" si="1200"/>
        <v>0</v>
      </c>
      <c r="J602" s="22">
        <f t="shared" si="1201"/>
        <v>0</v>
      </c>
      <c r="K602" s="2">
        <v>0</v>
      </c>
      <c r="L602" s="21">
        <f t="shared" ca="1" si="1202"/>
        <v>0</v>
      </c>
      <c r="M602" s="22">
        <f t="shared" ca="1" si="1203"/>
        <v>0</v>
      </c>
      <c r="N602" s="2">
        <v>0</v>
      </c>
      <c r="O602" s="21">
        <f t="shared" ca="1" si="1204"/>
        <v>0</v>
      </c>
      <c r="P602" s="22">
        <f t="shared" ca="1" si="1205"/>
        <v>0</v>
      </c>
      <c r="Q602" s="2">
        <v>0</v>
      </c>
      <c r="R602" s="21">
        <f t="shared" ca="1" si="1206"/>
        <v>0</v>
      </c>
      <c r="S602" s="22">
        <f t="shared" ca="1" si="1207"/>
        <v>0</v>
      </c>
      <c r="T602" s="2">
        <v>0</v>
      </c>
      <c r="U602" s="21">
        <f t="shared" ca="1" si="1208"/>
        <v>0</v>
      </c>
      <c r="V602" s="22">
        <f t="shared" ca="1" si="1209"/>
        <v>0</v>
      </c>
      <c r="W602" s="2">
        <v>0</v>
      </c>
      <c r="X602" s="21">
        <f t="shared" ca="1" si="1210"/>
        <v>0</v>
      </c>
      <c r="Y602" s="22">
        <f t="shared" ca="1" si="1211"/>
        <v>0</v>
      </c>
      <c r="Z602" s="2">
        <v>0</v>
      </c>
      <c r="AA602" s="21">
        <f t="shared" ca="1" si="1212"/>
        <v>0</v>
      </c>
      <c r="AB602" s="22">
        <f t="shared" ca="1" si="1213"/>
        <v>0</v>
      </c>
      <c r="AC602" s="2">
        <v>0</v>
      </c>
      <c r="AD602" s="21">
        <f t="shared" ca="1" si="1214"/>
        <v>0</v>
      </c>
      <c r="AE602" s="22">
        <f t="shared" ca="1" si="1215"/>
        <v>0</v>
      </c>
      <c r="AF602" s="2">
        <v>0</v>
      </c>
      <c r="AG602" s="21">
        <f t="shared" ca="1" si="1216"/>
        <v>0</v>
      </c>
      <c r="AH602" s="22">
        <f t="shared" ca="1" si="1217"/>
        <v>0</v>
      </c>
      <c r="AI602" s="2">
        <v>575674.75585642084</v>
      </c>
      <c r="AJ602" s="21">
        <f t="shared" ca="1" si="1218"/>
        <v>3.0052803802277806E-3</v>
      </c>
      <c r="AK602" s="22">
        <f t="shared" ca="1" si="1219"/>
        <v>852594.12994371809</v>
      </c>
      <c r="AL602" s="2">
        <v>575674.75585642084</v>
      </c>
    </row>
    <row r="603" spans="1:38" ht="12.75" x14ac:dyDescent="0.2">
      <c r="A603" s="8" t="s">
        <v>152</v>
      </c>
      <c r="B603" s="8" t="s">
        <v>17</v>
      </c>
      <c r="C603" s="8" t="s">
        <v>18</v>
      </c>
      <c r="D603" s="8" t="s">
        <v>169</v>
      </c>
      <c r="E603" s="8" t="s">
        <v>172</v>
      </c>
      <c r="F603" s="8" t="s">
        <v>26</v>
      </c>
      <c r="G603" s="8" t="s">
        <v>964</v>
      </c>
      <c r="H603" s="20">
        <v>0</v>
      </c>
      <c r="I603" s="21">
        <f>H603/H$655</f>
        <v>0</v>
      </c>
      <c r="J603" s="22">
        <f>I603*J$685</f>
        <v>0</v>
      </c>
      <c r="K603" s="2">
        <v>0</v>
      </c>
      <c r="L603" s="21">
        <f ca="1">K603/K$655</f>
        <v>0</v>
      </c>
      <c r="M603" s="22">
        <f ca="1">L603*M$685</f>
        <v>0</v>
      </c>
      <c r="N603" s="2">
        <v>0</v>
      </c>
      <c r="O603" s="21">
        <f ca="1">N603/N$655</f>
        <v>0</v>
      </c>
      <c r="P603" s="22">
        <f ca="1">O603*P$685</f>
        <v>0</v>
      </c>
      <c r="Q603" s="2">
        <v>0</v>
      </c>
      <c r="R603" s="21">
        <f ca="1">Q603/Q$655</f>
        <v>0</v>
      </c>
      <c r="S603" s="22">
        <f ca="1">R603*S$685</f>
        <v>0</v>
      </c>
      <c r="T603" s="2">
        <v>0</v>
      </c>
      <c r="U603" s="21">
        <f ca="1">T603/T$655</f>
        <v>0</v>
      </c>
      <c r="V603" s="22">
        <f ca="1">U603*V$685</f>
        <v>0</v>
      </c>
      <c r="W603" s="2">
        <v>0</v>
      </c>
      <c r="X603" s="21">
        <f ca="1">W603/W$655</f>
        <v>0</v>
      </c>
      <c r="Y603" s="22">
        <f ca="1">X603*Y$685</f>
        <v>0</v>
      </c>
      <c r="Z603" s="2">
        <v>0</v>
      </c>
      <c r="AA603" s="21">
        <f ca="1">Z603/Z$655</f>
        <v>0</v>
      </c>
      <c r="AB603" s="22">
        <f ca="1">AA603*AB$685</f>
        <v>0</v>
      </c>
      <c r="AC603" s="2">
        <v>303645.35043671425</v>
      </c>
      <c r="AD603" s="21">
        <f ca="1">AC603/AC$655</f>
        <v>2.6952344966144283E-3</v>
      </c>
      <c r="AE603" s="22">
        <f ca="1">AD603*AE$685</f>
        <v>8456.256645659485</v>
      </c>
      <c r="AF603" s="2">
        <v>0</v>
      </c>
      <c r="AG603" s="21">
        <f ca="1">AF603/AF$655</f>
        <v>0</v>
      </c>
      <c r="AH603" s="22">
        <f ca="1">AG603*AH$685</f>
        <v>0</v>
      </c>
      <c r="AI603" s="2">
        <v>0</v>
      </c>
      <c r="AJ603" s="21">
        <f ca="1">AI603/AI$655</f>
        <v>0</v>
      </c>
      <c r="AK603" s="22">
        <f ca="1">AJ603*AK$685</f>
        <v>0</v>
      </c>
      <c r="AL603" s="2">
        <v>303645.35043671425</v>
      </c>
    </row>
    <row r="604" spans="1:38" ht="12.75" x14ac:dyDescent="0.2">
      <c r="A604" s="8" t="s">
        <v>152</v>
      </c>
      <c r="B604" s="8" t="s">
        <v>17</v>
      </c>
      <c r="C604" s="8" t="s">
        <v>18</v>
      </c>
      <c r="D604" s="8" t="s">
        <v>173</v>
      </c>
      <c r="E604" s="8" t="s">
        <v>174</v>
      </c>
      <c r="F604" s="8" t="s">
        <v>21</v>
      </c>
      <c r="G604" s="8" t="s">
        <v>965</v>
      </c>
      <c r="H604" s="20">
        <v>77000</v>
      </c>
      <c r="I604" s="21">
        <f>H604/H$645</f>
        <v>5.0962424176650908E-3</v>
      </c>
      <c r="J604" s="22">
        <f>I604*J$675</f>
        <v>719.58942937431084</v>
      </c>
      <c r="K604" s="2">
        <v>77000</v>
      </c>
      <c r="L604" s="21">
        <f ca="1">K604/K$645</f>
        <v>5.0330301284176367E-3</v>
      </c>
      <c r="M604" s="22">
        <f ca="1">L604*M$675</f>
        <v>2171.5511792070733</v>
      </c>
      <c r="N604" s="2">
        <v>77000</v>
      </c>
      <c r="O604" s="21">
        <f ca="1">N604/N$645</f>
        <v>3.5444152029625317E-3</v>
      </c>
      <c r="P604" s="22">
        <f ca="1">O604*P$675</f>
        <v>1569.0344914404395</v>
      </c>
      <c r="Q604" s="2">
        <v>77000</v>
      </c>
      <c r="R604" s="21">
        <f ca="1">Q604/Q$645</f>
        <v>3.0498416651958578E-3</v>
      </c>
      <c r="S604" s="22">
        <f ca="1">R604*S$675</f>
        <v>1381.1499240718467</v>
      </c>
      <c r="T604" s="2">
        <v>77000</v>
      </c>
      <c r="U604" s="21">
        <f ca="1">T604/T$645</f>
        <v>3.7304114620079782E-3</v>
      </c>
      <c r="V604" s="22">
        <f ca="1">U604*V$675</f>
        <v>1724.828855524044</v>
      </c>
      <c r="W604" s="2">
        <v>77000</v>
      </c>
      <c r="X604" s="21">
        <f ca="1">W604/W$645</f>
        <v>3.7251386420926809E-3</v>
      </c>
      <c r="Y604" s="22">
        <f ca="1">X604*Y$675</f>
        <v>1756.838710967824</v>
      </c>
      <c r="Z604" s="2">
        <v>77000</v>
      </c>
      <c r="AA604" s="21">
        <f ca="1">Z604/Z$645</f>
        <v>3.74273077270084E-3</v>
      </c>
      <c r="AB604" s="22">
        <f ca="1">AA604*AB$675</f>
        <v>1796.9078746313867</v>
      </c>
      <c r="AC604" s="2">
        <v>77000</v>
      </c>
      <c r="AD604" s="21">
        <f ca="1">AC604/AC$645</f>
        <v>3.2423309275820423E-3</v>
      </c>
      <c r="AE604" s="22">
        <f ca="1">AD604*AE$675</f>
        <v>1586.2394641188187</v>
      </c>
      <c r="AF604" s="2">
        <v>77000</v>
      </c>
      <c r="AG604" s="21">
        <f ca="1">AF604/AF$645</f>
        <v>3.5300744204944815E-3</v>
      </c>
      <c r="AH604" s="22">
        <f ca="1">AG604*AH$675</f>
        <v>1758.097860552921</v>
      </c>
      <c r="AI604" s="2">
        <v>77000</v>
      </c>
      <c r="AJ604" s="21">
        <f ca="1">AI604/AI$645</f>
        <v>3.020050904525002E-3</v>
      </c>
      <c r="AK604" s="22">
        <f ca="1">AJ604*AK$675</f>
        <v>1531.1623053351268</v>
      </c>
      <c r="AL604" s="2">
        <v>770000</v>
      </c>
    </row>
    <row r="605" spans="1:38" ht="12.75" x14ac:dyDescent="0.2">
      <c r="A605" s="8" t="s">
        <v>152</v>
      </c>
      <c r="B605" s="8" t="s">
        <v>17</v>
      </c>
      <c r="C605" s="8" t="s">
        <v>18</v>
      </c>
      <c r="D605" s="8" t="s">
        <v>173</v>
      </c>
      <c r="E605" s="8" t="s">
        <v>174</v>
      </c>
      <c r="F605" s="23" t="s">
        <v>37</v>
      </c>
      <c r="G605" s="8" t="s">
        <v>966</v>
      </c>
      <c r="H605" s="20">
        <v>1198690.6302040562</v>
      </c>
      <c r="I605" s="21">
        <f>H605/H$649</f>
        <v>1.6918381715748335E-2</v>
      </c>
      <c r="J605" s="22">
        <f>I605*J$679</f>
        <v>814679.41237795947</v>
      </c>
      <c r="K605" s="2">
        <v>1198516.990796037</v>
      </c>
      <c r="L605" s="21">
        <f ca="1">K605/K$649</f>
        <v>1.428890992191786E-2</v>
      </c>
      <c r="M605" s="22">
        <f ca="1">L605*M$679</f>
        <v>1305039.8221294442</v>
      </c>
      <c r="N605" s="2">
        <v>3304953.3547083926</v>
      </c>
      <c r="O605" s="21">
        <f ca="1">N605/N$649</f>
        <v>3.7026579302592837E-2</v>
      </c>
      <c r="P605" s="22">
        <f ca="1">O605*P$679</f>
        <v>9171742.815621648</v>
      </c>
      <c r="Q605" s="2">
        <v>2047749.8085962045</v>
      </c>
      <c r="R605" s="21">
        <f ca="1">Q605/Q$649</f>
        <v>2.5995551761729272E-2</v>
      </c>
      <c r="S605" s="22">
        <f ca="1">R605*S$679</f>
        <v>6587383.5377160832</v>
      </c>
      <c r="T605" s="2">
        <v>1860379.5289745033</v>
      </c>
      <c r="U605" s="21">
        <f ca="1">T605/T$649</f>
        <v>2.3938819280495103E-2</v>
      </c>
      <c r="V605" s="22">
        <f ca="1">U605*V$679</f>
        <v>6193588.9411007026</v>
      </c>
      <c r="W605" s="2">
        <v>1971657.5300370334</v>
      </c>
      <c r="X605" s="21">
        <f ca="1">W605/W$649</f>
        <v>2.2169837409933862E-2</v>
      </c>
      <c r="Y605" s="22">
        <f ca="1">X605*Y$679</f>
        <v>5850625.9377808776</v>
      </c>
      <c r="Z605" s="2">
        <v>2003812.2654421139</v>
      </c>
      <c r="AA605" s="21">
        <f ca="1">Z605/Z$649</f>
        <v>2.0746721657971832E-2</v>
      </c>
      <c r="AB605" s="22">
        <f ca="1">AA605*AB$679</f>
        <v>5573616.4913860252</v>
      </c>
      <c r="AC605" s="2">
        <v>2011339.4375572121</v>
      </c>
      <c r="AD605" s="21">
        <f ca="1">AC605/AC$649</f>
        <v>2.0561664392737582E-2</v>
      </c>
      <c r="AE605" s="22">
        <f ca="1">AD605*AE$679</f>
        <v>5628854.8850400532</v>
      </c>
      <c r="AF605" s="2">
        <v>1913421.2113321843</v>
      </c>
      <c r="AG605" s="21">
        <f ca="1">AF605/AF$649</f>
        <v>1.8876686843251143E-2</v>
      </c>
      <c r="AH605" s="22">
        <f ca="1">AG605*AH$679</f>
        <v>5260600.6615746049</v>
      </c>
      <c r="AI605" s="2">
        <v>2855972.3645692221</v>
      </c>
      <c r="AJ605" s="21">
        <f ca="1">AI605/AI$649</f>
        <v>1.4909456470683443E-2</v>
      </c>
      <c r="AK605" s="22">
        <f ca="1">AJ605*AK$679</f>
        <v>4229793.3834022582</v>
      </c>
      <c r="AL605" s="2">
        <v>20366493.122216959</v>
      </c>
    </row>
    <row r="606" spans="1:38" ht="12.75" x14ac:dyDescent="0.2">
      <c r="A606" s="8" t="s">
        <v>152</v>
      </c>
      <c r="B606" s="8" t="s">
        <v>17</v>
      </c>
      <c r="C606" s="8" t="s">
        <v>18</v>
      </c>
      <c r="D606" s="8" t="s">
        <v>173</v>
      </c>
      <c r="E606" s="8" t="s">
        <v>174</v>
      </c>
      <c r="F606" s="8" t="s">
        <v>26</v>
      </c>
      <c r="G606" s="8" t="s">
        <v>967</v>
      </c>
      <c r="H606" s="20">
        <v>10899.567592817455</v>
      </c>
      <c r="I606" s="21">
        <f>H606/H$655</f>
        <v>2.748101481079846E-4</v>
      </c>
      <c r="J606" s="22">
        <f>I606*J$685</f>
        <v>663.24824663536242</v>
      </c>
      <c r="K606" s="2">
        <v>0</v>
      </c>
      <c r="L606" s="21">
        <f ca="1">K606/K$655</f>
        <v>0</v>
      </c>
      <c r="M606" s="22">
        <f ca="1">L606*M$685</f>
        <v>0</v>
      </c>
      <c r="N606" s="2">
        <v>27082.76500013009</v>
      </c>
      <c r="O606" s="21">
        <f ca="1">N606/N$655</f>
        <v>2.3413534913784134E-4</v>
      </c>
      <c r="P606" s="22">
        <f ca="1">O606*P$685</f>
        <v>664.69907858076363</v>
      </c>
      <c r="Q606" s="2">
        <v>28018.201520069542</v>
      </c>
      <c r="R606" s="21">
        <f ca="1">Q606/Q$655</f>
        <v>2.0125498782816678E-4</v>
      </c>
      <c r="S606" s="22">
        <f ca="1">R606*S$685</f>
        <v>584.49442809077584</v>
      </c>
      <c r="T606" s="2">
        <v>0</v>
      </c>
      <c r="U606" s="21">
        <f ca="1">T606/T$655</f>
        <v>0</v>
      </c>
      <c r="V606" s="22">
        <f ca="1">U606*V$685</f>
        <v>0</v>
      </c>
      <c r="W606" s="2">
        <v>8774.2964255648931</v>
      </c>
      <c r="X606" s="21">
        <f ca="1">W606/W$655</f>
        <v>8.1846171003813583E-5</v>
      </c>
      <c r="Y606" s="22">
        <f ca="1">X606*Y$685</f>
        <v>247.54719156175688</v>
      </c>
      <c r="Z606" s="2">
        <v>0</v>
      </c>
      <c r="AA606" s="21">
        <f ca="1">Z606/Z$655</f>
        <v>0</v>
      </c>
      <c r="AB606" s="22">
        <f ca="1">AA606*AB$685</f>
        <v>0</v>
      </c>
      <c r="AC606" s="2">
        <v>17954.681591040495</v>
      </c>
      <c r="AD606" s="21">
        <f ca="1">AC606/AC$655</f>
        <v>1.5937038762589662E-4</v>
      </c>
      <c r="AE606" s="22">
        <f ca="1">AD606*AE$685</f>
        <v>500.02213209116957</v>
      </c>
      <c r="AF606" s="2">
        <v>0</v>
      </c>
      <c r="AG606" s="21">
        <f ca="1">AF606/AF$655</f>
        <v>0</v>
      </c>
      <c r="AH606" s="22">
        <f ca="1">AG606*AH$685</f>
        <v>0</v>
      </c>
      <c r="AI606" s="2">
        <v>0</v>
      </c>
      <c r="AJ606" s="21">
        <f ca="1">AI606/AI$655</f>
        <v>0</v>
      </c>
      <c r="AK606" s="22">
        <f ca="1">AJ606*AK$685</f>
        <v>0</v>
      </c>
      <c r="AL606" s="2">
        <v>92729.512129622482</v>
      </c>
    </row>
    <row r="607" spans="1:38" ht="12.75" x14ac:dyDescent="0.2">
      <c r="A607" s="8" t="s">
        <v>152</v>
      </c>
      <c r="B607" s="8" t="s">
        <v>17</v>
      </c>
      <c r="C607" s="8" t="s">
        <v>18</v>
      </c>
      <c r="D607" s="8" t="s">
        <v>173</v>
      </c>
      <c r="E607" s="8" t="s">
        <v>174</v>
      </c>
      <c r="F607" s="8" t="s">
        <v>28</v>
      </c>
      <c r="G607" s="8" t="s">
        <v>968</v>
      </c>
      <c r="H607" s="20">
        <v>0</v>
      </c>
      <c r="I607" s="21">
        <f>H607/H$669</f>
        <v>0</v>
      </c>
      <c r="J607" s="22">
        <f>I607*J$699</f>
        <v>0</v>
      </c>
      <c r="K607" s="2">
        <v>0</v>
      </c>
      <c r="L607" s="21">
        <f ca="1">K607/K$669</f>
        <v>0</v>
      </c>
      <c r="M607" s="22">
        <f ca="1">L607*M$699</f>
        <v>0</v>
      </c>
      <c r="N607" s="2">
        <v>0</v>
      </c>
      <c r="O607" s="21">
        <f ca="1">N607/N$669</f>
        <v>0</v>
      </c>
      <c r="P607" s="22">
        <f ca="1">O607*P$699</f>
        <v>0</v>
      </c>
      <c r="Q607" s="2">
        <v>0</v>
      </c>
      <c r="R607" s="21">
        <f ca="1">Q607/Q$669</f>
        <v>0</v>
      </c>
      <c r="S607" s="22">
        <f ca="1">R607*S$699</f>
        <v>0</v>
      </c>
      <c r="T607" s="2">
        <v>0</v>
      </c>
      <c r="U607" s="21">
        <f ca="1">T607/T$669</f>
        <v>0</v>
      </c>
      <c r="V607" s="22">
        <f ca="1">U607*V$699</f>
        <v>0</v>
      </c>
      <c r="W607" s="2">
        <v>13878.735030551314</v>
      </c>
      <c r="X607" s="21">
        <f ca="1">W607/W$669</f>
        <v>4.9755645440834257E-4</v>
      </c>
      <c r="Y607" s="22">
        <f ca="1">X607*Y$699</f>
        <v>2577.7704070194741</v>
      </c>
      <c r="Z607" s="2">
        <v>0</v>
      </c>
      <c r="AA607" s="21">
        <f ca="1">Z607/Z$669</f>
        <v>0</v>
      </c>
      <c r="AB607" s="22">
        <f ca="1">AA607*AB$699</f>
        <v>0</v>
      </c>
      <c r="AC607" s="2">
        <v>0</v>
      </c>
      <c r="AD607" s="21">
        <f ca="1">AC607/AC$669</f>
        <v>0</v>
      </c>
      <c r="AE607" s="22">
        <f ca="1">AD607*AE$699</f>
        <v>0</v>
      </c>
      <c r="AF607" s="2">
        <v>0</v>
      </c>
      <c r="AG607" s="21">
        <f ca="1">AF607/AF$669</f>
        <v>0</v>
      </c>
      <c r="AH607" s="22">
        <f ca="1">AG607*AH$699</f>
        <v>0</v>
      </c>
      <c r="AI607" s="2">
        <v>0</v>
      </c>
      <c r="AJ607" s="21">
        <f ca="1">AI607/AI$669</f>
        <v>0</v>
      </c>
      <c r="AK607" s="22">
        <f ca="1">AJ607*AK$699</f>
        <v>0</v>
      </c>
      <c r="AL607" s="2">
        <v>13878.735030551314</v>
      </c>
    </row>
    <row r="608" spans="1:38" ht="12.75" x14ac:dyDescent="0.2">
      <c r="A608" s="8" t="s">
        <v>152</v>
      </c>
      <c r="B608" s="8" t="s">
        <v>17</v>
      </c>
      <c r="C608" s="8" t="s">
        <v>18</v>
      </c>
      <c r="D608" s="8" t="s">
        <v>173</v>
      </c>
      <c r="E608" s="8" t="s">
        <v>174</v>
      </c>
      <c r="F608" s="8" t="s">
        <v>34</v>
      </c>
      <c r="G608" s="8" t="s">
        <v>969</v>
      </c>
      <c r="H608" s="20">
        <v>60343.969672962085</v>
      </c>
      <c r="I608" s="21">
        <f t="shared" ref="I608:I609" si="1220">H608/H$653</f>
        <v>2.6970312170452211E-2</v>
      </c>
      <c r="J608" s="22">
        <f t="shared" ref="J608:J609" si="1221">I608*J$683</f>
        <v>56830.924814963102</v>
      </c>
      <c r="K608" s="2">
        <v>154831.25461117455</v>
      </c>
      <c r="L608" s="21">
        <f t="shared" ref="L608:L609" ca="1" si="1222">K608/K$653</f>
        <v>4.6426863828150922E-2</v>
      </c>
      <c r="M608" s="22">
        <f t="shared" ref="M608:M609" ca="1" si="1223">L608*M$683</f>
        <v>71530.983344763998</v>
      </c>
      <c r="N608" s="2">
        <v>207988.98912369844</v>
      </c>
      <c r="O608" s="21">
        <f t="shared" ref="O608:O609" ca="1" si="1224">N608/N$653</f>
        <v>1.8623380443897143E-2</v>
      </c>
      <c r="P608" s="22">
        <f t="shared" ref="P608:P609" ca="1" si="1225">O608*P$683</f>
        <v>29439.519856036579</v>
      </c>
      <c r="Q608" s="2">
        <v>17344.600940995431</v>
      </c>
      <c r="R608" s="21">
        <f t="shared" ref="R608:R609" ca="1" si="1226">Q608/Q$653</f>
        <v>1.3258223827761978E-3</v>
      </c>
      <c r="S608" s="22">
        <f t="shared" ref="S608:S609" ca="1" si="1227">R608*S$683</f>
        <v>2144.0415085152786</v>
      </c>
      <c r="T608" s="2">
        <v>252707.58968924105</v>
      </c>
      <c r="U608" s="21">
        <f t="shared" ref="U608:U609" ca="1" si="1228">T608/T$653</f>
        <v>1.9163346806736647E-2</v>
      </c>
      <c r="V608" s="22">
        <f t="shared" ref="V608:V609" ca="1" si="1229">U608*V$683</f>
        <v>31640.617051646856</v>
      </c>
      <c r="W608" s="2">
        <v>43404.409314296296</v>
      </c>
      <c r="X608" s="21">
        <f t="shared" ref="X608:X609" ca="1" si="1230">W608/W$653</f>
        <v>3.9026285316529829E-3</v>
      </c>
      <c r="Y608" s="22">
        <f t="shared" ref="Y608:Y609" ca="1" si="1231">X608*Y$683</f>
        <v>6572.5056900873105</v>
      </c>
      <c r="Z608" s="2">
        <v>173480.98692967778</v>
      </c>
      <c r="AA608" s="21">
        <f t="shared" ref="AA608:AA609" ca="1" si="1232">Z608/Z$653</f>
        <v>1.5524117499471543E-2</v>
      </c>
      <c r="AB608" s="22">
        <f t="shared" ref="AB608:AB609" ca="1" si="1233">AA608*AB$683</f>
        <v>26615.121588682669</v>
      </c>
      <c r="AC608" s="2">
        <v>223773.42130010031</v>
      </c>
      <c r="AD608" s="21">
        <f t="shared" ref="AD608:AD609" ca="1" si="1234">AC608/AC$653</f>
        <v>1.7238431369852723E-2</v>
      </c>
      <c r="AE608" s="22">
        <f t="shared" ref="AE608:AE609" ca="1" si="1235">AD608*AE$683</f>
        <v>30115.734742175817</v>
      </c>
      <c r="AF608" s="2">
        <v>213289.11159615131</v>
      </c>
      <c r="AG608" s="21">
        <f t="shared" ref="AG608:AG609" ca="1" si="1236">AF608/AF$653</f>
        <v>1.7838023496307497E-2</v>
      </c>
      <c r="AH608" s="22">
        <f t="shared" ref="AH608:AH609" ca="1" si="1237">AG608*AH$683</f>
        <v>31724.167028944761</v>
      </c>
      <c r="AI608" s="2">
        <v>67393.665705456573</v>
      </c>
      <c r="AJ608" s="21">
        <f t="shared" ref="AJ608:AJ609" ca="1" si="1238">AI608/AI$653</f>
        <v>4.9575689728760487E-3</v>
      </c>
      <c r="AK608" s="22">
        <f t="shared" ref="AK608:AK609" ca="1" si="1239">AJ608*AK$683</f>
        <v>8975.5286589306561</v>
      </c>
      <c r="AL608" s="2">
        <v>1414557.998883754</v>
      </c>
    </row>
    <row r="609" spans="1:38" ht="12.75" x14ac:dyDescent="0.2">
      <c r="A609" s="8" t="s">
        <v>152</v>
      </c>
      <c r="B609" s="8" t="s">
        <v>17</v>
      </c>
      <c r="C609" s="8" t="s">
        <v>18</v>
      </c>
      <c r="D609" s="8" t="s">
        <v>173</v>
      </c>
      <c r="E609" s="8" t="s">
        <v>175</v>
      </c>
      <c r="F609" s="8" t="s">
        <v>34</v>
      </c>
      <c r="G609" s="8" t="s">
        <v>970</v>
      </c>
      <c r="H609" s="20">
        <v>23417.595462996018</v>
      </c>
      <c r="I609" s="21">
        <f t="shared" si="1220"/>
        <v>1.0466329334003953E-2</v>
      </c>
      <c r="J609" s="22">
        <f t="shared" si="1221"/>
        <v>22054.293317415773</v>
      </c>
      <c r="K609" s="2">
        <v>43026.998992245055</v>
      </c>
      <c r="L609" s="21">
        <f t="shared" ca="1" si="1222"/>
        <v>1.2901843546792366E-2</v>
      </c>
      <c r="M609" s="22">
        <f t="shared" ca="1" si="1223"/>
        <v>19878.179996788123</v>
      </c>
      <c r="N609" s="2">
        <v>34692.523509369101</v>
      </c>
      <c r="O609" s="21">
        <f t="shared" ca="1" si="1224"/>
        <v>3.1063762874945868E-3</v>
      </c>
      <c r="P609" s="22">
        <f t="shared" ca="1" si="1225"/>
        <v>4910.5062677268243</v>
      </c>
      <c r="Q609" s="2">
        <v>0</v>
      </c>
      <c r="R609" s="21">
        <f t="shared" ca="1" si="1226"/>
        <v>0</v>
      </c>
      <c r="S609" s="22">
        <f t="shared" ca="1" si="1227"/>
        <v>0</v>
      </c>
      <c r="T609" s="2">
        <v>60998.383718092671</v>
      </c>
      <c r="U609" s="21">
        <f t="shared" ca="1" si="1228"/>
        <v>4.6256354361088464E-3</v>
      </c>
      <c r="V609" s="22">
        <f t="shared" ca="1" si="1229"/>
        <v>7637.3903228113113</v>
      </c>
      <c r="W609" s="2">
        <v>8707.5717379180114</v>
      </c>
      <c r="X609" s="21">
        <f t="shared" ca="1" si="1230"/>
        <v>7.829254779103985E-4</v>
      </c>
      <c r="Y609" s="22">
        <f t="shared" ca="1" si="1231"/>
        <v>1318.5426480497986</v>
      </c>
      <c r="Z609" s="2">
        <v>17368.061982602954</v>
      </c>
      <c r="AA609" s="21">
        <f t="shared" ca="1" si="1232"/>
        <v>1.5541981846421452E-3</v>
      </c>
      <c r="AB609" s="22">
        <f t="shared" ca="1" si="1233"/>
        <v>2664.5748886253073</v>
      </c>
      <c r="AC609" s="2">
        <v>34457.146288688011</v>
      </c>
      <c r="AD609" s="21">
        <f t="shared" ca="1" si="1234"/>
        <v>2.654413325977322E-3</v>
      </c>
      <c r="AE609" s="22">
        <f t="shared" ca="1" si="1235"/>
        <v>4637.2901284412319</v>
      </c>
      <c r="AF609" s="2">
        <v>42670.901522762142</v>
      </c>
      <c r="AG609" s="21">
        <f t="shared" ca="1" si="1236"/>
        <v>3.5686985532241734E-3</v>
      </c>
      <c r="AH609" s="22">
        <f t="shared" ca="1" si="1237"/>
        <v>6346.7787785946512</v>
      </c>
      <c r="AI609" s="2">
        <v>21399.425461071696</v>
      </c>
      <c r="AJ609" s="21">
        <f t="shared" ca="1" si="1238"/>
        <v>1.5741706077666763E-3</v>
      </c>
      <c r="AK609" s="22">
        <f t="shared" ca="1" si="1239"/>
        <v>2849.9882667006827</v>
      </c>
      <c r="AL609" s="2">
        <v>286738.60867574572</v>
      </c>
    </row>
    <row r="610" spans="1:38" ht="12.75" x14ac:dyDescent="0.2">
      <c r="A610" s="8" t="s">
        <v>152</v>
      </c>
      <c r="B610" s="8" t="s">
        <v>17</v>
      </c>
      <c r="C610" s="8" t="s">
        <v>18</v>
      </c>
      <c r="D610" s="8" t="s">
        <v>173</v>
      </c>
      <c r="E610" s="8" t="s">
        <v>176</v>
      </c>
      <c r="F610" s="23" t="s">
        <v>37</v>
      </c>
      <c r="G610" s="8" t="s">
        <v>971</v>
      </c>
      <c r="H610" s="20">
        <v>0</v>
      </c>
      <c r="I610" s="21">
        <f t="shared" ref="I610:I613" si="1240">H610/H$649</f>
        <v>0</v>
      </c>
      <c r="J610" s="22">
        <f t="shared" ref="J610:J613" si="1241">I610*J$679</f>
        <v>0</v>
      </c>
      <c r="K610" s="2">
        <v>0</v>
      </c>
      <c r="L610" s="21">
        <f t="shared" ref="L610:L613" ca="1" si="1242">K610/K$649</f>
        <v>0</v>
      </c>
      <c r="M610" s="22">
        <f t="shared" ref="M610:M613" ca="1" si="1243">L610*M$679</f>
        <v>0</v>
      </c>
      <c r="N610" s="2">
        <v>0</v>
      </c>
      <c r="O610" s="21">
        <f t="shared" ref="O610:O613" ca="1" si="1244">N610/N$649</f>
        <v>0</v>
      </c>
      <c r="P610" s="22">
        <f t="shared" ref="P610:P613" ca="1" si="1245">O610*P$679</f>
        <v>0</v>
      </c>
      <c r="Q610" s="2">
        <v>0</v>
      </c>
      <c r="R610" s="21">
        <f t="shared" ref="R610:R613" ca="1" si="1246">Q610/Q$649</f>
        <v>0</v>
      </c>
      <c r="S610" s="22">
        <f t="shared" ref="S610:S613" ca="1" si="1247">R610*S$679</f>
        <v>0</v>
      </c>
      <c r="T610" s="2">
        <v>0</v>
      </c>
      <c r="U610" s="21">
        <f t="shared" ref="U610:U613" ca="1" si="1248">T610/T$649</f>
        <v>0</v>
      </c>
      <c r="V610" s="22">
        <f t="shared" ref="V610:V613" ca="1" si="1249">U610*V$679</f>
        <v>0</v>
      </c>
      <c r="W610" s="2">
        <v>0</v>
      </c>
      <c r="X610" s="21">
        <f t="shared" ref="X610:X613" ca="1" si="1250">W610/W$649</f>
        <v>0</v>
      </c>
      <c r="Y610" s="22">
        <f t="shared" ref="Y610:Y613" ca="1" si="1251">X610*Y$679</f>
        <v>0</v>
      </c>
      <c r="Z610" s="2">
        <v>0</v>
      </c>
      <c r="AA610" s="21">
        <f t="shared" ref="AA610:AA613" ca="1" si="1252">Z610/Z$649</f>
        <v>0</v>
      </c>
      <c r="AB610" s="22">
        <f t="shared" ref="AB610:AB613" ca="1" si="1253">AA610*AB$679</f>
        <v>0</v>
      </c>
      <c r="AC610" s="2">
        <v>0</v>
      </c>
      <c r="AD610" s="21">
        <f t="shared" ref="AD610:AD613" ca="1" si="1254">AC610/AC$649</f>
        <v>0</v>
      </c>
      <c r="AE610" s="22">
        <f t="shared" ref="AE610:AE613" ca="1" si="1255">AD610*AE$679</f>
        <v>0</v>
      </c>
      <c r="AF610" s="2">
        <v>1569504.4238257338</v>
      </c>
      <c r="AG610" s="21">
        <f t="shared" ref="AG610:AG613" ca="1" si="1256">AF610/AF$649</f>
        <v>1.5483806352825164E-2</v>
      </c>
      <c r="AH610" s="22">
        <f t="shared" ref="AH610:AH613" ca="1" si="1257">AG610*AH$679</f>
        <v>4315064.5354106138</v>
      </c>
      <c r="AI610" s="2">
        <v>0</v>
      </c>
      <c r="AJ610" s="21">
        <f t="shared" ref="AJ610:AJ613" ca="1" si="1258">AI610/AI$649</f>
        <v>0</v>
      </c>
      <c r="AK610" s="22">
        <f t="shared" ref="AK610:AK613" ca="1" si="1259">AJ610*AK$679</f>
        <v>0</v>
      </c>
      <c r="AL610" s="2">
        <v>1569504.4238257338</v>
      </c>
    </row>
    <row r="611" spans="1:38" ht="12.75" x14ac:dyDescent="0.2">
      <c r="A611" s="8" t="s">
        <v>152</v>
      </c>
      <c r="B611" s="8" t="s">
        <v>17</v>
      </c>
      <c r="C611" s="8" t="s">
        <v>18</v>
      </c>
      <c r="D611" s="8" t="s">
        <v>173</v>
      </c>
      <c r="E611" s="8" t="s">
        <v>972</v>
      </c>
      <c r="F611" s="23" t="s">
        <v>37</v>
      </c>
      <c r="G611" s="8" t="s">
        <v>973</v>
      </c>
      <c r="H611" s="20">
        <v>0</v>
      </c>
      <c r="I611" s="21">
        <f t="shared" si="1240"/>
        <v>0</v>
      </c>
      <c r="J611" s="22">
        <f t="shared" si="1241"/>
        <v>0</v>
      </c>
      <c r="K611" s="2">
        <v>0</v>
      </c>
      <c r="L611" s="21">
        <f t="shared" ca="1" si="1242"/>
        <v>0</v>
      </c>
      <c r="M611" s="22">
        <f t="shared" ca="1" si="1243"/>
        <v>0</v>
      </c>
      <c r="N611" s="2">
        <v>0</v>
      </c>
      <c r="O611" s="21">
        <f t="shared" ca="1" si="1244"/>
        <v>0</v>
      </c>
      <c r="P611" s="22">
        <f t="shared" ca="1" si="1245"/>
        <v>0</v>
      </c>
      <c r="Q611" s="2">
        <v>0</v>
      </c>
      <c r="R611" s="21">
        <f t="shared" ca="1" si="1246"/>
        <v>0</v>
      </c>
      <c r="S611" s="22">
        <f t="shared" ca="1" si="1247"/>
        <v>0</v>
      </c>
      <c r="T611" s="2">
        <v>0</v>
      </c>
      <c r="U611" s="21">
        <f t="shared" ca="1" si="1248"/>
        <v>0</v>
      </c>
      <c r="V611" s="22">
        <f t="shared" ca="1" si="1249"/>
        <v>0</v>
      </c>
      <c r="W611" s="2">
        <v>0</v>
      </c>
      <c r="X611" s="21">
        <f t="shared" ca="1" si="1250"/>
        <v>0</v>
      </c>
      <c r="Y611" s="22">
        <f t="shared" ca="1" si="1251"/>
        <v>0</v>
      </c>
      <c r="Z611" s="2">
        <v>0</v>
      </c>
      <c r="AA611" s="21">
        <f t="shared" ca="1" si="1252"/>
        <v>0</v>
      </c>
      <c r="AB611" s="22">
        <f t="shared" ca="1" si="1253"/>
        <v>0</v>
      </c>
      <c r="AC611" s="2">
        <v>0</v>
      </c>
      <c r="AD611" s="21">
        <f t="shared" ca="1" si="1254"/>
        <v>0</v>
      </c>
      <c r="AE611" s="22">
        <f t="shared" ca="1" si="1255"/>
        <v>0</v>
      </c>
      <c r="AF611" s="2">
        <v>0</v>
      </c>
      <c r="AG611" s="21">
        <f t="shared" ca="1" si="1256"/>
        <v>0</v>
      </c>
      <c r="AH611" s="22">
        <f t="shared" ca="1" si="1257"/>
        <v>0</v>
      </c>
      <c r="AI611" s="2">
        <v>0</v>
      </c>
      <c r="AJ611" s="21">
        <f t="shared" ca="1" si="1258"/>
        <v>0</v>
      </c>
      <c r="AK611" s="22">
        <f t="shared" ca="1" si="1259"/>
        <v>0</v>
      </c>
      <c r="AL611" s="2">
        <v>0</v>
      </c>
    </row>
    <row r="612" spans="1:38" ht="12.75" x14ac:dyDescent="0.2">
      <c r="A612" s="8" t="s">
        <v>152</v>
      </c>
      <c r="B612" s="8" t="s">
        <v>17</v>
      </c>
      <c r="C612" s="8" t="s">
        <v>18</v>
      </c>
      <c r="D612" s="8" t="s">
        <v>173</v>
      </c>
      <c r="E612" s="8" t="s">
        <v>177</v>
      </c>
      <c r="F612" s="23" t="s">
        <v>37</v>
      </c>
      <c r="G612" s="8" t="s">
        <v>974</v>
      </c>
      <c r="H612" s="20">
        <v>0</v>
      </c>
      <c r="I612" s="21">
        <f t="shared" si="1240"/>
        <v>0</v>
      </c>
      <c r="J612" s="22">
        <f t="shared" si="1241"/>
        <v>0</v>
      </c>
      <c r="K612" s="2">
        <v>0</v>
      </c>
      <c r="L612" s="21">
        <f t="shared" ca="1" si="1242"/>
        <v>0</v>
      </c>
      <c r="M612" s="22">
        <f t="shared" ca="1" si="1243"/>
        <v>0</v>
      </c>
      <c r="N612" s="2">
        <v>0</v>
      </c>
      <c r="O612" s="21">
        <f t="shared" ca="1" si="1244"/>
        <v>0</v>
      </c>
      <c r="P612" s="22">
        <f t="shared" ca="1" si="1245"/>
        <v>0</v>
      </c>
      <c r="Q612" s="2">
        <v>0</v>
      </c>
      <c r="R612" s="21">
        <f t="shared" ca="1" si="1246"/>
        <v>0</v>
      </c>
      <c r="S612" s="22">
        <f t="shared" ca="1" si="1247"/>
        <v>0</v>
      </c>
      <c r="T612" s="2">
        <v>440710.81832447904</v>
      </c>
      <c r="U612" s="21">
        <f t="shared" ca="1" si="1248"/>
        <v>5.6709378223723742E-3</v>
      </c>
      <c r="V612" s="22">
        <f t="shared" ca="1" si="1249"/>
        <v>1467217.6338677309</v>
      </c>
      <c r="W612" s="2">
        <v>0</v>
      </c>
      <c r="X612" s="21">
        <f t="shared" ca="1" si="1250"/>
        <v>0</v>
      </c>
      <c r="Y612" s="22">
        <f t="shared" ca="1" si="1251"/>
        <v>0</v>
      </c>
      <c r="Z612" s="2">
        <v>146397.45732462261</v>
      </c>
      <c r="AA612" s="21">
        <f t="shared" ca="1" si="1252"/>
        <v>1.5157444392020541E-3</v>
      </c>
      <c r="AB612" s="22">
        <f t="shared" ca="1" si="1253"/>
        <v>407205.45358148467</v>
      </c>
      <c r="AC612" s="2">
        <v>0</v>
      </c>
      <c r="AD612" s="21">
        <f t="shared" ca="1" si="1254"/>
        <v>0</v>
      </c>
      <c r="AE612" s="22">
        <f t="shared" ca="1" si="1255"/>
        <v>0</v>
      </c>
      <c r="AF612" s="2">
        <v>0</v>
      </c>
      <c r="AG612" s="21">
        <f t="shared" ca="1" si="1256"/>
        <v>0</v>
      </c>
      <c r="AH612" s="22">
        <f t="shared" ca="1" si="1257"/>
        <v>0</v>
      </c>
      <c r="AI612" s="2">
        <v>0</v>
      </c>
      <c r="AJ612" s="21">
        <f t="shared" ca="1" si="1258"/>
        <v>0</v>
      </c>
      <c r="AK612" s="22">
        <f t="shared" ca="1" si="1259"/>
        <v>0</v>
      </c>
      <c r="AL612" s="2">
        <v>587108.27564910171</v>
      </c>
    </row>
    <row r="613" spans="1:38" ht="12.75" x14ac:dyDescent="0.2">
      <c r="A613" s="8" t="s">
        <v>152</v>
      </c>
      <c r="B613" s="8" t="s">
        <v>17</v>
      </c>
      <c r="C613" s="8" t="s">
        <v>18</v>
      </c>
      <c r="D613" s="8" t="s">
        <v>173</v>
      </c>
      <c r="E613" s="8" t="s">
        <v>178</v>
      </c>
      <c r="F613" s="23" t="s">
        <v>37</v>
      </c>
      <c r="G613" s="8" t="s">
        <v>975</v>
      </c>
      <c r="H613" s="20">
        <v>0</v>
      </c>
      <c r="I613" s="21">
        <f t="shared" si="1240"/>
        <v>0</v>
      </c>
      <c r="J613" s="22">
        <f t="shared" si="1241"/>
        <v>0</v>
      </c>
      <c r="K613" s="2">
        <v>0</v>
      </c>
      <c r="L613" s="21">
        <f t="shared" ca="1" si="1242"/>
        <v>0</v>
      </c>
      <c r="M613" s="22">
        <f t="shared" ca="1" si="1243"/>
        <v>0</v>
      </c>
      <c r="N613" s="2">
        <v>0</v>
      </c>
      <c r="O613" s="21">
        <f t="shared" ca="1" si="1244"/>
        <v>0</v>
      </c>
      <c r="P613" s="22">
        <f t="shared" ca="1" si="1245"/>
        <v>0</v>
      </c>
      <c r="Q613" s="2">
        <v>0</v>
      </c>
      <c r="R613" s="21">
        <f t="shared" ca="1" si="1246"/>
        <v>0</v>
      </c>
      <c r="S613" s="22">
        <f t="shared" ca="1" si="1247"/>
        <v>0</v>
      </c>
      <c r="T613" s="2">
        <v>0</v>
      </c>
      <c r="U613" s="21">
        <f t="shared" ca="1" si="1248"/>
        <v>0</v>
      </c>
      <c r="V613" s="22">
        <f t="shared" ca="1" si="1249"/>
        <v>0</v>
      </c>
      <c r="W613" s="2">
        <v>0</v>
      </c>
      <c r="X613" s="21">
        <f t="shared" ca="1" si="1250"/>
        <v>0</v>
      </c>
      <c r="Y613" s="22">
        <f t="shared" ca="1" si="1251"/>
        <v>0</v>
      </c>
      <c r="Z613" s="2">
        <v>1064708.7805427099</v>
      </c>
      <c r="AA613" s="21">
        <f t="shared" ca="1" si="1252"/>
        <v>1.1023595921469485E-2</v>
      </c>
      <c r="AB613" s="22">
        <f t="shared" ca="1" si="1253"/>
        <v>2961494.207865343</v>
      </c>
      <c r="AC613" s="2">
        <v>0</v>
      </c>
      <c r="AD613" s="21">
        <f t="shared" ca="1" si="1254"/>
        <v>0</v>
      </c>
      <c r="AE613" s="22">
        <f t="shared" ca="1" si="1255"/>
        <v>0</v>
      </c>
      <c r="AF613" s="2">
        <v>1046336.2825504893</v>
      </c>
      <c r="AG613" s="21">
        <f t="shared" ca="1" si="1256"/>
        <v>1.0322537568550111E-2</v>
      </c>
      <c r="AH613" s="22">
        <f t="shared" ca="1" si="1257"/>
        <v>2876709.6902737427</v>
      </c>
      <c r="AI613" s="2">
        <v>1032853.1142598708</v>
      </c>
      <c r="AJ613" s="21">
        <f t="shared" ca="1" si="1258"/>
        <v>5.3919564274180617E-3</v>
      </c>
      <c r="AK613" s="22">
        <f t="shared" ca="1" si="1259"/>
        <v>1529691.0162440508</v>
      </c>
      <c r="AL613" s="2">
        <v>3143898.1773530701</v>
      </c>
    </row>
    <row r="614" spans="1:38" ht="12.75" x14ac:dyDescent="0.2">
      <c r="A614" s="8" t="s">
        <v>152</v>
      </c>
      <c r="B614" s="8" t="s">
        <v>17</v>
      </c>
      <c r="C614" s="8" t="s">
        <v>18</v>
      </c>
      <c r="D614" s="8" t="s">
        <v>179</v>
      </c>
      <c r="E614" s="8" t="s">
        <v>180</v>
      </c>
      <c r="F614" s="8" t="s">
        <v>34</v>
      </c>
      <c r="G614" s="8" t="s">
        <v>976</v>
      </c>
      <c r="H614" s="20">
        <v>60343.969672962085</v>
      </c>
      <c r="I614" s="21">
        <f>H614/H$653</f>
        <v>2.6970312170452211E-2</v>
      </c>
      <c r="J614" s="22">
        <f>I614*J$683</f>
        <v>56830.924814963102</v>
      </c>
      <c r="K614" s="2">
        <v>456086.1893177976</v>
      </c>
      <c r="L614" s="21">
        <f ca="1">K614/K$653</f>
        <v>0.1367595415959991</v>
      </c>
      <c r="M614" s="22">
        <f ca="1">L614*M$683</f>
        <v>210708.70796595412</v>
      </c>
      <c r="N614" s="2">
        <v>268867.0571976105</v>
      </c>
      <c r="O614" s="21">
        <f ca="1">N614/N$653</f>
        <v>2.4074416228083047E-2</v>
      </c>
      <c r="P614" s="22">
        <f ca="1">O614*P$683</f>
        <v>38056.423574882887</v>
      </c>
      <c r="Q614" s="2">
        <v>0</v>
      </c>
      <c r="R614" s="21">
        <f ca="1">Q614/Q$653</f>
        <v>0</v>
      </c>
      <c r="S614" s="22">
        <f ca="1">R614*S$683</f>
        <v>0</v>
      </c>
      <c r="T614" s="2">
        <v>618697.89199779707</v>
      </c>
      <c r="U614" s="21">
        <f ca="1">T614/T$653</f>
        <v>4.6917159423389726E-2</v>
      </c>
      <c r="V614" s="22">
        <f ca="1">U614*V$683</f>
        <v>77464.958988514729</v>
      </c>
      <c r="W614" s="2">
        <v>104490.86085501614</v>
      </c>
      <c r="X614" s="21">
        <f ca="1">W614/W$653</f>
        <v>9.3951057349247833E-3</v>
      </c>
      <c r="Y614" s="22">
        <f ca="1">X614*Y$683</f>
        <v>15822.511776597585</v>
      </c>
      <c r="Z614" s="2">
        <v>338677.20866075758</v>
      </c>
      <c r="AA614" s="21">
        <f ca="1">Z614/Z$653</f>
        <v>3.030686460052183E-2</v>
      </c>
      <c r="AB614" s="22">
        <f ca="1">AA614*AB$683</f>
        <v>51959.210328193491</v>
      </c>
      <c r="AC614" s="2">
        <v>344571.46288688009</v>
      </c>
      <c r="AD614" s="21">
        <f ca="1">AC614/AC$653</f>
        <v>2.6544133259773218E-2</v>
      </c>
      <c r="AE614" s="22">
        <f ca="1">AD614*AE$683</f>
        <v>46372.901284412314</v>
      </c>
      <c r="AF614" s="2">
        <v>392572.29400941171</v>
      </c>
      <c r="AG614" s="21">
        <f ca="1">AF614/AF$653</f>
        <v>3.2832026689662397E-2</v>
      </c>
      <c r="AH614" s="22">
        <f ca="1">AG614*AH$683</f>
        <v>58390.3647630708</v>
      </c>
      <c r="AI614" s="2">
        <v>176908.37247682348</v>
      </c>
      <c r="AJ614" s="21">
        <f ca="1">AI614/AI$653</f>
        <v>1.3013618553799627E-2</v>
      </c>
      <c r="AK614" s="22">
        <f ca="1">AJ614*AK$683</f>
        <v>23560.762729692971</v>
      </c>
      <c r="AL614" s="2">
        <v>2761215.3070750562</v>
      </c>
    </row>
    <row r="615" spans="1:38" ht="12.75" x14ac:dyDescent="0.2">
      <c r="A615" s="8" t="s">
        <v>152</v>
      </c>
      <c r="B615" s="8" t="s">
        <v>17</v>
      </c>
      <c r="C615" s="8" t="s">
        <v>18</v>
      </c>
      <c r="D615" s="8" t="s">
        <v>179</v>
      </c>
      <c r="E615" s="8" t="s">
        <v>181</v>
      </c>
      <c r="F615" s="8" t="s">
        <v>21</v>
      </c>
      <c r="G615" s="8" t="s">
        <v>977</v>
      </c>
      <c r="H615" s="20">
        <v>77000</v>
      </c>
      <c r="I615" s="21">
        <f t="shared" ref="I615:I616" si="1260">H615/H$645</f>
        <v>5.0962424176650908E-3</v>
      </c>
      <c r="J615" s="22">
        <f t="shared" ref="J615:J616" si="1261">I615*J$675</f>
        <v>719.58942937431084</v>
      </c>
      <c r="K615" s="2">
        <v>77000</v>
      </c>
      <c r="L615" s="21">
        <f t="shared" ref="L615:L616" ca="1" si="1262">K615/K$645</f>
        <v>5.0330301284176367E-3</v>
      </c>
      <c r="M615" s="22">
        <f t="shared" ref="M615:M616" ca="1" si="1263">L615*M$675</f>
        <v>2171.5511792070733</v>
      </c>
      <c r="N615" s="2">
        <v>77000</v>
      </c>
      <c r="O615" s="21">
        <f t="shared" ref="O615:O616" ca="1" si="1264">N615/N$645</f>
        <v>3.5444152029625317E-3</v>
      </c>
      <c r="P615" s="22">
        <f t="shared" ref="P615:P616" ca="1" si="1265">O615*P$675</f>
        <v>1569.0344914404395</v>
      </c>
      <c r="Q615" s="2">
        <v>77000</v>
      </c>
      <c r="R615" s="21">
        <f t="shared" ref="R615:R616" ca="1" si="1266">Q615/Q$645</f>
        <v>3.0498416651958578E-3</v>
      </c>
      <c r="S615" s="22">
        <f t="shared" ref="S615:S616" ca="1" si="1267">R615*S$675</f>
        <v>1381.1499240718467</v>
      </c>
      <c r="T615" s="2">
        <v>77000</v>
      </c>
      <c r="U615" s="21">
        <f t="shared" ref="U615:U616" ca="1" si="1268">T615/T$645</f>
        <v>3.7304114620079782E-3</v>
      </c>
      <c r="V615" s="22">
        <f t="shared" ref="V615:V616" ca="1" si="1269">U615*V$675</f>
        <v>1724.828855524044</v>
      </c>
      <c r="W615" s="2">
        <v>77000</v>
      </c>
      <c r="X615" s="21">
        <f t="shared" ref="X615:X616" ca="1" si="1270">W615/W$645</f>
        <v>3.7251386420926809E-3</v>
      </c>
      <c r="Y615" s="22">
        <f t="shared" ref="Y615:Y616" ca="1" si="1271">X615*Y$675</f>
        <v>1756.838710967824</v>
      </c>
      <c r="Z615" s="2">
        <v>77000</v>
      </c>
      <c r="AA615" s="21">
        <f t="shared" ref="AA615:AA616" ca="1" si="1272">Z615/Z$645</f>
        <v>3.74273077270084E-3</v>
      </c>
      <c r="AB615" s="22">
        <f t="shared" ref="AB615:AB616" ca="1" si="1273">AA615*AB$675</f>
        <v>1796.9078746313867</v>
      </c>
      <c r="AC615" s="2">
        <v>77000</v>
      </c>
      <c r="AD615" s="21">
        <f t="shared" ref="AD615:AD616" ca="1" si="1274">AC615/AC$645</f>
        <v>3.2423309275820423E-3</v>
      </c>
      <c r="AE615" s="22">
        <f t="shared" ref="AE615:AE616" ca="1" si="1275">AD615*AE$675</f>
        <v>1586.2394641188187</v>
      </c>
      <c r="AF615" s="2">
        <v>77000</v>
      </c>
      <c r="AG615" s="21">
        <f t="shared" ref="AG615:AG616" ca="1" si="1276">AF615/AF$645</f>
        <v>3.5300744204944815E-3</v>
      </c>
      <c r="AH615" s="22">
        <f t="shared" ref="AH615:AH616" ca="1" si="1277">AG615*AH$675</f>
        <v>1758.097860552921</v>
      </c>
      <c r="AI615" s="2">
        <v>77000</v>
      </c>
      <c r="AJ615" s="21">
        <f t="shared" ref="AJ615:AJ616" ca="1" si="1278">AI615/AI$645</f>
        <v>3.020050904525002E-3</v>
      </c>
      <c r="AK615" s="22">
        <f t="shared" ref="AK615:AK616" ca="1" si="1279">AJ615*AK$675</f>
        <v>1531.1623053351268</v>
      </c>
      <c r="AL615" s="2">
        <v>770000</v>
      </c>
    </row>
    <row r="616" spans="1:38" ht="12.75" x14ac:dyDescent="0.2">
      <c r="A616" s="8" t="s">
        <v>152</v>
      </c>
      <c r="B616" s="8" t="s">
        <v>17</v>
      </c>
      <c r="C616" s="8" t="s">
        <v>18</v>
      </c>
      <c r="D616" s="8" t="s">
        <v>179</v>
      </c>
      <c r="E616" s="8" t="s">
        <v>182</v>
      </c>
      <c r="F616" s="8" t="s">
        <v>21</v>
      </c>
      <c r="G616" s="8" t="s">
        <v>978</v>
      </c>
      <c r="H616" s="20">
        <v>77000</v>
      </c>
      <c r="I616" s="21">
        <f t="shared" si="1260"/>
        <v>5.0962424176650908E-3</v>
      </c>
      <c r="J616" s="22">
        <f t="shared" si="1261"/>
        <v>719.58942937431084</v>
      </c>
      <c r="K616" s="2">
        <v>77000</v>
      </c>
      <c r="L616" s="21">
        <f t="shared" ca="1" si="1262"/>
        <v>5.0330301284176367E-3</v>
      </c>
      <c r="M616" s="22">
        <f t="shared" ca="1" si="1263"/>
        <v>2171.5511792070733</v>
      </c>
      <c r="N616" s="2">
        <v>77000</v>
      </c>
      <c r="O616" s="21">
        <f t="shared" ca="1" si="1264"/>
        <v>3.5444152029625317E-3</v>
      </c>
      <c r="P616" s="22">
        <f t="shared" ca="1" si="1265"/>
        <v>1569.0344914404395</v>
      </c>
      <c r="Q616" s="2">
        <v>77000</v>
      </c>
      <c r="R616" s="21">
        <f t="shared" ca="1" si="1266"/>
        <v>3.0498416651958578E-3</v>
      </c>
      <c r="S616" s="22">
        <f t="shared" ca="1" si="1267"/>
        <v>1381.1499240718467</v>
      </c>
      <c r="T616" s="2">
        <v>77000</v>
      </c>
      <c r="U616" s="21">
        <f t="shared" ca="1" si="1268"/>
        <v>3.7304114620079782E-3</v>
      </c>
      <c r="V616" s="22">
        <f t="shared" ca="1" si="1269"/>
        <v>1724.828855524044</v>
      </c>
      <c r="W616" s="2">
        <v>77000</v>
      </c>
      <c r="X616" s="21">
        <f t="shared" ca="1" si="1270"/>
        <v>3.7251386420926809E-3</v>
      </c>
      <c r="Y616" s="22">
        <f t="shared" ca="1" si="1271"/>
        <v>1756.838710967824</v>
      </c>
      <c r="Z616" s="2">
        <v>77000</v>
      </c>
      <c r="AA616" s="21">
        <f t="shared" ca="1" si="1272"/>
        <v>3.74273077270084E-3</v>
      </c>
      <c r="AB616" s="22">
        <f t="shared" ca="1" si="1273"/>
        <v>1796.9078746313867</v>
      </c>
      <c r="AC616" s="2">
        <v>77000</v>
      </c>
      <c r="AD616" s="21">
        <f t="shared" ca="1" si="1274"/>
        <v>3.2423309275820423E-3</v>
      </c>
      <c r="AE616" s="22">
        <f t="shared" ca="1" si="1275"/>
        <v>1586.2394641188187</v>
      </c>
      <c r="AF616" s="2">
        <v>77000</v>
      </c>
      <c r="AG616" s="21">
        <f t="shared" ca="1" si="1276"/>
        <v>3.5300744204944815E-3</v>
      </c>
      <c r="AH616" s="22">
        <f t="shared" ca="1" si="1277"/>
        <v>1758.097860552921</v>
      </c>
      <c r="AI616" s="2">
        <v>77000</v>
      </c>
      <c r="AJ616" s="21">
        <f t="shared" ca="1" si="1278"/>
        <v>3.020050904525002E-3</v>
      </c>
      <c r="AK616" s="22">
        <f t="shared" ca="1" si="1279"/>
        <v>1531.1623053351268</v>
      </c>
      <c r="AL616" s="2">
        <v>770000</v>
      </c>
    </row>
    <row r="617" spans="1:38" ht="12.75" x14ac:dyDescent="0.2">
      <c r="A617" s="8" t="s">
        <v>152</v>
      </c>
      <c r="B617" s="8" t="s">
        <v>17</v>
      </c>
      <c r="C617" s="8" t="s">
        <v>18</v>
      </c>
      <c r="D617" s="8" t="s">
        <v>179</v>
      </c>
      <c r="E617" s="8" t="s">
        <v>182</v>
      </c>
      <c r="F617" s="8" t="s">
        <v>24</v>
      </c>
      <c r="G617" s="8" t="s">
        <v>979</v>
      </c>
      <c r="H617" s="20">
        <v>0</v>
      </c>
      <c r="I617" s="21">
        <f>H617/H$646</f>
        <v>0</v>
      </c>
      <c r="J617" s="22">
        <f>I617*J$676</f>
        <v>0</v>
      </c>
      <c r="K617" s="2">
        <v>0</v>
      </c>
      <c r="L617" s="21">
        <f ca="1">K617/K$646</f>
        <v>0</v>
      </c>
      <c r="M617" s="22">
        <f ca="1">L617*M$676</f>
        <v>0</v>
      </c>
      <c r="N617" s="2">
        <v>0</v>
      </c>
      <c r="O617" s="21">
        <f ca="1">N617/N$646</f>
        <v>0</v>
      </c>
      <c r="P617" s="22">
        <f ca="1">O617*P$676</f>
        <v>0</v>
      </c>
      <c r="Q617" s="2">
        <v>456109.19645926059</v>
      </c>
      <c r="R617" s="21">
        <f ca="1">Q617/Q$646</f>
        <v>4.1008697773749509E-3</v>
      </c>
      <c r="S617" s="22">
        <f ca="1">R617*S$676</f>
        <v>71272.505619162417</v>
      </c>
      <c r="T617" s="2">
        <v>0</v>
      </c>
      <c r="U617" s="21">
        <f ca="1">T617/T$646</f>
        <v>0</v>
      </c>
      <c r="V617" s="22">
        <f ca="1">U617*V$676</f>
        <v>0</v>
      </c>
      <c r="W617" s="2">
        <v>0</v>
      </c>
      <c r="X617" s="21">
        <f ca="1">W617/W$646</f>
        <v>0</v>
      </c>
      <c r="Y617" s="22">
        <f ca="1">X617*Y$676</f>
        <v>0</v>
      </c>
      <c r="Z617" s="2">
        <v>27842.134611191861</v>
      </c>
      <c r="AA617" s="21">
        <f ca="1">Z617/Z$646</f>
        <v>2.3988253609855383E-4</v>
      </c>
      <c r="AB617" s="22">
        <f ca="1">AA617*AB$676</f>
        <v>4419.9603345992309</v>
      </c>
      <c r="AC617" s="2">
        <v>0</v>
      </c>
      <c r="AD617" s="21">
        <f ca="1">AC617/AC$646</f>
        <v>0</v>
      </c>
      <c r="AE617" s="22">
        <f ca="1">AD617*AE$676</f>
        <v>0</v>
      </c>
      <c r="AF617" s="2">
        <v>0</v>
      </c>
      <c r="AG617" s="21">
        <f ca="1">AF617/AF$646</f>
        <v>0</v>
      </c>
      <c r="AH617" s="22">
        <f ca="1">AG617*AH$676</f>
        <v>0</v>
      </c>
      <c r="AI617" s="2">
        <v>0</v>
      </c>
      <c r="AJ617" s="21">
        <f ca="1">AI617/AI$646</f>
        <v>0</v>
      </c>
      <c r="AK617" s="22">
        <f ca="1">AJ617*AK$676</f>
        <v>0</v>
      </c>
      <c r="AL617" s="2">
        <v>483951.33107045246</v>
      </c>
    </row>
    <row r="618" spans="1:38" ht="12.75" x14ac:dyDescent="0.2">
      <c r="A618" s="8" t="s">
        <v>152</v>
      </c>
      <c r="B618" s="8" t="s">
        <v>17</v>
      </c>
      <c r="C618" s="8" t="s">
        <v>18</v>
      </c>
      <c r="D618" s="8" t="s">
        <v>179</v>
      </c>
      <c r="E618" s="8" t="s">
        <v>182</v>
      </c>
      <c r="F618" s="8" t="s">
        <v>25</v>
      </c>
      <c r="G618" s="8" t="s">
        <v>980</v>
      </c>
      <c r="H618" s="20">
        <v>0</v>
      </c>
      <c r="I618" s="21">
        <f>H618/H$652</f>
        <v>0</v>
      </c>
      <c r="J618" s="22">
        <f>I618*J$682</f>
        <v>0</v>
      </c>
      <c r="K618" s="2">
        <v>0</v>
      </c>
      <c r="L618" s="21">
        <f ca="1">K618/K$652</f>
        <v>0</v>
      </c>
      <c r="M618" s="22">
        <f ca="1">L618*M$682</f>
        <v>0</v>
      </c>
      <c r="N618" s="2">
        <v>0</v>
      </c>
      <c r="O618" s="21">
        <f ca="1">N618/N$652</f>
        <v>0</v>
      </c>
      <c r="P618" s="22">
        <f ca="1">O618*P$682</f>
        <v>0</v>
      </c>
      <c r="Q618" s="2">
        <v>0</v>
      </c>
      <c r="R618" s="21">
        <f ca="1">Q618/Q$652</f>
        <v>0</v>
      </c>
      <c r="S618" s="22">
        <f ca="1">R618*S$682</f>
        <v>0</v>
      </c>
      <c r="T618" s="2">
        <v>0</v>
      </c>
      <c r="U618" s="21">
        <f ca="1">T618/T$652</f>
        <v>0</v>
      </c>
      <c r="V618" s="22">
        <f ca="1">U618*V$682</f>
        <v>0</v>
      </c>
      <c r="W618" s="2">
        <v>1161009.5650557349</v>
      </c>
      <c r="X618" s="21">
        <f ca="1">W618/W$652</f>
        <v>2.5202252850977706E-2</v>
      </c>
      <c r="Y618" s="22">
        <f ca="1">X618*Y$682</f>
        <v>993599.97996960743</v>
      </c>
      <c r="Z618" s="2">
        <v>0</v>
      </c>
      <c r="AA618" s="21">
        <f ca="1">Z618/Z$652</f>
        <v>0</v>
      </c>
      <c r="AB618" s="22">
        <f ca="1">AA618*AB$682</f>
        <v>0</v>
      </c>
      <c r="AC618" s="2">
        <v>0</v>
      </c>
      <c r="AD618" s="21">
        <f ca="1">AC618/AC$652</f>
        <v>0</v>
      </c>
      <c r="AE618" s="22">
        <f ca="1">AD618*AE$682</f>
        <v>0</v>
      </c>
      <c r="AF618" s="2">
        <v>0</v>
      </c>
      <c r="AG618" s="21">
        <f ca="1">AF618/AF$652</f>
        <v>0</v>
      </c>
      <c r="AH618" s="22">
        <f ca="1">AG618*AH$682</f>
        <v>0</v>
      </c>
      <c r="AI618" s="2">
        <v>0</v>
      </c>
      <c r="AJ618" s="21">
        <f ca="1">AI618/AI$652</f>
        <v>0</v>
      </c>
      <c r="AK618" s="22">
        <f ca="1">AJ618*AK$682</f>
        <v>0</v>
      </c>
      <c r="AL618" s="2">
        <v>1161009.5650557349</v>
      </c>
    </row>
    <row r="619" spans="1:38" ht="12.75" x14ac:dyDescent="0.2">
      <c r="A619" s="8" t="s">
        <v>152</v>
      </c>
      <c r="B619" s="8" t="s">
        <v>17</v>
      </c>
      <c r="C619" s="8" t="s">
        <v>18</v>
      </c>
      <c r="D619" s="8" t="s">
        <v>179</v>
      </c>
      <c r="E619" s="8" t="s">
        <v>182</v>
      </c>
      <c r="F619" s="8" t="s">
        <v>34</v>
      </c>
      <c r="G619" s="8" t="s">
        <v>981</v>
      </c>
      <c r="H619" s="20">
        <v>0</v>
      </c>
      <c r="I619" s="21">
        <f>H619/H$653</f>
        <v>0</v>
      </c>
      <c r="J619" s="22">
        <f>I619*J$683</f>
        <v>0</v>
      </c>
      <c r="K619" s="2">
        <v>11473.866397932015</v>
      </c>
      <c r="L619" s="21">
        <f ca="1">K619/K$653</f>
        <v>3.4404916124779646E-3</v>
      </c>
      <c r="M619" s="22">
        <f ca="1">L619*M$683</f>
        <v>5300.8479991434997</v>
      </c>
      <c r="N619" s="2">
        <v>0</v>
      </c>
      <c r="O619" s="21">
        <f ca="1">N619/N$653</f>
        <v>0</v>
      </c>
      <c r="P619" s="22">
        <f ca="1">O619*P$683</f>
        <v>0</v>
      </c>
      <c r="Q619" s="2">
        <v>0</v>
      </c>
      <c r="R619" s="21">
        <f ca="1">Q619/Q$653</f>
        <v>0</v>
      </c>
      <c r="S619" s="22">
        <f ca="1">R619*S$683</f>
        <v>0</v>
      </c>
      <c r="T619" s="2">
        <v>0</v>
      </c>
      <c r="U619" s="21">
        <f ca="1">T619/T$653</f>
        <v>0</v>
      </c>
      <c r="V619" s="22">
        <f ca="1">U619*V$683</f>
        <v>0</v>
      </c>
      <c r="W619" s="2">
        <v>0</v>
      </c>
      <c r="X619" s="21">
        <f ca="1">W619/W$653</f>
        <v>0</v>
      </c>
      <c r="Y619" s="22">
        <f ca="1">X619*Y$683</f>
        <v>0</v>
      </c>
      <c r="Z619" s="2">
        <v>0</v>
      </c>
      <c r="AA619" s="21">
        <f ca="1">Z619/Z$653</f>
        <v>0</v>
      </c>
      <c r="AB619" s="22">
        <f ca="1">AA619*AB$683</f>
        <v>0</v>
      </c>
      <c r="AC619" s="2">
        <v>0</v>
      </c>
      <c r="AD619" s="21">
        <f ca="1">AC619/AC$653</f>
        <v>0</v>
      </c>
      <c r="AE619" s="22">
        <f ca="1">AD619*AE$683</f>
        <v>0</v>
      </c>
      <c r="AF619" s="2">
        <v>0</v>
      </c>
      <c r="AG619" s="21">
        <f ca="1">AF619/AF$653</f>
        <v>0</v>
      </c>
      <c r="AH619" s="22">
        <f ca="1">AG619*AH$683</f>
        <v>0</v>
      </c>
      <c r="AI619" s="2">
        <v>0</v>
      </c>
      <c r="AJ619" s="21">
        <f ca="1">AI619/AI$653</f>
        <v>0</v>
      </c>
      <c r="AK619" s="22">
        <f ca="1">AJ619*AK$683</f>
        <v>0</v>
      </c>
      <c r="AL619" s="2">
        <v>11473.866397932015</v>
      </c>
    </row>
    <row r="620" spans="1:38" ht="12.75" x14ac:dyDescent="0.2">
      <c r="A620" s="8" t="s">
        <v>152</v>
      </c>
      <c r="B620" s="8" t="s">
        <v>17</v>
      </c>
      <c r="C620" s="8" t="s">
        <v>18</v>
      </c>
      <c r="D620" s="8" t="s">
        <v>179</v>
      </c>
      <c r="E620" s="8" t="s">
        <v>182</v>
      </c>
      <c r="F620" s="8" t="s">
        <v>55</v>
      </c>
      <c r="G620" s="8" t="s">
        <v>982</v>
      </c>
      <c r="H620" s="20">
        <v>0</v>
      </c>
      <c r="I620" s="21">
        <f>H620/H$654</f>
        <v>0</v>
      </c>
      <c r="J620" s="22">
        <f>I620*J$684</f>
        <v>0</v>
      </c>
      <c r="K620" s="2">
        <v>0</v>
      </c>
      <c r="L620" s="21">
        <f ca="1">K620/K$654</f>
        <v>0</v>
      </c>
      <c r="M620" s="22">
        <f ca="1">L620*M$684</f>
        <v>0</v>
      </c>
      <c r="N620" s="2">
        <v>0</v>
      </c>
      <c r="O620" s="21">
        <f ca="1">N620/N$654</f>
        <v>0</v>
      </c>
      <c r="P620" s="22">
        <f ca="1">O620*P$684</f>
        <v>0</v>
      </c>
      <c r="Q620" s="2">
        <v>0</v>
      </c>
      <c r="R620" s="21">
        <f ca="1">Q620/Q$654</f>
        <v>0</v>
      </c>
      <c r="S620" s="22">
        <f ca="1">R620*S$684</f>
        <v>0</v>
      </c>
      <c r="T620" s="2">
        <v>0</v>
      </c>
      <c r="U620" s="21">
        <f ca="1">T620/T$654</f>
        <v>0</v>
      </c>
      <c r="V620" s="22">
        <f ca="1">U620*V$684</f>
        <v>0</v>
      </c>
      <c r="W620" s="2">
        <v>0</v>
      </c>
      <c r="X620" s="21">
        <f ca="1">W620/W$654</f>
        <v>0</v>
      </c>
      <c r="Y620" s="22">
        <f ca="1">X620*Y$684</f>
        <v>0</v>
      </c>
      <c r="Z620" s="2">
        <v>0</v>
      </c>
      <c r="AA620" s="21">
        <f ca="1">Z620/Z$654</f>
        <v>0</v>
      </c>
      <c r="AB620" s="22">
        <f ca="1">AA620*AB$684</f>
        <v>0</v>
      </c>
      <c r="AC620" s="2">
        <v>0</v>
      </c>
      <c r="AD620" s="21">
        <f ca="1">AC620/AC$654</f>
        <v>0</v>
      </c>
      <c r="AE620" s="22">
        <f ca="1">AD620*AE$684</f>
        <v>0</v>
      </c>
      <c r="AF620" s="2">
        <v>0</v>
      </c>
      <c r="AG620" s="21">
        <f ca="1">AF620/AF$654</f>
        <v>0</v>
      </c>
      <c r="AH620" s="22">
        <f ca="1">AG620*AH$684</f>
        <v>0</v>
      </c>
      <c r="AI620" s="2">
        <v>0</v>
      </c>
      <c r="AJ620" s="21">
        <f ca="1">AI620/AI$654</f>
        <v>0</v>
      </c>
      <c r="AK620" s="22">
        <f ca="1">AJ620*AK$684</f>
        <v>0</v>
      </c>
      <c r="AL620" s="2">
        <v>0</v>
      </c>
    </row>
    <row r="621" spans="1:38" ht="12.75" x14ac:dyDescent="0.2">
      <c r="A621" s="8" t="s">
        <v>152</v>
      </c>
      <c r="B621" s="8" t="s">
        <v>17</v>
      </c>
      <c r="C621" s="8" t="s">
        <v>18</v>
      </c>
      <c r="D621" s="8" t="s">
        <v>179</v>
      </c>
      <c r="E621" s="8" t="s">
        <v>183</v>
      </c>
      <c r="F621" s="23" t="s">
        <v>37</v>
      </c>
      <c r="G621" s="8" t="s">
        <v>983</v>
      </c>
      <c r="H621" s="20">
        <v>0</v>
      </c>
      <c r="I621" s="21">
        <f t="shared" ref="I621:I622" si="1280">H621/H$649</f>
        <v>0</v>
      </c>
      <c r="J621" s="22">
        <f t="shared" ref="J621:J622" si="1281">I621*J$679</f>
        <v>0</v>
      </c>
      <c r="K621" s="2">
        <v>0</v>
      </c>
      <c r="L621" s="21">
        <f t="shared" ref="L621:L622" ca="1" si="1282">K621/K$649</f>
        <v>0</v>
      </c>
      <c r="M621" s="22">
        <f t="shared" ref="M621:M622" ca="1" si="1283">L621*M$679</f>
        <v>0</v>
      </c>
      <c r="N621" s="2">
        <v>0</v>
      </c>
      <c r="O621" s="21">
        <f t="shared" ref="O621:O622" ca="1" si="1284">N621/N$649</f>
        <v>0</v>
      </c>
      <c r="P621" s="22">
        <f t="shared" ref="P621:P622" ca="1" si="1285">O621*P$679</f>
        <v>0</v>
      </c>
      <c r="Q621" s="2">
        <v>0</v>
      </c>
      <c r="R621" s="21">
        <f t="shared" ref="R621:R622" ca="1" si="1286">Q621/Q$649</f>
        <v>0</v>
      </c>
      <c r="S621" s="22">
        <f t="shared" ref="S621:S622" ca="1" si="1287">R621*S$679</f>
        <v>0</v>
      </c>
      <c r="T621" s="2">
        <v>0</v>
      </c>
      <c r="U621" s="21">
        <f t="shared" ref="U621:U622" ca="1" si="1288">T621/T$649</f>
        <v>0</v>
      </c>
      <c r="V621" s="22">
        <f t="shared" ref="V621:V622" ca="1" si="1289">U621*V$679</f>
        <v>0</v>
      </c>
      <c r="W621" s="2">
        <v>0</v>
      </c>
      <c r="X621" s="21">
        <f t="shared" ref="X621:X622" ca="1" si="1290">W621/W$649</f>
        <v>0</v>
      </c>
      <c r="Y621" s="22">
        <f t="shared" ref="Y621:Y622" ca="1" si="1291">X621*Y$679</f>
        <v>0</v>
      </c>
      <c r="Z621" s="2">
        <v>3194126.3416281296</v>
      </c>
      <c r="AA621" s="21">
        <f t="shared" ref="AA621:AA622" ca="1" si="1292">Z621/Z$649</f>
        <v>3.3070787764408457E-2</v>
      </c>
      <c r="AB621" s="22">
        <f t="shared" ref="AB621:AB622" ca="1" si="1293">AA621*AB$679</f>
        <v>8884482.6235960294</v>
      </c>
      <c r="AC621" s="2">
        <v>0</v>
      </c>
      <c r="AD621" s="21">
        <f t="shared" ref="AD621:AD622" ca="1" si="1294">AC621/AC$649</f>
        <v>0</v>
      </c>
      <c r="AE621" s="22">
        <f t="shared" ref="AE621:AE622" ca="1" si="1295">AD621*AE$679</f>
        <v>0</v>
      </c>
      <c r="AF621" s="2">
        <v>1569504.4238257338</v>
      </c>
      <c r="AG621" s="21">
        <f t="shared" ref="AG621:AG622" ca="1" si="1296">AF621/AF$649</f>
        <v>1.5483806352825164E-2</v>
      </c>
      <c r="AH621" s="22">
        <f t="shared" ref="AH621:AH622" ca="1" si="1297">AG621*AH$679</f>
        <v>4315064.5354106138</v>
      </c>
      <c r="AI621" s="2">
        <v>0</v>
      </c>
      <c r="AJ621" s="21">
        <f t="shared" ref="AJ621:AJ622" ca="1" si="1298">AI621/AI$649</f>
        <v>0</v>
      </c>
      <c r="AK621" s="22">
        <f t="shared" ref="AK621:AK622" ca="1" si="1299">AJ621*AK$679</f>
        <v>0</v>
      </c>
      <c r="AL621" s="2">
        <v>4763630.7654538639</v>
      </c>
    </row>
    <row r="622" spans="1:38" ht="12.75" x14ac:dyDescent="0.2">
      <c r="A622" s="8" t="s">
        <v>152</v>
      </c>
      <c r="B622" s="8" t="s">
        <v>17</v>
      </c>
      <c r="C622" s="8" t="s">
        <v>18</v>
      </c>
      <c r="D622" s="8" t="s">
        <v>179</v>
      </c>
      <c r="E622" s="8" t="s">
        <v>184</v>
      </c>
      <c r="F622" s="23" t="s">
        <v>37</v>
      </c>
      <c r="G622" s="8" t="s">
        <v>984</v>
      </c>
      <c r="H622" s="20">
        <v>0</v>
      </c>
      <c r="I622" s="21">
        <f t="shared" si="1280"/>
        <v>0</v>
      </c>
      <c r="J622" s="22">
        <f t="shared" si="1281"/>
        <v>0</v>
      </c>
      <c r="K622" s="2">
        <v>0</v>
      </c>
      <c r="L622" s="21">
        <f t="shared" ca="1" si="1282"/>
        <v>0</v>
      </c>
      <c r="M622" s="22">
        <f t="shared" ca="1" si="1283"/>
        <v>0</v>
      </c>
      <c r="N622" s="2">
        <v>0</v>
      </c>
      <c r="O622" s="21">
        <f t="shared" ca="1" si="1284"/>
        <v>0</v>
      </c>
      <c r="P622" s="22">
        <f t="shared" ca="1" si="1285"/>
        <v>0</v>
      </c>
      <c r="Q622" s="2">
        <v>0</v>
      </c>
      <c r="R622" s="21">
        <f t="shared" ca="1" si="1286"/>
        <v>0</v>
      </c>
      <c r="S622" s="22">
        <f t="shared" ca="1" si="1287"/>
        <v>0</v>
      </c>
      <c r="T622" s="2">
        <v>0</v>
      </c>
      <c r="U622" s="21">
        <f t="shared" ca="1" si="1288"/>
        <v>0</v>
      </c>
      <c r="V622" s="22">
        <f t="shared" ca="1" si="1289"/>
        <v>0</v>
      </c>
      <c r="W622" s="2">
        <v>0</v>
      </c>
      <c r="X622" s="21">
        <f t="shared" ca="1" si="1290"/>
        <v>0</v>
      </c>
      <c r="Y622" s="22">
        <f t="shared" ca="1" si="1291"/>
        <v>0</v>
      </c>
      <c r="Z622" s="2">
        <v>0</v>
      </c>
      <c r="AA622" s="21">
        <f t="shared" ca="1" si="1292"/>
        <v>0</v>
      </c>
      <c r="AB622" s="22">
        <f t="shared" ca="1" si="1293"/>
        <v>0</v>
      </c>
      <c r="AC622" s="2">
        <v>3168473.2219483228</v>
      </c>
      <c r="AD622" s="21">
        <f t="shared" ca="1" si="1294"/>
        <v>3.2390894252141471E-2</v>
      </c>
      <c r="AE622" s="22">
        <f t="shared" ca="1" si="1295"/>
        <v>8867163.6624114607</v>
      </c>
      <c r="AF622" s="2">
        <v>1569504.4238257338</v>
      </c>
      <c r="AG622" s="21">
        <f t="shared" ca="1" si="1296"/>
        <v>1.5483806352825164E-2</v>
      </c>
      <c r="AH622" s="22">
        <f t="shared" ca="1" si="1297"/>
        <v>4315064.5354106138</v>
      </c>
      <c r="AI622" s="2">
        <v>0</v>
      </c>
      <c r="AJ622" s="21">
        <f t="shared" ca="1" si="1298"/>
        <v>0</v>
      </c>
      <c r="AK622" s="22">
        <f t="shared" ca="1" si="1299"/>
        <v>0</v>
      </c>
      <c r="AL622" s="2">
        <v>4737977.6457740571</v>
      </c>
    </row>
    <row r="623" spans="1:38" ht="12.75" x14ac:dyDescent="0.2">
      <c r="A623" s="8" t="s">
        <v>152</v>
      </c>
      <c r="B623" s="8" t="s">
        <v>17</v>
      </c>
      <c r="C623" s="8" t="s">
        <v>18</v>
      </c>
      <c r="D623" s="8" t="s">
        <v>185</v>
      </c>
      <c r="E623" s="8" t="s">
        <v>186</v>
      </c>
      <c r="F623" s="8" t="s">
        <v>24</v>
      </c>
      <c r="G623" s="8" t="s">
        <v>985</v>
      </c>
      <c r="H623" s="20">
        <v>0</v>
      </c>
      <c r="I623" s="21">
        <f>H623/H$646</f>
        <v>0</v>
      </c>
      <c r="J623" s="22">
        <f>I623*J$676</f>
        <v>0</v>
      </c>
      <c r="K623" s="2">
        <v>0</v>
      </c>
      <c r="L623" s="21">
        <f ca="1">K623/K$646</f>
        <v>0</v>
      </c>
      <c r="M623" s="22">
        <f ca="1">L623*M$676</f>
        <v>0</v>
      </c>
      <c r="N623" s="2">
        <v>0</v>
      </c>
      <c r="O623" s="21">
        <f ca="1">N623/N$646</f>
        <v>0</v>
      </c>
      <c r="P623" s="22">
        <f ca="1">O623*P$676</f>
        <v>0</v>
      </c>
      <c r="Q623" s="2">
        <v>0</v>
      </c>
      <c r="R623" s="21">
        <f ca="1">Q623/Q$646</f>
        <v>0</v>
      </c>
      <c r="S623" s="22">
        <f ca="1">R623*S$676</f>
        <v>0</v>
      </c>
      <c r="T623" s="2">
        <v>0</v>
      </c>
      <c r="U623" s="21">
        <f ca="1">T623/T$646</f>
        <v>0</v>
      </c>
      <c r="V623" s="22">
        <f ca="1">U623*V$676</f>
        <v>0</v>
      </c>
      <c r="W623" s="2">
        <v>0</v>
      </c>
      <c r="X623" s="21">
        <f ca="1">W623/W$646</f>
        <v>0</v>
      </c>
      <c r="Y623" s="22">
        <f ca="1">X623*Y$676</f>
        <v>0</v>
      </c>
      <c r="Z623" s="2">
        <v>0</v>
      </c>
      <c r="AA623" s="21">
        <f ca="1">Z623/Z$646</f>
        <v>0</v>
      </c>
      <c r="AB623" s="22">
        <f ca="1">AA623*AB$676</f>
        <v>0</v>
      </c>
      <c r="AC623" s="2">
        <v>0</v>
      </c>
      <c r="AD623" s="21">
        <f ca="1">AC623/AC$646</f>
        <v>0</v>
      </c>
      <c r="AE623" s="22">
        <f ca="1">AD623*AE$676</f>
        <v>0</v>
      </c>
      <c r="AF623" s="2">
        <v>0</v>
      </c>
      <c r="AG623" s="21">
        <f ca="1">AF623/AF$646</f>
        <v>0</v>
      </c>
      <c r="AH623" s="22">
        <f ca="1">AG623*AH$676</f>
        <v>0</v>
      </c>
      <c r="AI623" s="2">
        <v>0</v>
      </c>
      <c r="AJ623" s="21">
        <f ca="1">AI623/AI$646</f>
        <v>0</v>
      </c>
      <c r="AK623" s="22">
        <f ca="1">AJ623*AK$676</f>
        <v>0</v>
      </c>
      <c r="AL623" s="2">
        <v>0</v>
      </c>
    </row>
    <row r="624" spans="1:38" ht="12.75" x14ac:dyDescent="0.2">
      <c r="A624" s="8" t="s">
        <v>152</v>
      </c>
      <c r="B624" s="8" t="s">
        <v>17</v>
      </c>
      <c r="C624" s="8" t="s">
        <v>18</v>
      </c>
      <c r="D624" s="8" t="s">
        <v>185</v>
      </c>
      <c r="E624" s="8" t="s">
        <v>186</v>
      </c>
      <c r="F624" s="23" t="s">
        <v>37</v>
      </c>
      <c r="G624" s="8" t="s">
        <v>986</v>
      </c>
      <c r="H624" s="20">
        <v>0</v>
      </c>
      <c r="I624" s="21">
        <f>H624/H$649</f>
        <v>0</v>
      </c>
      <c r="J624" s="22">
        <f>I624*J$679</f>
        <v>0</v>
      </c>
      <c r="K624" s="2">
        <v>0</v>
      </c>
      <c r="L624" s="21">
        <f ca="1">K624/K$649</f>
        <v>0</v>
      </c>
      <c r="M624" s="22">
        <f ca="1">L624*M$679</f>
        <v>0</v>
      </c>
      <c r="N624" s="2">
        <v>0</v>
      </c>
      <c r="O624" s="21">
        <f ca="1">N624/N$649</f>
        <v>0</v>
      </c>
      <c r="P624" s="22">
        <f ca="1">O624*P$679</f>
        <v>0</v>
      </c>
      <c r="Q624" s="2">
        <v>0</v>
      </c>
      <c r="R624" s="21">
        <f ca="1">Q624/Q$649</f>
        <v>0</v>
      </c>
      <c r="S624" s="22">
        <f ca="1">R624*S$679</f>
        <v>0</v>
      </c>
      <c r="T624" s="2">
        <v>80129.239695359822</v>
      </c>
      <c r="U624" s="21">
        <f ca="1">T624/T$649</f>
        <v>1.0310796040677043E-3</v>
      </c>
      <c r="V624" s="22">
        <f ca="1">U624*V$679</f>
        <v>266766.84252140555</v>
      </c>
      <c r="W624" s="2">
        <v>0</v>
      </c>
      <c r="X624" s="21">
        <f ca="1">W624/W$649</f>
        <v>0</v>
      </c>
      <c r="Y624" s="22">
        <f ca="1">X624*Y$679</f>
        <v>0</v>
      </c>
      <c r="Z624" s="2">
        <v>0</v>
      </c>
      <c r="AA624" s="21">
        <f ca="1">Z624/Z$649</f>
        <v>0</v>
      </c>
      <c r="AB624" s="22">
        <f ca="1">AA624*AB$679</f>
        <v>0</v>
      </c>
      <c r="AC624" s="2">
        <v>0</v>
      </c>
      <c r="AD624" s="21">
        <f ca="1">AC624/AC$649</f>
        <v>0</v>
      </c>
      <c r="AE624" s="22">
        <f ca="1">AD624*AE$679</f>
        <v>0</v>
      </c>
      <c r="AF624" s="2">
        <v>0</v>
      </c>
      <c r="AG624" s="21">
        <f ca="1">AF624/AF$649</f>
        <v>0</v>
      </c>
      <c r="AH624" s="22">
        <f ca="1">AG624*AH$679</f>
        <v>0</v>
      </c>
      <c r="AI624" s="2">
        <v>426441.65675486269</v>
      </c>
      <c r="AJ624" s="21">
        <f ca="1">AI624/AI$649</f>
        <v>2.2262166810678367E-3</v>
      </c>
      <c r="AK624" s="22">
        <f ca="1">AJ624*AK$679</f>
        <v>631574.77310565067</v>
      </c>
      <c r="AL624" s="2">
        <v>506570.89645022253</v>
      </c>
    </row>
    <row r="625" spans="1:38" ht="12.75" x14ac:dyDescent="0.2">
      <c r="A625" s="8" t="s">
        <v>187</v>
      </c>
      <c r="B625" s="8" t="s">
        <v>17</v>
      </c>
      <c r="C625" s="8" t="s">
        <v>18</v>
      </c>
      <c r="D625" s="8" t="s">
        <v>187</v>
      </c>
      <c r="E625" s="8" t="s">
        <v>187</v>
      </c>
      <c r="F625" s="8" t="s">
        <v>21</v>
      </c>
      <c r="G625" s="8" t="s">
        <v>987</v>
      </c>
      <c r="H625" s="20">
        <v>0</v>
      </c>
      <c r="I625" s="21">
        <f>H625/H$645</f>
        <v>0</v>
      </c>
      <c r="J625" s="22">
        <f>I625*J$675</f>
        <v>0</v>
      </c>
      <c r="K625" s="2">
        <v>0</v>
      </c>
      <c r="L625" s="21">
        <f ca="1">K625/K$645</f>
        <v>0</v>
      </c>
      <c r="M625" s="22">
        <f ca="1">L625*M$675</f>
        <v>0</v>
      </c>
      <c r="N625" s="2">
        <v>0</v>
      </c>
      <c r="O625" s="21">
        <f ca="1">N625/N$645</f>
        <v>0</v>
      </c>
      <c r="P625" s="22">
        <f ca="1">O625*P$675</f>
        <v>0</v>
      </c>
      <c r="Q625" s="2">
        <v>0</v>
      </c>
      <c r="R625" s="21">
        <f ca="1">Q625/Q$645</f>
        <v>0</v>
      </c>
      <c r="S625" s="22">
        <f ca="1">R625*S$675</f>
        <v>0</v>
      </c>
      <c r="T625" s="2">
        <v>0</v>
      </c>
      <c r="U625" s="21">
        <f ca="1">T625/T$645</f>
        <v>0</v>
      </c>
      <c r="V625" s="22">
        <f ca="1">U625*V$675</f>
        <v>0</v>
      </c>
      <c r="W625" s="2">
        <v>0</v>
      </c>
      <c r="X625" s="21">
        <f ca="1">W625/W$645</f>
        <v>0</v>
      </c>
      <c r="Y625" s="22">
        <f ca="1">X625*Y$675</f>
        <v>0</v>
      </c>
      <c r="Z625" s="2">
        <v>0</v>
      </c>
      <c r="AA625" s="21">
        <f ca="1">Z625/Z$645</f>
        <v>0</v>
      </c>
      <c r="AB625" s="22">
        <f ca="1">AA625*AB$675</f>
        <v>0</v>
      </c>
      <c r="AC625" s="2">
        <v>0</v>
      </c>
      <c r="AD625" s="21">
        <f ca="1">AC625/AC$645</f>
        <v>0</v>
      </c>
      <c r="AE625" s="22">
        <f ca="1">AD625*AE$675</f>
        <v>0</v>
      </c>
      <c r="AF625" s="2">
        <v>0</v>
      </c>
      <c r="AG625" s="21">
        <f ca="1">AF625/AF$645</f>
        <v>0</v>
      </c>
      <c r="AH625" s="22">
        <f ca="1">AG625*AH$675</f>
        <v>0</v>
      </c>
      <c r="AI625" s="2">
        <v>0</v>
      </c>
      <c r="AJ625" s="21">
        <f ca="1">AI625/AI$645</f>
        <v>0</v>
      </c>
      <c r="AK625" s="22">
        <f ca="1">AJ625*AK$675</f>
        <v>0</v>
      </c>
      <c r="AL625" s="2">
        <v>0</v>
      </c>
    </row>
    <row r="626" spans="1:38" ht="12.75" x14ac:dyDescent="0.2">
      <c r="A626" s="8" t="s">
        <v>187</v>
      </c>
      <c r="B626" s="8" t="s">
        <v>17</v>
      </c>
      <c r="C626" s="8" t="s">
        <v>18</v>
      </c>
      <c r="D626" s="8" t="s">
        <v>187</v>
      </c>
      <c r="E626" s="8" t="s">
        <v>187</v>
      </c>
      <c r="F626" s="8" t="s">
        <v>24</v>
      </c>
      <c r="G626" s="8" t="s">
        <v>988</v>
      </c>
      <c r="H626" s="20">
        <v>198604.44291237113</v>
      </c>
      <c r="I626" s="21">
        <f>H626/H$646</f>
        <v>2.4187872570755387E-3</v>
      </c>
      <c r="J626" s="22">
        <f>I626*J$676</f>
        <v>5204.3594138140124</v>
      </c>
      <c r="K626" s="2">
        <v>5754926.8987134574</v>
      </c>
      <c r="L626" s="21">
        <f ca="1">K626/K$646</f>
        <v>9.1122010102723125E-2</v>
      </c>
      <c r="M626" s="22">
        <f ca="1">L626*M$676</f>
        <v>354283.58720212185</v>
      </c>
      <c r="N626" s="2">
        <v>5649165.7055486077</v>
      </c>
      <c r="O626" s="21">
        <f ca="1">N626/N$646</f>
        <v>6.02643182764536E-2</v>
      </c>
      <c r="P626" s="22">
        <f ca="1">O626*P$676</f>
        <v>1023836.6290666229</v>
      </c>
      <c r="Q626" s="2">
        <v>5713044.709949418</v>
      </c>
      <c r="R626" s="21">
        <f ca="1">Q626/Q$646</f>
        <v>5.1365884682213432E-2</v>
      </c>
      <c r="S626" s="22">
        <f ca="1">R626*S$676</f>
        <v>892731.42123273411</v>
      </c>
      <c r="T626" s="2">
        <v>5829167.8098113183</v>
      </c>
      <c r="U626" s="21">
        <f ca="1">T626/T$646</f>
        <v>6.947997122240511E-2</v>
      </c>
      <c r="V626" s="22">
        <f ca="1">U626*V$676</f>
        <v>1232910.128364533</v>
      </c>
      <c r="W626" s="2">
        <v>0</v>
      </c>
      <c r="X626" s="21">
        <f ca="1">W626/W$646</f>
        <v>0</v>
      </c>
      <c r="Y626" s="22">
        <f ca="1">X626*Y$676</f>
        <v>0</v>
      </c>
      <c r="Z626" s="2">
        <v>602292.79432360781</v>
      </c>
      <c r="AA626" s="21">
        <f ca="1">Z626/Z$646</f>
        <v>5.1892401568288679E-3</v>
      </c>
      <c r="AB626" s="22">
        <f ca="1">AA626*AB$676</f>
        <v>95614.445440371346</v>
      </c>
      <c r="AC626" s="2">
        <v>116187.094526596</v>
      </c>
      <c r="AD626" s="21">
        <f ca="1">AC626/AC$646</f>
        <v>1.1166917522465885E-3</v>
      </c>
      <c r="AE626" s="22">
        <f ca="1">AD626*AE$676</f>
        <v>20966.562487589417</v>
      </c>
      <c r="AF626" s="2">
        <v>381228.88389506069</v>
      </c>
      <c r="AG626" s="21">
        <f ca="1">AF626/AF$646</f>
        <v>4.0498648509064402E-3</v>
      </c>
      <c r="AH626" s="22">
        <f ca="1">AG626*AH$676</f>
        <v>77407.355878988514</v>
      </c>
      <c r="AI626" s="2">
        <v>97367.063081278015</v>
      </c>
      <c r="AJ626" s="21">
        <f ca="1">AI626/AI$646</f>
        <v>7.8808566406971296E-4</v>
      </c>
      <c r="AK626" s="22">
        <f ca="1">AJ626*AK$676</f>
        <v>15334.26300156552</v>
      </c>
      <c r="AL626" s="2">
        <v>24341985.40276172</v>
      </c>
    </row>
    <row r="627" spans="1:38" ht="12.75" x14ac:dyDescent="0.2">
      <c r="A627" s="8" t="s">
        <v>187</v>
      </c>
      <c r="B627" s="8" t="s">
        <v>17</v>
      </c>
      <c r="C627" s="8" t="s">
        <v>18</v>
      </c>
      <c r="D627" s="8" t="s">
        <v>187</v>
      </c>
      <c r="E627" s="8" t="s">
        <v>187</v>
      </c>
      <c r="F627" s="23" t="s">
        <v>22</v>
      </c>
      <c r="G627" s="8" t="s">
        <v>989</v>
      </c>
      <c r="H627" s="20">
        <v>5953719.0285540279</v>
      </c>
      <c r="I627" s="21">
        <f>H627/H$650</f>
        <v>0.11909717515075038</v>
      </c>
      <c r="J627" s="22">
        <f>I627*J$680</f>
        <v>2041870.3325630012</v>
      </c>
      <c r="K627" s="2">
        <v>4832212.2393129775</v>
      </c>
      <c r="L627" s="21">
        <f ca="1">K627/K$650</f>
        <v>0.11375307739908018</v>
      </c>
      <c r="M627" s="22">
        <f ca="1">L627*M$680</f>
        <v>1256557.6715642582</v>
      </c>
      <c r="N627" s="2">
        <v>3638969.4121151213</v>
      </c>
      <c r="O627" s="21">
        <f ca="1">N627/N$650</f>
        <v>4.5925799566944064E-2</v>
      </c>
      <c r="P627" s="22">
        <f ca="1">O627*P$680</f>
        <v>520503.14525010937</v>
      </c>
      <c r="Q627" s="2">
        <v>13506630.339174278</v>
      </c>
      <c r="R627" s="21">
        <f ca="1">Q627/Q$650</f>
        <v>0.214513464996896</v>
      </c>
      <c r="S627" s="22">
        <f ca="1">R627*S$680</f>
        <v>2487120.4805683405</v>
      </c>
      <c r="T627" s="2">
        <v>1671562.7144116189</v>
      </c>
      <c r="U627" s="21">
        <f ca="1">T627/T$650</f>
        <v>5.8671793122334122E-2</v>
      </c>
      <c r="V627" s="22">
        <f ca="1">U627*V$680</f>
        <v>694540.17028570944</v>
      </c>
      <c r="W627" s="2">
        <v>1331124.1562114588</v>
      </c>
      <c r="X627" s="21">
        <f ca="1">W627/W$650</f>
        <v>3.3435025691522131E-2</v>
      </c>
      <c r="Y627" s="22">
        <f ca="1">X627*Y$680</f>
        <v>403710.31028568669</v>
      </c>
      <c r="Z627" s="2">
        <v>993797.84487258969</v>
      </c>
      <c r="AA627" s="21">
        <f ca="1">Z627/Z$650</f>
        <v>3.0412852439636665E-2</v>
      </c>
      <c r="AB627" s="22">
        <f ca="1">AA627*AB$680</f>
        <v>373829.10623736307</v>
      </c>
      <c r="AC627" s="2">
        <v>1848804.1250068464</v>
      </c>
      <c r="AD627" s="21">
        <f ca="1">AC627/AC$650</f>
        <v>5.7933843482217272E-2</v>
      </c>
      <c r="AE627" s="22">
        <f ca="1">AD627*AE$680</f>
        <v>725642.12008198455</v>
      </c>
      <c r="AF627" s="2">
        <v>2686260.1583697465</v>
      </c>
      <c r="AG627" s="21">
        <f ca="1">AF627/AF$650</f>
        <v>7.6191581252826518E-2</v>
      </c>
      <c r="AH627" s="22">
        <f ca="1">AG627*AH$680</f>
        <v>971504.7014924048</v>
      </c>
      <c r="AI627" s="2">
        <v>6094289.8693884127</v>
      </c>
      <c r="AJ627" s="21">
        <f ca="1">AI627/AI$650</f>
        <v>0.12857539234115808</v>
      </c>
      <c r="AK627" s="22">
        <f ca="1">AJ627*AK$680</f>
        <v>1668950.8836062807</v>
      </c>
      <c r="AL627" s="2">
        <v>42557369.887417078</v>
      </c>
    </row>
    <row r="628" spans="1:38" ht="12.75" x14ac:dyDescent="0.2">
      <c r="A628" s="8" t="s">
        <v>187</v>
      </c>
      <c r="B628" s="8" t="s">
        <v>17</v>
      </c>
      <c r="C628" s="8" t="s">
        <v>18</v>
      </c>
      <c r="D628" s="8" t="s">
        <v>187</v>
      </c>
      <c r="E628" s="8" t="s">
        <v>187</v>
      </c>
      <c r="F628" s="8" t="s">
        <v>25</v>
      </c>
      <c r="G628" s="8" t="s">
        <v>990</v>
      </c>
      <c r="H628" s="20">
        <v>0</v>
      </c>
      <c r="I628" s="21">
        <f>H628/H$652</f>
        <v>0</v>
      </c>
      <c r="J628" s="22">
        <f>I628*J$682</f>
        <v>0</v>
      </c>
      <c r="K628" s="2">
        <v>0</v>
      </c>
      <c r="L628" s="21">
        <f ca="1">K628/K$652</f>
        <v>0</v>
      </c>
      <c r="M628" s="22">
        <f ca="1">L628*M$682</f>
        <v>0</v>
      </c>
      <c r="N628" s="2">
        <v>0</v>
      </c>
      <c r="O628" s="21">
        <f ca="1">N628/N$652</f>
        <v>0</v>
      </c>
      <c r="P628" s="22">
        <f ca="1">O628*P$682</f>
        <v>0</v>
      </c>
      <c r="Q628" s="2">
        <v>0</v>
      </c>
      <c r="R628" s="21">
        <f ca="1">Q628/Q$652</f>
        <v>0</v>
      </c>
      <c r="S628" s="22">
        <f ca="1">R628*S$682</f>
        <v>0</v>
      </c>
      <c r="T628" s="2">
        <v>0</v>
      </c>
      <c r="U628" s="21">
        <f ca="1">T628/T$652</f>
        <v>0</v>
      </c>
      <c r="V628" s="22">
        <f ca="1">U628*V$682</f>
        <v>0</v>
      </c>
      <c r="W628" s="2">
        <v>0</v>
      </c>
      <c r="X628" s="21">
        <f ca="1">W628/W$652</f>
        <v>0</v>
      </c>
      <c r="Y628" s="22">
        <f ca="1">X628*Y$682</f>
        <v>0</v>
      </c>
      <c r="Z628" s="2">
        <v>0</v>
      </c>
      <c r="AA628" s="21">
        <f ca="1">Z628/Z$652</f>
        <v>0</v>
      </c>
      <c r="AB628" s="22">
        <f ca="1">AA628*AB$682</f>
        <v>0</v>
      </c>
      <c r="AC628" s="2">
        <v>0</v>
      </c>
      <c r="AD628" s="21">
        <f ca="1">AC628/AC$652</f>
        <v>0</v>
      </c>
      <c r="AE628" s="22">
        <f ca="1">AD628*AE$682</f>
        <v>0</v>
      </c>
      <c r="AF628" s="2">
        <v>0</v>
      </c>
      <c r="AG628" s="21">
        <f ca="1">AF628/AF$652</f>
        <v>0</v>
      </c>
      <c r="AH628" s="22">
        <f ca="1">AG628*AH$682</f>
        <v>0</v>
      </c>
      <c r="AI628" s="2">
        <v>0</v>
      </c>
      <c r="AJ628" s="21">
        <f ca="1">AI628/AI$652</f>
        <v>0</v>
      </c>
      <c r="AK628" s="22">
        <f ca="1">AJ628*AK$682</f>
        <v>0</v>
      </c>
      <c r="AL628" s="2">
        <v>0</v>
      </c>
    </row>
    <row r="629" spans="1:38" ht="12.75" x14ac:dyDescent="0.2">
      <c r="A629" s="8" t="s">
        <v>187</v>
      </c>
      <c r="B629" s="8" t="s">
        <v>17</v>
      </c>
      <c r="C629" s="8" t="s">
        <v>18</v>
      </c>
      <c r="D629" s="8" t="s">
        <v>187</v>
      </c>
      <c r="E629" s="8" t="s">
        <v>187</v>
      </c>
      <c r="F629" s="8" t="s">
        <v>26</v>
      </c>
      <c r="G629" s="8" t="s">
        <v>991</v>
      </c>
      <c r="H629" s="20">
        <v>708699.83321759384</v>
      </c>
      <c r="I629" s="21">
        <f>H629/H$655</f>
        <v>1.7868406656698158E-2</v>
      </c>
      <c r="J629" s="22">
        <f>I629*J$685</f>
        <v>43125.006360994557</v>
      </c>
      <c r="K629" s="2">
        <v>381789.72599831206</v>
      </c>
      <c r="L629" s="21">
        <f ca="1">K629/K$655</f>
        <v>9.6166091094076096E-3</v>
      </c>
      <c r="M629" s="22">
        <f ca="1">L629*M$685</f>
        <v>26609.253571821951</v>
      </c>
      <c r="N629" s="2">
        <v>261707.78309996385</v>
      </c>
      <c r="O629" s="21">
        <f ca="1">N629/N$655</f>
        <v>2.2625106102684184E-3</v>
      </c>
      <c r="P629" s="22">
        <f ca="1">O629*P$685</f>
        <v>6423.1596102955054</v>
      </c>
      <c r="Q629" s="2">
        <v>1239198.5296761519</v>
      </c>
      <c r="R629" s="21">
        <f ca="1">Q629/Q$655</f>
        <v>8.9011739325243148E-3</v>
      </c>
      <c r="S629" s="22">
        <f ca="1">R629*S$685</f>
        <v>25851.218015373706</v>
      </c>
      <c r="T629" s="2">
        <v>438692.20251807355</v>
      </c>
      <c r="U629" s="21">
        <f ca="1">T629/T$655</f>
        <v>4.416068072592776E-3</v>
      </c>
      <c r="V629" s="22">
        <f ca="1">U629*V$685</f>
        <v>13094.690077315972</v>
      </c>
      <c r="W629" s="2">
        <v>-1383795.0766271537</v>
      </c>
      <c r="X629" s="21">
        <f ca="1">W629/W$655</f>
        <v>-1.290796697338268E-2</v>
      </c>
      <c r="Y629" s="22">
        <f ca="1">X629*Y$685</f>
        <v>-39040.689794564838</v>
      </c>
      <c r="Z629" s="2">
        <v>1763624.9614093492</v>
      </c>
      <c r="AA629" s="21">
        <f ca="1">Z629/Z$655</f>
        <v>1.5289258558810968E-2</v>
      </c>
      <c r="AB629" s="22">
        <f ca="1">AA629*AB$685</f>
        <v>47075.380639731004</v>
      </c>
      <c r="AC629" s="2">
        <v>430431.56877748476</v>
      </c>
      <c r="AD629" s="21">
        <f ca="1">AC629/AC$655</f>
        <v>3.8206216921564018E-3</v>
      </c>
      <c r="AE629" s="22">
        <f ca="1">AD629*AE$685</f>
        <v>11987.141606948</v>
      </c>
      <c r="AF629" s="2">
        <v>15519551.631374078</v>
      </c>
      <c r="AG629" s="21">
        <f ca="1">AF629/AF$655</f>
        <v>0.12884588537471275</v>
      </c>
      <c r="AH629" s="22">
        <f ca="1">AG629*AH$685</f>
        <v>411528.51385929779</v>
      </c>
      <c r="AI629" s="2">
        <v>385198.16642681928</v>
      </c>
      <c r="AJ629" s="21">
        <f ca="1">AI629/AI$655</f>
        <v>2.0803282657360944E-3</v>
      </c>
      <c r="AK629" s="22">
        <f ca="1">AJ629*AK$685</f>
        <v>6764.0845046114528</v>
      </c>
      <c r="AL629" s="2">
        <v>19745099.325870674</v>
      </c>
    </row>
    <row r="630" spans="1:38" ht="12.75" x14ac:dyDescent="0.2">
      <c r="A630" s="8" t="s">
        <v>187</v>
      </c>
      <c r="B630" s="8" t="s">
        <v>17</v>
      </c>
      <c r="C630" s="8" t="s">
        <v>18</v>
      </c>
      <c r="D630" s="8" t="s">
        <v>187</v>
      </c>
      <c r="E630" s="8" t="s">
        <v>187</v>
      </c>
      <c r="F630" s="8" t="s">
        <v>27</v>
      </c>
      <c r="G630" s="8" t="s">
        <v>992</v>
      </c>
      <c r="H630" s="20">
        <v>0</v>
      </c>
      <c r="I630" s="21">
        <f>H630/H$657</f>
        <v>0</v>
      </c>
      <c r="J630" s="22">
        <f>I630*J$687</f>
        <v>0</v>
      </c>
      <c r="K630" s="2">
        <v>0</v>
      </c>
      <c r="L630" s="21">
        <f ca="1">K630/K$657</f>
        <v>0</v>
      </c>
      <c r="M630" s="22">
        <f ca="1">L630*M$687</f>
        <v>0</v>
      </c>
      <c r="N630" s="2">
        <v>0</v>
      </c>
      <c r="O630" s="21">
        <f ca="1">N630/N$657</f>
        <v>0</v>
      </c>
      <c r="P630" s="22">
        <f ca="1">O630*P$687</f>
        <v>0</v>
      </c>
      <c r="Q630" s="2">
        <v>0</v>
      </c>
      <c r="R630" s="21">
        <f ca="1">Q630/Q$657</f>
        <v>0</v>
      </c>
      <c r="S630" s="22">
        <f ca="1">R630*S$687</f>
        <v>0</v>
      </c>
      <c r="T630" s="2">
        <v>0</v>
      </c>
      <c r="U630" s="21">
        <f ca="1">T630/T$657</f>
        <v>0</v>
      </c>
      <c r="V630" s="22">
        <f ca="1">U630*V$687</f>
        <v>0</v>
      </c>
      <c r="W630" s="2">
        <v>0</v>
      </c>
      <c r="X630" s="21">
        <f ca="1">W630/W$657</f>
        <v>0</v>
      </c>
      <c r="Y630" s="22">
        <f ca="1">X630*Y$687</f>
        <v>0</v>
      </c>
      <c r="Z630" s="2">
        <v>0</v>
      </c>
      <c r="AA630" s="21">
        <f ca="1">Z630/Z$657</f>
        <v>0</v>
      </c>
      <c r="AB630" s="22">
        <f ca="1">AA630*AB$687</f>
        <v>0</v>
      </c>
      <c r="AC630" s="2">
        <v>0</v>
      </c>
      <c r="AD630" s="21">
        <f ca="1">AC630/AC$657</f>
        <v>0</v>
      </c>
      <c r="AE630" s="22">
        <f ca="1">AD630*AE$687</f>
        <v>0</v>
      </c>
      <c r="AF630" s="2">
        <v>0</v>
      </c>
      <c r="AG630" s="21">
        <f ca="1">AF630/AF$657</f>
        <v>0</v>
      </c>
      <c r="AH630" s="22">
        <f ca="1">AG630*AH$687</f>
        <v>0</v>
      </c>
      <c r="AI630" s="2">
        <v>0</v>
      </c>
      <c r="AJ630" s="21">
        <f ca="1">AI630/AI$657</f>
        <v>0</v>
      </c>
      <c r="AK630" s="22">
        <f ca="1">AJ630*AK$687</f>
        <v>0</v>
      </c>
      <c r="AL630" s="2">
        <v>0</v>
      </c>
    </row>
    <row r="631" spans="1:38" ht="12.75" x14ac:dyDescent="0.2">
      <c r="A631" s="8" t="s">
        <v>187</v>
      </c>
      <c r="B631" s="8" t="s">
        <v>17</v>
      </c>
      <c r="C631" s="8" t="s">
        <v>18</v>
      </c>
      <c r="D631" s="8" t="s">
        <v>187</v>
      </c>
      <c r="E631" s="8" t="s">
        <v>187</v>
      </c>
      <c r="F631" s="8" t="s">
        <v>28</v>
      </c>
      <c r="G631" s="8" t="s">
        <v>993</v>
      </c>
      <c r="H631" s="20">
        <v>158613.37452724643</v>
      </c>
      <c r="I631" s="21">
        <f>H631/H$669</f>
        <v>1.8668237990141088E-2</v>
      </c>
      <c r="J631" s="22">
        <f>I631*J$699</f>
        <v>208056.87768003077</v>
      </c>
      <c r="K631" s="2">
        <v>18160.360953968258</v>
      </c>
      <c r="L631" s="21">
        <f ca="1">K631/K$669</f>
        <v>2.50337265932732E-3</v>
      </c>
      <c r="M631" s="22">
        <f ca="1">L631*M$699</f>
        <v>11865.292970984863</v>
      </c>
      <c r="N631" s="2">
        <v>0</v>
      </c>
      <c r="O631" s="21">
        <f ca="1">N631/N$669</f>
        <v>0</v>
      </c>
      <c r="P631" s="22">
        <f ca="1">O631*P$699</f>
        <v>0</v>
      </c>
      <c r="Q631" s="2">
        <v>31305.136818395415</v>
      </c>
      <c r="R631" s="21">
        <f ca="1">Q631/Q$669</f>
        <v>8.2816106826768166E-4</v>
      </c>
      <c r="S631" s="22">
        <f ca="1">R631*S$699</f>
        <v>4119.9388128669007</v>
      </c>
      <c r="T631" s="2">
        <v>45673.666626355101</v>
      </c>
      <c r="U631" s="21">
        <f ca="1">T631/T$669</f>
        <v>1.5999340186858941E-3</v>
      </c>
      <c r="V631" s="22">
        <f ca="1">U631*V$699</f>
        <v>8126.5043187832289</v>
      </c>
      <c r="W631" s="2">
        <v>0</v>
      </c>
      <c r="X631" s="21">
        <f ca="1">W631/W$669</f>
        <v>0</v>
      </c>
      <c r="Y631" s="22">
        <f ca="1">X631*Y$699</f>
        <v>0</v>
      </c>
      <c r="Z631" s="2">
        <v>98498.205616969601</v>
      </c>
      <c r="AA631" s="21">
        <f ca="1">Z631/Z$669</f>
        <v>3.3480861114757775E-3</v>
      </c>
      <c r="AB631" s="22">
        <f ca="1">AA631*AB$699</f>
        <v>17658.193324601179</v>
      </c>
      <c r="AC631" s="2">
        <v>79211.830548708065</v>
      </c>
      <c r="AD631" s="21">
        <f ca="1">AC631/AC$669</f>
        <v>2.5117362750141309E-3</v>
      </c>
      <c r="AE631" s="22">
        <f ca="1">AD631*AE$699</f>
        <v>13498.884117483878</v>
      </c>
      <c r="AF631" s="2">
        <v>117708.12327365857</v>
      </c>
      <c r="AG631" s="21">
        <f ca="1">AF631/AF$669</f>
        <v>2.9324899591441221E-3</v>
      </c>
      <c r="AH631" s="22">
        <f ca="1">AG631*AH$699</f>
        <v>16043.833383808373</v>
      </c>
      <c r="AI631" s="2">
        <v>95280.699790473082</v>
      </c>
      <c r="AJ631" s="21">
        <f ca="1">AI631/AI$669</f>
        <v>2.1779447752387198E-3</v>
      </c>
      <c r="AK631" s="22">
        <f ca="1">AJ631*AK$699</f>
        <v>12130.152220500535</v>
      </c>
      <c r="AL631" s="2">
        <v>644451.39815577457</v>
      </c>
    </row>
    <row r="632" spans="1:38" ht="12.75" x14ac:dyDescent="0.2">
      <c r="A632" s="8" t="s">
        <v>187</v>
      </c>
      <c r="B632" s="8" t="s">
        <v>17</v>
      </c>
      <c r="C632" s="8" t="s">
        <v>18</v>
      </c>
      <c r="D632" s="8" t="s">
        <v>187</v>
      </c>
      <c r="E632" s="8" t="s">
        <v>187</v>
      </c>
      <c r="F632" s="8" t="s">
        <v>30</v>
      </c>
      <c r="G632" s="8" t="s">
        <v>994</v>
      </c>
      <c r="H632" s="20">
        <v>161955.92180064085</v>
      </c>
      <c r="I632" s="21">
        <f>H632/H$648</f>
        <v>2.4492606328148313E-3</v>
      </c>
      <c r="J632" s="22">
        <f>I632*J$678</f>
        <v>161123.34936049778</v>
      </c>
      <c r="K632" s="2">
        <v>102560.42087972474</v>
      </c>
      <c r="L632" s="21">
        <f ca="1">K632/K$648</f>
        <v>1.6910641316403765E-3</v>
      </c>
      <c r="M632" s="22">
        <f ca="1">L632*M$678</f>
        <v>123216.86488429163</v>
      </c>
      <c r="N632" s="2">
        <v>129923.8062621431</v>
      </c>
      <c r="O632" s="21">
        <f ca="1">N632/N$648</f>
        <v>1.0938522985909433E-2</v>
      </c>
      <c r="P632" s="22">
        <f ca="1">O632*P$678</f>
        <v>817741.65519826475</v>
      </c>
      <c r="Q632" s="2">
        <v>153568.21615952576</v>
      </c>
      <c r="R632" s="21">
        <f ca="1">Q632/Q$648</f>
        <v>9.6002922426289949E-3</v>
      </c>
      <c r="S632" s="22">
        <f ca="1">R632*S$678</f>
        <v>734205.31574617559</v>
      </c>
      <c r="T632" s="2">
        <v>257717.04272214914</v>
      </c>
      <c r="U632" s="21">
        <f ca="1">T632/T$648</f>
        <v>2.2740179238411887E-2</v>
      </c>
      <c r="V632" s="22">
        <f ca="1">U632*V$678</f>
        <v>1775630.9097251494</v>
      </c>
      <c r="W632" s="2">
        <v>155038.46826041181</v>
      </c>
      <c r="X632" s="21">
        <f ca="1">W632/W$648</f>
        <v>4.593738525007318E-3</v>
      </c>
      <c r="Y632" s="22">
        <f ca="1">X632*Y$678</f>
        <v>365868.69924259762</v>
      </c>
      <c r="Z632" s="2">
        <v>156284.955268291</v>
      </c>
      <c r="AA632" s="21">
        <f ca="1">Z632/Z$648</f>
        <v>1.0531266711782021E-2</v>
      </c>
      <c r="AB632" s="22">
        <f ca="1">AA632*AB$678</f>
        <v>853861.38696326758</v>
      </c>
      <c r="AC632" s="2">
        <v>174365.00238942838</v>
      </c>
      <c r="AD632" s="21">
        <f ca="1">AC632/AC$648</f>
        <v>1.3323260329566055E-2</v>
      </c>
      <c r="AE632" s="22">
        <f ca="1">AD632*AE$678</f>
        <v>1100757.0118945204</v>
      </c>
      <c r="AF632" s="2">
        <v>160192.01834432187</v>
      </c>
      <c r="AG632" s="21">
        <f ca="1">AF632/AF$648</f>
        <v>1.1447728067384307E-2</v>
      </c>
      <c r="AH632" s="22">
        <f ca="1">AG632*AH$678</f>
        <v>962826.48754123878</v>
      </c>
      <c r="AI632" s="2">
        <v>174755.11903620631</v>
      </c>
      <c r="AJ632" s="21">
        <f ca="1">AI632/AI$648</f>
        <v>9.2381464624381945E-3</v>
      </c>
      <c r="AK632" s="22">
        <f ca="1">AJ632*AK$678</f>
        <v>790972.43006687739</v>
      </c>
      <c r="AL632" s="2">
        <v>1626360.971122843</v>
      </c>
    </row>
    <row r="633" spans="1:38" ht="12.75" x14ac:dyDescent="0.2">
      <c r="A633" s="8" t="s">
        <v>187</v>
      </c>
      <c r="B633" s="8" t="s">
        <v>17</v>
      </c>
      <c r="C633" s="8" t="s">
        <v>18</v>
      </c>
      <c r="D633" s="8" t="s">
        <v>187</v>
      </c>
      <c r="E633" s="8" t="s">
        <v>187</v>
      </c>
      <c r="F633" s="8" t="s">
        <v>47</v>
      </c>
      <c r="G633" s="8" t="s">
        <v>995</v>
      </c>
      <c r="H633" s="20">
        <v>250040.36113668702</v>
      </c>
      <c r="I633" s="21">
        <f>H633/H$658</f>
        <v>5.3265360749798754E-3</v>
      </c>
      <c r="J633" s="22">
        <f>I633*J$688</f>
        <v>169949.48802977038</v>
      </c>
      <c r="K633" s="2">
        <v>249600.43223767271</v>
      </c>
      <c r="L633" s="21">
        <f ca="1">K633/K$658</f>
        <v>5.2927138894586683E-3</v>
      </c>
      <c r="M633" s="22">
        <f ca="1">L633*M$688</f>
        <v>248710.10463015403</v>
      </c>
      <c r="N633" s="2">
        <v>300272.51062700799</v>
      </c>
      <c r="O633" s="21">
        <f ca="1">N633/N$658</f>
        <v>1.1093890228513981E-2</v>
      </c>
      <c r="P633" s="22">
        <f ca="1">O633*P$688</f>
        <v>534867.53410646832</v>
      </c>
      <c r="Q633" s="2">
        <v>301398.51811975293</v>
      </c>
      <c r="R633" s="21">
        <f ca="1">Q633/Q$658</f>
        <v>9.651424214634486E-3</v>
      </c>
      <c r="S633" s="22">
        <f ca="1">R633*S$688</f>
        <v>476024.61638952413</v>
      </c>
      <c r="T633" s="2">
        <v>247082.86428933215</v>
      </c>
      <c r="U633" s="21">
        <f ca="1">T633/T$658</f>
        <v>8.7969348943487818E-3</v>
      </c>
      <c r="V633" s="22">
        <f ca="1">U633*V$688</f>
        <v>442991.22827274213</v>
      </c>
      <c r="W633" s="2">
        <v>246899.02633568732</v>
      </c>
      <c r="X633" s="21">
        <f ca="1">W633/W$658</f>
        <v>9.5170885742302119E-3</v>
      </c>
      <c r="Y633" s="22">
        <f ca="1">X633*Y$688</f>
        <v>488841.45939075318</v>
      </c>
      <c r="Z633" s="2">
        <v>231475.30155776601</v>
      </c>
      <c r="AA633" s="21">
        <f ca="1">Z633/Z$658</f>
        <v>9.2070632900725074E-3</v>
      </c>
      <c r="AB633" s="22">
        <f ca="1">AA633*AB$688</f>
        <v>481429.64279333403</v>
      </c>
      <c r="AC633" s="2">
        <v>229616.23114306232</v>
      </c>
      <c r="AD633" s="21">
        <f ca="1">AC633/AC$658</f>
        <v>6.2840817866453491E-3</v>
      </c>
      <c r="AE633" s="22">
        <f ca="1">AD633*AE$688</f>
        <v>334832.58168730617</v>
      </c>
      <c r="AF633" s="2">
        <v>216558.04925168847</v>
      </c>
      <c r="AG633" s="21">
        <f ca="1">AF633/AF$658</f>
        <v>4.4453981110223039E-3</v>
      </c>
      <c r="AH633" s="22">
        <f ca="1">AG633*AH$688</f>
        <v>241126.15525140558</v>
      </c>
      <c r="AI633" s="2">
        <v>213767.44006682551</v>
      </c>
      <c r="AJ633" s="21">
        <f ca="1">AI633/AI$658</f>
        <v>3.3270560842444483E-3</v>
      </c>
      <c r="AK633" s="22">
        <f ca="1">AJ633*AK$688</f>
        <v>183713.70704815479</v>
      </c>
      <c r="AL633" s="2">
        <v>2486710.7347654826</v>
      </c>
    </row>
    <row r="634" spans="1:38" ht="12.75" x14ac:dyDescent="0.2">
      <c r="A634" s="8" t="s">
        <v>187</v>
      </c>
      <c r="B634" s="8" t="s">
        <v>17</v>
      </c>
      <c r="C634" s="8" t="s">
        <v>18</v>
      </c>
      <c r="D634" s="8" t="s">
        <v>187</v>
      </c>
      <c r="E634" s="8" t="s">
        <v>187</v>
      </c>
      <c r="F634" s="8" t="s">
        <v>43</v>
      </c>
      <c r="G634" s="8" t="s">
        <v>996</v>
      </c>
      <c r="H634" s="20">
        <v>911600.19867200532</v>
      </c>
      <c r="I634" s="21">
        <f>H634/H$659</f>
        <v>3.1202983533777241E-2</v>
      </c>
      <c r="J634" s="22">
        <f>I634*J$689</f>
        <v>1463427.7908860031</v>
      </c>
      <c r="K634" s="2">
        <v>4771796.3979693837</v>
      </c>
      <c r="L634" s="21">
        <f ca="1">K634/K$659</f>
        <v>7.1127016843840415E-2</v>
      </c>
      <c r="M634" s="22">
        <f ca="1">L634*M$689</f>
        <v>3501822.45276096</v>
      </c>
      <c r="N634" s="2">
        <v>4044207.1566466652</v>
      </c>
      <c r="O634" s="21">
        <f ca="1">N634/N$659</f>
        <v>0.11984704864648361</v>
      </c>
      <c r="P634" s="22">
        <f ca="1">O634*P$689</f>
        <v>6053885.9243723564</v>
      </c>
      <c r="Q634" s="2">
        <v>4059373.098632887</v>
      </c>
      <c r="R634" s="21">
        <f ca="1">Q634/Q$659</f>
        <v>6.6315451550625432E-2</v>
      </c>
      <c r="S634" s="22">
        <f ca="1">R634*S$689</f>
        <v>3426867.039712416</v>
      </c>
      <c r="T634" s="2">
        <v>4478124.0574121317</v>
      </c>
      <c r="U634" s="21">
        <f ca="1">T634/T$659</f>
        <v>7.8436940337843208E-2</v>
      </c>
      <c r="V634" s="22">
        <f ca="1">U634*V$689</f>
        <v>4138366.1181068555</v>
      </c>
      <c r="W634" s="2">
        <v>4525449.8073618906</v>
      </c>
      <c r="X634" s="21">
        <f ca="1">W634/W$659</f>
        <v>0.11975953931223782</v>
      </c>
      <c r="Y634" s="22">
        <f ca="1">X634*Y$689</f>
        <v>6444935.1799501702</v>
      </c>
      <c r="Z634" s="2">
        <v>4548210.9907485666</v>
      </c>
      <c r="AA634" s="21">
        <f ca="1">Z634/Z$659</f>
        <v>7.6899077175970734E-2</v>
      </c>
      <c r="AB634" s="22">
        <f ca="1">AA634*AB$689</f>
        <v>4212863.0665111002</v>
      </c>
      <c r="AC634" s="2">
        <v>4528713.2982996721</v>
      </c>
      <c r="AD634" s="21">
        <f ca="1">AC634/AC$659</f>
        <v>0.2437864113218341</v>
      </c>
      <c r="AE634" s="22">
        <f ca="1">AD634*AE$689</f>
        <v>13609428.660345063</v>
      </c>
      <c r="AF634" s="2">
        <v>4546363.8456907058</v>
      </c>
      <c r="AG634" s="21">
        <f ca="1">AF634/AF$659</f>
        <v>4.2413711027044963E-2</v>
      </c>
      <c r="AH634" s="22">
        <f ca="1">AG634*AH$689</f>
        <v>2410374.0894337832</v>
      </c>
      <c r="AI634" s="2">
        <v>8536707.8654536493</v>
      </c>
      <c r="AJ634" s="21">
        <f ca="1">AI634/AI$659</f>
        <v>0.13450879993333451</v>
      </c>
      <c r="AK634" s="22">
        <f ca="1">AJ634*AK$689</f>
        <v>7781738.8682710081</v>
      </c>
      <c r="AL634" s="2">
        <v>44950546.716887549</v>
      </c>
    </row>
    <row r="635" spans="1:38" ht="12.75" x14ac:dyDescent="0.2">
      <c r="A635" s="8" t="s">
        <v>187</v>
      </c>
      <c r="B635" s="8" t="s">
        <v>17</v>
      </c>
      <c r="C635" s="8" t="s">
        <v>18</v>
      </c>
      <c r="D635" s="8" t="s">
        <v>187</v>
      </c>
      <c r="E635" s="8" t="s">
        <v>187</v>
      </c>
      <c r="F635" s="8" t="s">
        <v>145</v>
      </c>
      <c r="G635" s="8" t="s">
        <v>997</v>
      </c>
      <c r="H635" s="20">
        <v>0</v>
      </c>
      <c r="I635" s="21">
        <f>H635/H$661</f>
        <v>0</v>
      </c>
      <c r="J635" s="22">
        <f>I635*J$691</f>
        <v>0</v>
      </c>
      <c r="K635" s="2">
        <v>0</v>
      </c>
      <c r="L635" s="21">
        <f ca="1">K635/K$661</f>
        <v>0</v>
      </c>
      <c r="M635" s="22">
        <f ca="1">L635*M$691</f>
        <v>0</v>
      </c>
      <c r="N635" s="2">
        <v>0</v>
      </c>
      <c r="O635" s="21">
        <f ca="1">N635/N$661</f>
        <v>0</v>
      </c>
      <c r="P635" s="22">
        <f ca="1">O635*P$691</f>
        <v>0</v>
      </c>
      <c r="Q635" s="2">
        <v>0</v>
      </c>
      <c r="R635" s="21">
        <f ca="1">Q635/Q$661</f>
        <v>0</v>
      </c>
      <c r="S635" s="22">
        <f ca="1">R635*S$691</f>
        <v>0</v>
      </c>
      <c r="T635" s="2">
        <v>0</v>
      </c>
      <c r="U635" s="21">
        <f ca="1">T635/T$661</f>
        <v>0</v>
      </c>
      <c r="V635" s="22">
        <f ca="1">U635*V$691</f>
        <v>0</v>
      </c>
      <c r="W635" s="2">
        <v>0</v>
      </c>
      <c r="X635" s="21">
        <f ca="1">W635/W$661</f>
        <v>0</v>
      </c>
      <c r="Y635" s="22">
        <f ca="1">X635*Y$691</f>
        <v>0</v>
      </c>
      <c r="Z635" s="2">
        <v>0</v>
      </c>
      <c r="AA635" s="21">
        <f ca="1">Z635/Z$661</f>
        <v>0</v>
      </c>
      <c r="AB635" s="22">
        <f ca="1">AA635*AB$691</f>
        <v>0</v>
      </c>
      <c r="AC635" s="2">
        <v>0</v>
      </c>
      <c r="AD635" s="21">
        <f ca="1">AC635/AC$661</f>
        <v>0</v>
      </c>
      <c r="AE635" s="22">
        <f ca="1">AD635*AE$691</f>
        <v>0</v>
      </c>
      <c r="AF635" s="2">
        <v>0</v>
      </c>
      <c r="AG635" s="21">
        <f ca="1">AF635/AF$661</f>
        <v>0</v>
      </c>
      <c r="AH635" s="22">
        <f ca="1">AG635*AH$691</f>
        <v>0</v>
      </c>
      <c r="AI635" s="2">
        <v>0</v>
      </c>
      <c r="AJ635" s="21">
        <f ca="1">AI635/AI$661</f>
        <v>0</v>
      </c>
      <c r="AK635" s="22">
        <f ca="1">AJ635*AK$691</f>
        <v>0</v>
      </c>
      <c r="AL635" s="2">
        <v>0</v>
      </c>
    </row>
    <row r="636" spans="1:38" ht="12.75" x14ac:dyDescent="0.2">
      <c r="A636" s="8" t="s">
        <v>187</v>
      </c>
      <c r="B636" s="8" t="s">
        <v>17</v>
      </c>
      <c r="C636" s="8" t="s">
        <v>18</v>
      </c>
      <c r="D636" s="8" t="s">
        <v>187</v>
      </c>
      <c r="E636" s="8" t="s">
        <v>187</v>
      </c>
      <c r="F636" s="8" t="s">
        <v>139</v>
      </c>
      <c r="G636" s="8" t="s">
        <v>998</v>
      </c>
      <c r="H636" s="20">
        <v>223001.44049026503</v>
      </c>
      <c r="I636" s="21">
        <f>H636/H$662</f>
        <v>3.5614568666696871E-2</v>
      </c>
      <c r="J636" s="22">
        <f>I636*J$692</f>
        <v>114329.2472715943</v>
      </c>
      <c r="K636" s="2">
        <v>1077051.0342843952</v>
      </c>
      <c r="L636" s="21">
        <f ca="1">K636/K$662</f>
        <v>0.18492383219092934</v>
      </c>
      <c r="M636" s="22">
        <f ca="1">L636*M$692</f>
        <v>508122.79558813636</v>
      </c>
      <c r="N636" s="2">
        <v>35923.775790086671</v>
      </c>
      <c r="O636" s="21">
        <f ca="1">N636/N$662</f>
        <v>6.6439758640697601E-3</v>
      </c>
      <c r="P636" s="22">
        <f ca="1">O636*P$692</f>
        <v>18730.578958293398</v>
      </c>
      <c r="Q636" s="2">
        <v>39303.77298834487</v>
      </c>
      <c r="R636" s="21">
        <f ca="1">Q636/Q$662</f>
        <v>7.031730124006411E-3</v>
      </c>
      <c r="S636" s="22">
        <f ca="1">R636*S$692</f>
        <v>20279.674642023198</v>
      </c>
      <c r="T636" s="2">
        <v>39341.693847148381</v>
      </c>
      <c r="U636" s="21">
        <f ca="1">T636/T$662</f>
        <v>1.0069352572587132E-2</v>
      </c>
      <c r="V636" s="22">
        <f ca="1">U636*V$692</f>
        <v>29650.094249541573</v>
      </c>
      <c r="W636" s="2">
        <v>39312.424429788596</v>
      </c>
      <c r="X636" s="21">
        <f ca="1">W636/W$662</f>
        <v>9.8370953148009237E-3</v>
      </c>
      <c r="Y636" s="22">
        <f ca="1">X636*Y$692</f>
        <v>29545.516183340638</v>
      </c>
      <c r="Z636" s="2">
        <v>39206.144073997391</v>
      </c>
      <c r="AA636" s="21">
        <f ca="1">Z636/Z$662</f>
        <v>9.2041383111348633E-3</v>
      </c>
      <c r="AB636" s="22">
        <f ca="1">AA636*AB$692</f>
        <v>28142.042589510937</v>
      </c>
      <c r="AC636" s="2">
        <v>220113.84793072176</v>
      </c>
      <c r="AD636" s="21">
        <f ca="1">AC636/AC$662</f>
        <v>5.6617309203920531E-2</v>
      </c>
      <c r="AE636" s="22">
        <f ca="1">AD636*AE$692</f>
        <v>176398.90696280793</v>
      </c>
      <c r="AF636" s="2">
        <v>272455.67464296782</v>
      </c>
      <c r="AG636" s="21">
        <f ca="1">AF636/AF$662</f>
        <v>7.5784979203783395E-2</v>
      </c>
      <c r="AH636" s="22">
        <f ca="1">AG636*AH$692</f>
        <v>240368.51370593437</v>
      </c>
      <c r="AI636" s="2">
        <v>264755.33145869797</v>
      </c>
      <c r="AJ636" s="21">
        <f ca="1">AI636/AI$662</f>
        <v>5.0784862080066114E-2</v>
      </c>
      <c r="AK636" s="22">
        <f ca="1">AJ636*AK$692</f>
        <v>163974.56896301411</v>
      </c>
      <c r="AL636" s="2">
        <v>2250465.1399364132</v>
      </c>
    </row>
    <row r="637" spans="1:38" ht="12.75" x14ac:dyDescent="0.2">
      <c r="A637" s="8" t="s">
        <v>187</v>
      </c>
      <c r="B637" s="8" t="s">
        <v>17</v>
      </c>
      <c r="C637" s="8" t="s">
        <v>18</v>
      </c>
      <c r="D637" s="8" t="s">
        <v>187</v>
      </c>
      <c r="E637" s="8" t="s">
        <v>187</v>
      </c>
      <c r="F637" s="8" t="s">
        <v>146</v>
      </c>
      <c r="G637" s="8" t="s">
        <v>999</v>
      </c>
      <c r="H637" s="20">
        <v>4346615.4400447784</v>
      </c>
      <c r="I637" s="21">
        <f>H637/H$664</f>
        <v>0.14381657363176889</v>
      </c>
      <c r="J637" s="22">
        <f>I637*J$694</f>
        <v>9360586.4516394697</v>
      </c>
      <c r="K637" s="2">
        <v>4486677.4121568631</v>
      </c>
      <c r="L637" s="21">
        <f ca="1">K637/K$664</f>
        <v>0.15883863814005841</v>
      </c>
      <c r="M637" s="22">
        <f ca="1">L637*M$694</f>
        <v>6728623.432417593</v>
      </c>
      <c r="N637" s="2">
        <v>4780656.3239002647</v>
      </c>
      <c r="O637" s="21">
        <f ca="1">N637/N$664</f>
        <v>0.16488552666897024</v>
      </c>
      <c r="P637" s="22">
        <f ca="1">O637*P$694</f>
        <v>7166382.183621794</v>
      </c>
      <c r="Q637" s="2">
        <v>5043276.2736125179</v>
      </c>
      <c r="R637" s="21">
        <f ca="1">Q637/Q$664</f>
        <v>0.15065606591599853</v>
      </c>
      <c r="S637" s="22">
        <f ca="1">R637*S$694</f>
        <v>6698532.7630610662</v>
      </c>
      <c r="T637" s="2">
        <v>5225761.9154657172</v>
      </c>
      <c r="U637" s="21">
        <f ca="1">T637/T$664</f>
        <v>0.17500000000000002</v>
      </c>
      <c r="V637" s="22">
        <f ca="1">U637*V$694</f>
        <v>7944322.2810000004</v>
      </c>
      <c r="W637" s="2">
        <v>5410571.4719103128</v>
      </c>
      <c r="X637" s="21">
        <f ca="1">W637/W$664</f>
        <v>0.17869526985929701</v>
      </c>
      <c r="Y637" s="22">
        <f ca="1">X637*Y$694</f>
        <v>8274314.6870979965</v>
      </c>
      <c r="Z637" s="2">
        <v>5606490.2611427745</v>
      </c>
      <c r="AA637" s="21">
        <f ca="1">Z637/Z$664</f>
        <v>0.16513731756555688</v>
      </c>
      <c r="AB637" s="22">
        <f ca="1">AA637*AB$694</f>
        <v>7784164.0669231592</v>
      </c>
      <c r="AC637" s="2">
        <v>5777710.9202227667</v>
      </c>
      <c r="AD637" s="21">
        <f ca="1">AC637/AC$664</f>
        <v>8.7500000000000008E-2</v>
      </c>
      <c r="AE637" s="22">
        <f ca="1">AD637*AE$694</f>
        <v>4202899.3737500003</v>
      </c>
      <c r="AF637" s="2">
        <v>5960193.0494782245</v>
      </c>
      <c r="AG637" s="21">
        <f ca="1">AF637/AF$664</f>
        <v>0.13278705808016869</v>
      </c>
      <c r="AH637" s="22">
        <f ca="1">AG637*AH$694</f>
        <v>6492985.997662711</v>
      </c>
      <c r="AI637" s="2">
        <v>6136438.5650964575</v>
      </c>
      <c r="AJ637" s="21">
        <f ca="1">AI637/AI$664</f>
        <v>0.13430859659039465</v>
      </c>
      <c r="AK637" s="22">
        <f ca="1">AJ637*AK$694</f>
        <v>6685598.7244183877</v>
      </c>
      <c r="AL637" s="2">
        <v>52774391.633030675</v>
      </c>
    </row>
    <row r="638" spans="1:38" ht="12.75" x14ac:dyDescent="0.2">
      <c r="A638" s="8" t="s">
        <v>187</v>
      </c>
      <c r="B638" s="8" t="s">
        <v>17</v>
      </c>
      <c r="C638" s="8" t="s">
        <v>18</v>
      </c>
      <c r="D638" s="8" t="s">
        <v>187</v>
      </c>
      <c r="E638" s="8" t="s">
        <v>187</v>
      </c>
      <c r="F638" s="8" t="s">
        <v>34</v>
      </c>
      <c r="G638" s="8" t="s">
        <v>1000</v>
      </c>
      <c r="H638" s="20">
        <v>0</v>
      </c>
      <c r="I638" s="21">
        <f>H638/H$653</f>
        <v>0</v>
      </c>
      <c r="J638" s="22">
        <f>I638*J$683</f>
        <v>0</v>
      </c>
      <c r="K638" s="2">
        <v>0</v>
      </c>
      <c r="L638" s="21">
        <f ca="1">K638/K$653</f>
        <v>0</v>
      </c>
      <c r="M638" s="22">
        <f ca="1">L638*M$683</f>
        <v>0</v>
      </c>
      <c r="N638" s="2">
        <v>0</v>
      </c>
      <c r="O638" s="21">
        <f ca="1">N638/N$653</f>
        <v>0</v>
      </c>
      <c r="P638" s="22">
        <f ca="1">O638*P$683</f>
        <v>0</v>
      </c>
      <c r="Q638" s="2">
        <v>0</v>
      </c>
      <c r="R638" s="21">
        <f ca="1">Q638/Q$653</f>
        <v>0</v>
      </c>
      <c r="S638" s="22">
        <f ca="1">R638*S$683</f>
        <v>0</v>
      </c>
      <c r="T638" s="2">
        <v>0</v>
      </c>
      <c r="U638" s="21">
        <f ca="1">T638/T$653</f>
        <v>0</v>
      </c>
      <c r="V638" s="22">
        <f ca="1">U638*V$683</f>
        <v>0</v>
      </c>
      <c r="W638" s="2">
        <v>0</v>
      </c>
      <c r="X638" s="21">
        <f ca="1">W638/W$653</f>
        <v>0</v>
      </c>
      <c r="Y638" s="22">
        <f ca="1">X638*Y$683</f>
        <v>0</v>
      </c>
      <c r="Z638" s="2">
        <v>0</v>
      </c>
      <c r="AA638" s="21">
        <f ca="1">Z638/Z$653</f>
        <v>0</v>
      </c>
      <c r="AB638" s="22">
        <f ca="1">AA638*AB$683</f>
        <v>0</v>
      </c>
      <c r="AC638" s="2">
        <v>0</v>
      </c>
      <c r="AD638" s="21">
        <f ca="1">AC638/AC$653</f>
        <v>0</v>
      </c>
      <c r="AE638" s="22">
        <f ca="1">AD638*AE$683</f>
        <v>0</v>
      </c>
      <c r="AF638" s="2">
        <v>0</v>
      </c>
      <c r="AG638" s="21">
        <f ca="1">AF638/AF$653</f>
        <v>0</v>
      </c>
      <c r="AH638" s="22">
        <f ca="1">AG638*AH$683</f>
        <v>0</v>
      </c>
      <c r="AI638" s="2">
        <v>0</v>
      </c>
      <c r="AJ638" s="21">
        <f ca="1">AI638/AI$653</f>
        <v>0</v>
      </c>
      <c r="AK638" s="22">
        <f ca="1">AJ638*AK$683</f>
        <v>0</v>
      </c>
      <c r="AL638" s="2">
        <v>0</v>
      </c>
    </row>
    <row r="639" spans="1:38" ht="12.75" x14ac:dyDescent="0.2">
      <c r="A639" s="8" t="s">
        <v>187</v>
      </c>
      <c r="B639" s="8" t="s">
        <v>17</v>
      </c>
      <c r="C639" s="8" t="s">
        <v>18</v>
      </c>
      <c r="D639" s="8" t="s">
        <v>187</v>
      </c>
      <c r="E639" s="8" t="s">
        <v>187</v>
      </c>
      <c r="F639" s="8" t="s">
        <v>55</v>
      </c>
      <c r="G639" s="8" t="s">
        <v>1001</v>
      </c>
      <c r="H639" s="20">
        <v>16990.113847713026</v>
      </c>
      <c r="I639" s="21">
        <f>H639/H$654</f>
        <v>7.7010405707016918E-3</v>
      </c>
      <c r="J639" s="22">
        <f>I639*J$684</f>
        <v>11852.556026758413</v>
      </c>
      <c r="K639" s="2">
        <v>355453.52306479937</v>
      </c>
      <c r="L639" s="21">
        <f ca="1">K639/K$654</f>
        <v>9.8210777941113367E-2</v>
      </c>
      <c r="M639" s="22">
        <f ca="1">L639*M$684</f>
        <v>292647.78863348404</v>
      </c>
      <c r="N639" s="2">
        <v>220079.93171367064</v>
      </c>
      <c r="O639" s="21">
        <f ca="1">N639/N$654</f>
        <v>8.053330135269228E-2</v>
      </c>
      <c r="P639" s="22">
        <f ca="1">O639*P$684</f>
        <v>246211.85455728832</v>
      </c>
      <c r="Q639" s="2">
        <v>191451.17280678722</v>
      </c>
      <c r="R639" s="21">
        <f ca="1">Q639/Q$654</f>
        <v>6.2376115741119773E-2</v>
      </c>
      <c r="S639" s="22">
        <f ca="1">R639*S$684</f>
        <v>195086.58960368347</v>
      </c>
      <c r="T639" s="2">
        <v>0</v>
      </c>
      <c r="U639" s="21">
        <f ca="1">T639/T$654</f>
        <v>0</v>
      </c>
      <c r="V639" s="22">
        <f ca="1">U639*V$684</f>
        <v>0</v>
      </c>
      <c r="W639" s="2">
        <v>284016.16850708093</v>
      </c>
      <c r="X639" s="21">
        <f ca="1">W639/W$654</f>
        <v>0.12325034207852428</v>
      </c>
      <c r="Y639" s="22">
        <f ca="1">X639*Y$684</f>
        <v>401442.3041164946</v>
      </c>
      <c r="Z639" s="2">
        <v>205061.31406935508</v>
      </c>
      <c r="AA639" s="21">
        <f ca="1">Z639/Z$654</f>
        <v>0.10424478798680688</v>
      </c>
      <c r="AB639" s="22">
        <f ca="1">AA639*AB$684</f>
        <v>345650.45428233087</v>
      </c>
      <c r="AC639" s="2">
        <v>0</v>
      </c>
      <c r="AD639" s="21">
        <f ca="1">AC639/AC$654</f>
        <v>0</v>
      </c>
      <c r="AE639" s="22">
        <f ca="1">AD639*AE$684</f>
        <v>0</v>
      </c>
      <c r="AF639" s="2">
        <v>255337.4430307959</v>
      </c>
      <c r="AG639" s="21">
        <f ca="1">AF639/AF$654</f>
        <v>9.3005636027003111E-2</v>
      </c>
      <c r="AH639" s="22">
        <f ca="1">AG639*AH$684</f>
        <v>319899.83170583204</v>
      </c>
      <c r="AI639" s="2">
        <v>167838.631067229</v>
      </c>
      <c r="AJ639" s="21">
        <f ca="1">AI639/AI$654</f>
        <v>8.0273194320133689E-2</v>
      </c>
      <c r="AK639" s="22">
        <f ca="1">AJ639*AK$684</f>
        <v>281075.54876861774</v>
      </c>
      <c r="AL639" s="2">
        <v>1696228.2981074313</v>
      </c>
    </row>
    <row r="640" spans="1:38" ht="12.75" x14ac:dyDescent="0.2">
      <c r="A640" s="8" t="s">
        <v>187</v>
      </c>
      <c r="B640" s="8" t="s">
        <v>17</v>
      </c>
      <c r="C640" s="8" t="s">
        <v>18</v>
      </c>
      <c r="D640" s="8" t="s">
        <v>187</v>
      </c>
      <c r="E640" s="8" t="s">
        <v>1002</v>
      </c>
      <c r="F640" s="8" t="s">
        <v>24</v>
      </c>
      <c r="G640" s="8" t="s">
        <v>1003</v>
      </c>
      <c r="H640" s="20">
        <v>0</v>
      </c>
      <c r="I640" s="21">
        <f>H640/H$646</f>
        <v>0</v>
      </c>
      <c r="J640" s="22">
        <f>I640*J$676</f>
        <v>0</v>
      </c>
      <c r="K640" s="2">
        <v>0</v>
      </c>
      <c r="L640" s="21">
        <f ca="1">K640/K$646</f>
        <v>0</v>
      </c>
      <c r="M640" s="22">
        <f ca="1">L640*M$676</f>
        <v>0</v>
      </c>
      <c r="N640" s="2">
        <v>0</v>
      </c>
      <c r="O640" s="21">
        <f ca="1">N640/N$646</f>
        <v>0</v>
      </c>
      <c r="P640" s="22">
        <f ca="1">O640*P$676</f>
        <v>0</v>
      </c>
      <c r="Q640" s="2">
        <v>0</v>
      </c>
      <c r="R640" s="21">
        <f ca="1">Q640/Q$646</f>
        <v>0</v>
      </c>
      <c r="S640" s="22">
        <f ca="1">R640*S$676</f>
        <v>0</v>
      </c>
      <c r="T640" s="2">
        <v>0</v>
      </c>
      <c r="U640" s="21">
        <f ca="1">T640/T$646</f>
        <v>0</v>
      </c>
      <c r="V640" s="22">
        <f ca="1">U640*V$676</f>
        <v>0</v>
      </c>
      <c r="W640" s="2">
        <v>0</v>
      </c>
      <c r="X640" s="21">
        <f ca="1">W640/W$646</f>
        <v>0</v>
      </c>
      <c r="Y640" s="22">
        <f ca="1">X640*Y$676</f>
        <v>0</v>
      </c>
      <c r="Z640" s="2">
        <v>0</v>
      </c>
      <c r="AA640" s="21">
        <f ca="1">Z640/Z$646</f>
        <v>0</v>
      </c>
      <c r="AB640" s="22">
        <f ca="1">AA640*AB$676</f>
        <v>0</v>
      </c>
      <c r="AC640" s="2">
        <v>0</v>
      </c>
      <c r="AD640" s="21">
        <f ca="1">AC640/AC$646</f>
        <v>0</v>
      </c>
      <c r="AE640" s="22">
        <f ca="1">AD640*AE$676</f>
        <v>0</v>
      </c>
      <c r="AF640" s="2">
        <v>0</v>
      </c>
      <c r="AG640" s="21">
        <f ca="1">AF640/AF$646</f>
        <v>0</v>
      </c>
      <c r="AH640" s="22">
        <f ca="1">AG640*AH$676</f>
        <v>0</v>
      </c>
      <c r="AI640" s="2">
        <v>0</v>
      </c>
      <c r="AJ640" s="21">
        <f ca="1">AI640/AI$646</f>
        <v>0</v>
      </c>
      <c r="AK640" s="22">
        <f ca="1">AJ640*AK$676</f>
        <v>0</v>
      </c>
      <c r="AL640" s="2">
        <v>0</v>
      </c>
    </row>
    <row r="641" spans="4:37" ht="12.75" x14ac:dyDescent="0.2">
      <c r="H641" s="24"/>
    </row>
    <row r="642" spans="4:37" ht="12.75" x14ac:dyDescent="0.2">
      <c r="F642" s="9" t="s">
        <v>1004</v>
      </c>
      <c r="H642" s="24">
        <f>SUM(H4:H640)</f>
        <v>573098545.91801059</v>
      </c>
      <c r="J642" s="24">
        <f t="shared" ref="J642:K642" si="1300">SUM(J4:J640)</f>
        <v>471159953.99999976</v>
      </c>
      <c r="K642" s="24">
        <f t="shared" si="1300"/>
        <v>600878443.13892162</v>
      </c>
      <c r="M642" s="24">
        <f t="shared" ref="M642:N642" ca="1" si="1301">SUM(M4:M640)</f>
        <v>469338588.00000024</v>
      </c>
      <c r="N642" s="24">
        <f t="shared" si="1301"/>
        <v>665315977.53835988</v>
      </c>
      <c r="P642" s="24">
        <f t="shared" ref="P642:Q642" ca="1" si="1302">SUM(P4:P640)</f>
        <v>648541391.28999901</v>
      </c>
      <c r="Q642" s="24">
        <f t="shared" si="1302"/>
        <v>792452580.49652171</v>
      </c>
      <c r="S642" s="24">
        <f t="shared" ref="S642:T642" ca="1" si="1303">SUM(S4:S640)</f>
        <v>663457843.27999961</v>
      </c>
      <c r="T642" s="24">
        <f t="shared" si="1303"/>
        <v>625414552.56382203</v>
      </c>
      <c r="V642" s="24">
        <f t="shared" ref="V642:W642" ca="1" si="1304">SUM(V4:V640)</f>
        <v>677390457.99000001</v>
      </c>
      <c r="W642" s="24">
        <f t="shared" si="1304"/>
        <v>659858400.01742208</v>
      </c>
      <c r="Y642" s="24">
        <f t="shared" ref="Y642:Z642" ca="1" si="1305">SUM(Y4:Y640)</f>
        <v>690938267.15000057</v>
      </c>
      <c r="Z642" s="24">
        <f t="shared" si="1305"/>
        <v>747654411.69433033</v>
      </c>
      <c r="AB642" s="24">
        <f t="shared" ref="AB642:AC642" ca="1" si="1306">SUM(AB4:AB640)</f>
        <v>703375155.96000004</v>
      </c>
      <c r="AC642" s="24">
        <f t="shared" si="1306"/>
        <v>714241651.16724229</v>
      </c>
      <c r="AE642" s="24">
        <f t="shared" ref="AE642:AF642" ca="1" si="1307">SUM(AE4:AE640)</f>
        <v>716739283.94000018</v>
      </c>
      <c r="AF642" s="24">
        <f t="shared" si="1307"/>
        <v>841946761.41925681</v>
      </c>
      <c r="AH642" s="24">
        <f t="shared" ref="AH642:AI642" ca="1" si="1308">SUM(AH4:AH640)</f>
        <v>729640591.05999994</v>
      </c>
      <c r="AI642" s="24">
        <f t="shared" si="1308"/>
        <v>1061639448.7250412</v>
      </c>
      <c r="AK642" s="24">
        <f ca="1">SUM(AK4:AK640)</f>
        <v>742774121.66999996</v>
      </c>
    </row>
    <row r="643" spans="4:37" ht="12.75" x14ac:dyDescent="0.2">
      <c r="H643" s="24"/>
    </row>
    <row r="644" spans="4:37" ht="15" customHeight="1" x14ac:dyDescent="0.25">
      <c r="D644" s="25" t="s">
        <v>49</v>
      </c>
      <c r="F644" s="26" t="s">
        <v>49</v>
      </c>
      <c r="H644" s="24">
        <f>SUMIF($F$4:$F$640,$F644,H$4:H$640)</f>
        <v>19675528.146289159</v>
      </c>
      <c r="K644" s="24">
        <f>SUMIF($F$4:$F$640,$F644,K$4:K$640)</f>
        <v>13909782.677672582</v>
      </c>
      <c r="N644" s="24">
        <f>SUMIF($F$4:$F$640,$F644,N$4:N$640)</f>
        <v>23064161.739587154</v>
      </c>
      <c r="Q644" s="24">
        <f>SUMIF($F$4:$F$640,$F644,Q$4:Q$640)</f>
        <v>16160068.394034948</v>
      </c>
      <c r="T644" s="24">
        <f>SUMIF($F$4:$F$640,$F644,T$4:T$640)</f>
        <v>23886877.159610137</v>
      </c>
      <c r="W644" s="24">
        <f>SUMIF($F$4:$F$640,$F644,W$4:W$640)</f>
        <v>15912037.557621665</v>
      </c>
      <c r="Z644" s="24">
        <f>SUMIF($F$4:$F$640,$F644,Z$4:Z$640)</f>
        <v>24611754.415825054</v>
      </c>
      <c r="AC644" s="24">
        <f>SUMIF($F$4:$F$640,$F644,AC$4:AC$640)</f>
        <v>15760296.665221222</v>
      </c>
      <c r="AF644" s="24">
        <f>SUMIF($F$4:$F$640,$F644,AF$4:AF$640)</f>
        <v>32277047.441548135</v>
      </c>
      <c r="AI644" s="24">
        <f>SUMIF($F$4:$F$640,$F644,AI$4:AI$640)</f>
        <v>36142257.441704936</v>
      </c>
    </row>
    <row r="645" spans="4:37" ht="15" customHeight="1" x14ac:dyDescent="0.25">
      <c r="D645" s="25" t="s">
        <v>21</v>
      </c>
      <c r="F645" s="27" t="s">
        <v>21</v>
      </c>
      <c r="H645" s="24">
        <f t="shared" ref="H645:H669" si="1309">SUMIF($F$4:F$640,$F645,H$4:H$640)</f>
        <v>15109171.363806227</v>
      </c>
      <c r="K645" s="24">
        <f t="shared" ref="K645:K669" ca="1" si="1310">SUMIF($F$4:I$640,$F645,K$4:K$640)</f>
        <v>15298934.843493272</v>
      </c>
      <c r="N645" s="24">
        <f t="shared" ref="N645:N669" ca="1" si="1311">SUMIF($F$4:L$640,$F645,N$4:N$640)</f>
        <v>21724317.155518636</v>
      </c>
      <c r="Q645" s="24">
        <f t="shared" ref="Q645:Q669" ca="1" si="1312">SUMIF($F$4:O$640,$F645,Q$4:Q$640)</f>
        <v>25247212.299152303</v>
      </c>
      <c r="T645" s="24">
        <f t="shared" ref="T645:T669" ca="1" si="1313">SUMIF($F$4:R$640,$F645,T$4:T$640)</f>
        <v>20641154.678029273</v>
      </c>
      <c r="W645" s="24">
        <f t="shared" ref="W645:W669" ca="1" si="1314">SUMIF($F$4:U$640,$F645,W$4:W$640)</f>
        <v>20670371.601724736</v>
      </c>
      <c r="Z645" s="24">
        <f t="shared" ref="Z645:Z669" ca="1" si="1315">SUMIF($F$4:X$640,$F645,Z$4:Z$640)</f>
        <v>20573213.697771545</v>
      </c>
      <c r="AC645" s="24">
        <f t="shared" ref="AC645:AC669" ca="1" si="1316">SUMIF($F$4:AA$640,$F645,AC$4:AC$640)</f>
        <v>23748347.013246577</v>
      </c>
      <c r="AF645" s="24">
        <f t="shared" ref="AF645:AF669" ca="1" si="1317">SUMIF($F$4:AD$640,$F645,AF$4:AF$640)</f>
        <v>21812571.302452624</v>
      </c>
      <c r="AI645" s="24">
        <f t="shared" ref="AI645:AI669" ca="1" si="1318">SUMIF($F$4:AG$640,$F645,AI$4:AI$640)</f>
        <v>25496258.981803708</v>
      </c>
    </row>
    <row r="646" spans="4:37" ht="15" customHeight="1" x14ac:dyDescent="0.25">
      <c r="D646" s="25" t="s">
        <v>24</v>
      </c>
      <c r="F646" s="26" t="s">
        <v>24</v>
      </c>
      <c r="H646" s="24">
        <f t="shared" si="1309"/>
        <v>82109099.232024238</v>
      </c>
      <c r="K646" s="24">
        <f t="shared" ca="1" si="1310"/>
        <v>63156276.866871648</v>
      </c>
      <c r="N646" s="24">
        <f t="shared" ca="1" si="1311"/>
        <v>93739809.345123589</v>
      </c>
      <c r="Q646" s="24">
        <f t="shared" ca="1" si="1312"/>
        <v>111222550.63442303</v>
      </c>
      <c r="T646" s="24">
        <f t="shared" ca="1" si="1313"/>
        <v>83897095.914910153</v>
      </c>
      <c r="W646" s="24">
        <f t="shared" ca="1" si="1314"/>
        <v>87406852.475620553</v>
      </c>
      <c r="Z646" s="24">
        <f t="shared" ca="1" si="1315"/>
        <v>116065700.58836272</v>
      </c>
      <c r="AC646" s="24">
        <f t="shared" ca="1" si="1316"/>
        <v>104045806.99449772</v>
      </c>
      <c r="AF646" s="24">
        <f t="shared" ca="1" si="1317"/>
        <v>94133729.872426257</v>
      </c>
      <c r="AI646" s="24">
        <f t="shared" ca="1" si="1318"/>
        <v>123548831.70754527</v>
      </c>
    </row>
    <row r="647" spans="4:37" ht="15" customHeight="1" x14ac:dyDescent="0.25">
      <c r="D647" s="25" t="s">
        <v>30</v>
      </c>
      <c r="F647" s="28" t="s">
        <v>222</v>
      </c>
      <c r="H647" s="24">
        <f t="shared" si="1309"/>
        <v>0</v>
      </c>
      <c r="K647" s="24">
        <f t="shared" ca="1" si="1310"/>
        <v>0</v>
      </c>
      <c r="N647" s="24">
        <f t="shared" ca="1" si="1311"/>
        <v>0</v>
      </c>
      <c r="Q647" s="24">
        <f t="shared" ca="1" si="1312"/>
        <v>0</v>
      </c>
      <c r="T647" s="24">
        <f t="shared" ca="1" si="1313"/>
        <v>0</v>
      </c>
      <c r="W647" s="24">
        <f t="shared" ca="1" si="1314"/>
        <v>0</v>
      </c>
      <c r="Z647" s="24">
        <f t="shared" ca="1" si="1315"/>
        <v>0</v>
      </c>
      <c r="AC647" s="24">
        <f t="shared" ca="1" si="1316"/>
        <v>0</v>
      </c>
      <c r="AF647" s="24">
        <f t="shared" ca="1" si="1317"/>
        <v>0</v>
      </c>
      <c r="AI647" s="24">
        <f t="shared" ca="1" si="1318"/>
        <v>0</v>
      </c>
    </row>
    <row r="648" spans="4:37" ht="15" customHeight="1" x14ac:dyDescent="0.25">
      <c r="D648" s="29" t="s">
        <v>1005</v>
      </c>
      <c r="F648" s="26" t="s">
        <v>30</v>
      </c>
      <c r="H648" s="24">
        <f t="shared" si="1309"/>
        <v>66124413.070123851</v>
      </c>
      <c r="K648" s="24">
        <f t="shared" ca="1" si="1310"/>
        <v>60648451.445917934</v>
      </c>
      <c r="N648" s="24">
        <f t="shared" ca="1" si="1311"/>
        <v>11877637.084047429</v>
      </c>
      <c r="Q648" s="24">
        <f t="shared" ca="1" si="1312"/>
        <v>15996202.227847163</v>
      </c>
      <c r="T648" s="24">
        <f t="shared" ca="1" si="1313"/>
        <v>11333113.957467092</v>
      </c>
      <c r="W648" s="24">
        <f t="shared" ca="1" si="1314"/>
        <v>33749954.947678447</v>
      </c>
      <c r="Z648" s="24">
        <f t="shared" ca="1" si="1315"/>
        <v>14840090.897464855</v>
      </c>
      <c r="AC648" s="24">
        <f t="shared" ca="1" si="1316"/>
        <v>13087262.28237766</v>
      </c>
      <c r="AF648" s="24">
        <f t="shared" ca="1" si="1317"/>
        <v>13993345.876263827</v>
      </c>
      <c r="AI648" s="24">
        <f t="shared" ca="1" si="1318"/>
        <v>18916686.344685182</v>
      </c>
    </row>
    <row r="649" spans="4:37" ht="15" customHeight="1" x14ac:dyDescent="0.25">
      <c r="D649" s="25" t="s">
        <v>22</v>
      </c>
      <c r="F649" s="28" t="s">
        <v>37</v>
      </c>
      <c r="H649" s="24">
        <f t="shared" si="1309"/>
        <v>70851376.351691186</v>
      </c>
      <c r="K649" s="24">
        <f t="shared" ca="1" si="1310"/>
        <v>83877426.433882356</v>
      </c>
      <c r="N649" s="24">
        <f t="shared" ca="1" si="1311"/>
        <v>89258943.628015861</v>
      </c>
      <c r="Q649" s="24">
        <f t="shared" ca="1" si="1312"/>
        <v>78773085.001831263</v>
      </c>
      <c r="T649" s="24">
        <f t="shared" ca="1" si="1313"/>
        <v>77713921.776012793</v>
      </c>
      <c r="W649" s="24">
        <f t="shared" ca="1" si="1314"/>
        <v>88934234.995948732</v>
      </c>
      <c r="Z649" s="24">
        <f t="shared" ca="1" si="1315"/>
        <v>96584525.42414856</v>
      </c>
      <c r="AC649" s="24">
        <f t="shared" ca="1" si="1316"/>
        <v>97819874.847661689</v>
      </c>
      <c r="AF649" s="24">
        <f t="shared" ca="1" si="1317"/>
        <v>101364250.36982997</v>
      </c>
      <c r="AI649" s="24">
        <f t="shared" ca="1" si="1318"/>
        <v>191554425.21898356</v>
      </c>
    </row>
    <row r="650" spans="4:37" ht="15" customHeight="1" x14ac:dyDescent="0.25">
      <c r="D650" s="25" t="s">
        <v>25</v>
      </c>
      <c r="F650" s="28" t="s">
        <v>22</v>
      </c>
      <c r="H650" s="24">
        <f t="shared" si="1309"/>
        <v>49990430.260146402</v>
      </c>
      <c r="K650" s="24">
        <f t="shared" ca="1" si="1310"/>
        <v>42479837.467254765</v>
      </c>
      <c r="N650" s="24">
        <f t="shared" ca="1" si="1311"/>
        <v>79235842.302772582</v>
      </c>
      <c r="Q650" s="24">
        <f t="shared" ca="1" si="1312"/>
        <v>62964021.11340525</v>
      </c>
      <c r="T650" s="24">
        <f t="shared" ca="1" si="1313"/>
        <v>28490056.728389274</v>
      </c>
      <c r="W650" s="24">
        <f t="shared" ca="1" si="1314"/>
        <v>39812266.588118158</v>
      </c>
      <c r="Z650" s="24">
        <f t="shared" ca="1" si="1315"/>
        <v>32676903.517849125</v>
      </c>
      <c r="AC650" s="24">
        <f t="shared" ca="1" si="1316"/>
        <v>31912333.342329253</v>
      </c>
      <c r="AF650" s="24">
        <f t="shared" ca="1" si="1317"/>
        <v>35256653.218102008</v>
      </c>
      <c r="AI650" s="24">
        <f t="shared" ca="1" si="1318"/>
        <v>47398571.051745325</v>
      </c>
    </row>
    <row r="651" spans="4:37" ht="15" customHeight="1" x14ac:dyDescent="0.25">
      <c r="D651" s="25" t="s">
        <v>34</v>
      </c>
      <c r="F651" s="28" t="s">
        <v>221</v>
      </c>
      <c r="H651" s="24">
        <f t="shared" si="1309"/>
        <v>0</v>
      </c>
      <c r="K651" s="24">
        <f t="shared" ca="1" si="1310"/>
        <v>0</v>
      </c>
      <c r="N651" s="24">
        <f t="shared" ca="1" si="1311"/>
        <v>0</v>
      </c>
      <c r="Q651" s="24">
        <f t="shared" ca="1" si="1312"/>
        <v>0</v>
      </c>
      <c r="T651" s="24">
        <f t="shared" ca="1" si="1313"/>
        <v>0</v>
      </c>
      <c r="W651" s="24">
        <f t="shared" ca="1" si="1314"/>
        <v>0</v>
      </c>
      <c r="Z651" s="24">
        <f t="shared" ca="1" si="1315"/>
        <v>0</v>
      </c>
      <c r="AC651" s="24">
        <f t="shared" ca="1" si="1316"/>
        <v>0</v>
      </c>
      <c r="AF651" s="24">
        <f t="shared" ca="1" si="1317"/>
        <v>0</v>
      </c>
      <c r="AI651" s="24">
        <f t="shared" ca="1" si="1318"/>
        <v>0</v>
      </c>
    </row>
    <row r="652" spans="4:37" ht="15" customHeight="1" x14ac:dyDescent="0.25">
      <c r="D652" s="25" t="s">
        <v>55</v>
      </c>
      <c r="F652" s="26" t="s">
        <v>25</v>
      </c>
      <c r="H652" s="24">
        <f t="shared" si="1309"/>
        <v>13950195.753562341</v>
      </c>
      <c r="K652" s="24">
        <f t="shared" ca="1" si="1310"/>
        <v>22465143.861654226</v>
      </c>
      <c r="N652" s="24">
        <f t="shared" ca="1" si="1311"/>
        <v>49904592.409144267</v>
      </c>
      <c r="Q652" s="24">
        <f t="shared" ca="1" si="1312"/>
        <v>49634532.166854985</v>
      </c>
      <c r="T652" s="24">
        <f t="shared" ca="1" si="1313"/>
        <v>43874728.203681514</v>
      </c>
      <c r="W652" s="24">
        <f t="shared" ca="1" si="1314"/>
        <v>46067689.738724858</v>
      </c>
      <c r="Z652" s="24">
        <f t="shared" ca="1" si="1315"/>
        <v>46203063.450735241</v>
      </c>
      <c r="AC652" s="24">
        <f t="shared" ca="1" si="1316"/>
        <v>62293379.155487336</v>
      </c>
      <c r="AF652" s="24">
        <f t="shared" ca="1" si="1317"/>
        <v>66931536.845112391</v>
      </c>
      <c r="AI652" s="24">
        <f t="shared" ca="1" si="1318"/>
        <v>74906001.255768374</v>
      </c>
    </row>
    <row r="653" spans="4:37" ht="15" customHeight="1" x14ac:dyDescent="0.25">
      <c r="D653" s="25" t="s">
        <v>26</v>
      </c>
      <c r="F653" s="26" t="s">
        <v>34</v>
      </c>
      <c r="H653" s="24">
        <f t="shared" si="1309"/>
        <v>2237421.9953995547</v>
      </c>
      <c r="K653" s="24">
        <f t="shared" ca="1" si="1310"/>
        <v>3334949.6787955044</v>
      </c>
      <c r="N653" s="24">
        <f t="shared" ca="1" si="1311"/>
        <v>11168165.186243411</v>
      </c>
      <c r="Q653" s="24">
        <f t="shared" ca="1" si="1312"/>
        <v>13082145.215165857</v>
      </c>
      <c r="T653" s="24">
        <f t="shared" ca="1" si="1313"/>
        <v>13187027.936080804</v>
      </c>
      <c r="W653" s="24">
        <f t="shared" ca="1" si="1314"/>
        <v>11121839.796500459</v>
      </c>
      <c r="Z653" s="24">
        <f t="shared" ca="1" si="1315"/>
        <v>11174933.901111174</v>
      </c>
      <c r="AC653" s="24">
        <f t="shared" ca="1" si="1316"/>
        <v>12981077.947233902</v>
      </c>
      <c r="AF653" s="24">
        <f t="shared" ca="1" si="1317"/>
        <v>11956992.412320936</v>
      </c>
      <c r="AI653" s="24">
        <f t="shared" ca="1" si="1318"/>
        <v>13594095.427452881</v>
      </c>
    </row>
    <row r="654" spans="4:37" ht="15" customHeight="1" x14ac:dyDescent="0.25">
      <c r="D654" s="25" t="s">
        <v>38</v>
      </c>
      <c r="F654" s="26" t="s">
        <v>55</v>
      </c>
      <c r="H654" s="24">
        <f t="shared" si="1309"/>
        <v>2206210.1467626663</v>
      </c>
      <c r="K654" s="24">
        <f t="shared" ca="1" si="1310"/>
        <v>3619292.4088018863</v>
      </c>
      <c r="N654" s="24">
        <f t="shared" ca="1" si="1311"/>
        <v>2732781.6942439703</v>
      </c>
      <c r="Q654" s="24">
        <f t="shared" ca="1" si="1312"/>
        <v>3069302.5773097025</v>
      </c>
      <c r="T654" s="24">
        <f t="shared" ca="1" si="1313"/>
        <v>5589219.4794919677</v>
      </c>
      <c r="W654" s="24">
        <f t="shared" ca="1" si="1314"/>
        <v>2304384.423745703</v>
      </c>
      <c r="Z654" s="24">
        <f t="shared" ca="1" si="1315"/>
        <v>1967113.3495451824</v>
      </c>
      <c r="AC654" s="24">
        <f t="shared" ca="1" si="1316"/>
        <v>2565340.9577769246</v>
      </c>
      <c r="AF654" s="24">
        <f t="shared" ca="1" si="1317"/>
        <v>2745397.5257656602</v>
      </c>
      <c r="AI654" s="24">
        <f t="shared" ca="1" si="1318"/>
        <v>2090842.8085953547</v>
      </c>
    </row>
    <row r="655" spans="4:37" ht="15" customHeight="1" x14ac:dyDescent="0.25">
      <c r="D655" s="25" t="s">
        <v>27</v>
      </c>
      <c r="F655" s="26" t="s">
        <v>26</v>
      </c>
      <c r="H655" s="24">
        <f t="shared" si="1309"/>
        <v>39662172.841355741</v>
      </c>
      <c r="K655" s="24">
        <f t="shared" ca="1" si="1310"/>
        <v>39701075.675917804</v>
      </c>
      <c r="N655" s="24">
        <f t="shared" ca="1" si="1311"/>
        <v>115671405.87637533</v>
      </c>
      <c r="Q655" s="24">
        <f t="shared" ca="1" si="1312"/>
        <v>139217426.72033411</v>
      </c>
      <c r="T655" s="24">
        <f t="shared" ca="1" si="1313"/>
        <v>99340000.04227905</v>
      </c>
      <c r="W655" s="24">
        <f t="shared" ca="1" si="1314"/>
        <v>107204727.08681826</v>
      </c>
      <c r="Z655" s="24">
        <f t="shared" ca="1" si="1315"/>
        <v>115350587.77542871</v>
      </c>
      <c r="AC655" s="24">
        <f t="shared" ca="1" si="1316"/>
        <v>112660086.09571192</v>
      </c>
      <c r="AF655" s="24">
        <f t="shared" ca="1" si="1317"/>
        <v>120450502.44514786</v>
      </c>
      <c r="AI655" s="24">
        <f t="shared" ca="1" si="1318"/>
        <v>185162203.8556124</v>
      </c>
    </row>
    <row r="656" spans="4:37" ht="15" customHeight="1" x14ac:dyDescent="0.25">
      <c r="D656" s="25" t="s">
        <v>47</v>
      </c>
      <c r="F656" s="26" t="s">
        <v>38</v>
      </c>
      <c r="H656" s="24">
        <f t="shared" si="1309"/>
        <v>21405265.082850419</v>
      </c>
      <c r="K656" s="24">
        <f t="shared" ca="1" si="1310"/>
        <v>13567257.78165707</v>
      </c>
      <c r="N656" s="24">
        <f t="shared" ca="1" si="1311"/>
        <v>14864823.580130912</v>
      </c>
      <c r="Q656" s="24">
        <f t="shared" ca="1" si="1312"/>
        <v>14123706.424822185</v>
      </c>
      <c r="T656" s="24">
        <f t="shared" ca="1" si="1313"/>
        <v>9419331.1476478912</v>
      </c>
      <c r="W656" s="24">
        <f t="shared" ca="1" si="1314"/>
        <v>16991962.688200202</v>
      </c>
      <c r="Z656" s="24">
        <f t="shared" ca="1" si="1315"/>
        <v>40621530.605609447</v>
      </c>
      <c r="AC656" s="24">
        <f t="shared" ca="1" si="1316"/>
        <v>10920613.304820139</v>
      </c>
      <c r="AF656" s="24">
        <f t="shared" ca="1" si="1317"/>
        <v>20124319.846827265</v>
      </c>
      <c r="AI656" s="24">
        <f t="shared" ca="1" si="1318"/>
        <v>39891034.31688723</v>
      </c>
    </row>
    <row r="657" spans="4:35" ht="15" customHeight="1" x14ac:dyDescent="0.25">
      <c r="D657" s="25" t="s">
        <v>43</v>
      </c>
      <c r="F657" s="26" t="s">
        <v>27</v>
      </c>
      <c r="H657" s="24">
        <f t="shared" si="1309"/>
        <v>51003244.494840875</v>
      </c>
      <c r="K657" s="24">
        <f t="shared" ca="1" si="1310"/>
        <v>39058330.636065811</v>
      </c>
      <c r="N657" s="24">
        <f t="shared" ca="1" si="1311"/>
        <v>55309351.604611523</v>
      </c>
      <c r="Q657" s="24">
        <f t="shared" ca="1" si="1312"/>
        <v>55231620.408235751</v>
      </c>
      <c r="T657" s="24">
        <f t="shared" ca="1" si="1313"/>
        <v>38685566.391173027</v>
      </c>
      <c r="W657" s="24">
        <f t="shared" ca="1" si="1314"/>
        <v>39186248.405815408</v>
      </c>
      <c r="Z657" s="24">
        <f t="shared" ca="1" si="1315"/>
        <v>48504762.305158138</v>
      </c>
      <c r="AC657" s="24">
        <f t="shared" ca="1" si="1316"/>
        <v>54927136.215027541</v>
      </c>
      <c r="AF657" s="24">
        <f t="shared" ca="1" si="1317"/>
        <v>49977493.71666462</v>
      </c>
      <c r="AI657" s="24">
        <f t="shared" ca="1" si="1318"/>
        <v>55493338.902987577</v>
      </c>
    </row>
    <row r="658" spans="4:35" ht="15" customHeight="1" x14ac:dyDescent="0.25">
      <c r="D658" s="25" t="s">
        <v>145</v>
      </c>
      <c r="F658" s="26" t="s">
        <v>47</v>
      </c>
      <c r="H658" s="24">
        <f t="shared" si="1309"/>
        <v>46942395.135779068</v>
      </c>
      <c r="K658" s="24">
        <f t="shared" ca="1" si="1310"/>
        <v>47159252.786135681</v>
      </c>
      <c r="N658" s="24">
        <f t="shared" ca="1" si="1311"/>
        <v>27066475.730509304</v>
      </c>
      <c r="Q658" s="24">
        <f t="shared" ca="1" si="1312"/>
        <v>31228398.153170116</v>
      </c>
      <c r="T658" s="24">
        <f t="shared" ca="1" si="1313"/>
        <v>28087381.259131528</v>
      </c>
      <c r="W658" s="24">
        <f t="shared" ca="1" si="1314"/>
        <v>25942705.524904467</v>
      </c>
      <c r="Z658" s="24">
        <f t="shared" ca="1" si="1315"/>
        <v>25141056.845710367</v>
      </c>
      <c r="AC658" s="24">
        <f t="shared" ca="1" si="1316"/>
        <v>36539344.798317634</v>
      </c>
      <c r="AF658" s="24">
        <f t="shared" ca="1" si="1317"/>
        <v>48715108.038295992</v>
      </c>
      <c r="AI658" s="24">
        <f t="shared" ca="1" si="1318"/>
        <v>64251228.309357047</v>
      </c>
    </row>
    <row r="659" spans="4:35" ht="15" customHeight="1" x14ac:dyDescent="0.25">
      <c r="D659" s="25" t="s">
        <v>139</v>
      </c>
      <c r="F659" s="26" t="s">
        <v>1006</v>
      </c>
      <c r="H659" s="24">
        <f t="shared" si="1309"/>
        <v>29215161.354208253</v>
      </c>
      <c r="K659" s="24">
        <f t="shared" ca="1" si="1310"/>
        <v>67088380.895347789</v>
      </c>
      <c r="N659" s="24">
        <f t="shared" ca="1" si="1311"/>
        <v>33744737.165584967</v>
      </c>
      <c r="Q659" s="24">
        <f t="shared" ca="1" si="1312"/>
        <v>61213080.869003028</v>
      </c>
      <c r="T659" s="24">
        <f t="shared" ca="1" si="1313"/>
        <v>57092028.808415748</v>
      </c>
      <c r="W659" s="24">
        <f t="shared" ca="1" si="1314"/>
        <v>37787802.402638756</v>
      </c>
      <c r="Z659" s="24">
        <f t="shared" ca="1" si="1315"/>
        <v>59145195.986432232</v>
      </c>
      <c r="AC659" s="24">
        <f t="shared" ca="1" si="1316"/>
        <v>18576561.645682134</v>
      </c>
      <c r="AF659" s="24">
        <f t="shared" ca="1" si="1317"/>
        <v>107190899.72560364</v>
      </c>
      <c r="AI659" s="24">
        <f t="shared" ca="1" si="1318"/>
        <v>63465794.577638254</v>
      </c>
    </row>
    <row r="660" spans="4:35" ht="15" customHeight="1" x14ac:dyDescent="0.25">
      <c r="D660" s="25" t="s">
        <v>48</v>
      </c>
      <c r="F660" s="28" t="s">
        <v>1007</v>
      </c>
      <c r="H660" s="24">
        <f t="shared" si="1309"/>
        <v>0</v>
      </c>
      <c r="K660" s="24">
        <f t="shared" ca="1" si="1310"/>
        <v>0</v>
      </c>
      <c r="N660" s="24">
        <f t="shared" ca="1" si="1311"/>
        <v>0</v>
      </c>
      <c r="Q660" s="24">
        <f t="shared" ca="1" si="1312"/>
        <v>0</v>
      </c>
      <c r="T660" s="24">
        <f t="shared" ca="1" si="1313"/>
        <v>0</v>
      </c>
      <c r="W660" s="24">
        <f t="shared" ca="1" si="1314"/>
        <v>0</v>
      </c>
      <c r="Z660" s="24">
        <f t="shared" ca="1" si="1315"/>
        <v>0</v>
      </c>
      <c r="AC660" s="24">
        <f t="shared" ca="1" si="1316"/>
        <v>0</v>
      </c>
      <c r="AF660" s="24">
        <f t="shared" ca="1" si="1317"/>
        <v>0</v>
      </c>
      <c r="AI660" s="24">
        <f t="shared" ca="1" si="1318"/>
        <v>0</v>
      </c>
    </row>
    <row r="661" spans="4:35" ht="15" customHeight="1" x14ac:dyDescent="0.25">
      <c r="D661" s="25" t="s">
        <v>146</v>
      </c>
      <c r="F661" s="26" t="s">
        <v>145</v>
      </c>
      <c r="H661" s="24">
        <f t="shared" si="1309"/>
        <v>3191018.1818198157</v>
      </c>
      <c r="K661" s="24">
        <f t="shared" ca="1" si="1310"/>
        <v>29049825.090032265</v>
      </c>
      <c r="N661" s="24">
        <f t="shared" ca="1" si="1311"/>
        <v>-44974446.393000327</v>
      </c>
      <c r="Q661" s="24">
        <f t="shared" ca="1" si="1312"/>
        <v>16647428.035171757</v>
      </c>
      <c r="T661" s="24">
        <f t="shared" ca="1" si="1313"/>
        <v>668422.09169075254</v>
      </c>
      <c r="W661" s="24">
        <f t="shared" ca="1" si="1314"/>
        <v>2207263.3433088576</v>
      </c>
      <c r="Z661" s="24">
        <f t="shared" ca="1" si="1315"/>
        <v>1183833.7224537309</v>
      </c>
      <c r="AC661" s="24">
        <f t="shared" ca="1" si="1316"/>
        <v>-179546.81591040496</v>
      </c>
      <c r="AF661" s="24">
        <f t="shared" ca="1" si="1317"/>
        <v>-177877.16803358318</v>
      </c>
      <c r="AI661" s="24">
        <f t="shared" ca="1" si="1318"/>
        <v>1080279.7926670949</v>
      </c>
    </row>
    <row r="662" spans="4:35" ht="15" customHeight="1" x14ac:dyDescent="0.25">
      <c r="D662" s="25" t="s">
        <v>28</v>
      </c>
      <c r="F662" s="26" t="s">
        <v>139</v>
      </c>
      <c r="H662" s="24">
        <f t="shared" si="1309"/>
        <v>6261522.9901350271</v>
      </c>
      <c r="K662" s="24">
        <f t="shared" ca="1" si="1310"/>
        <v>5824295.4492332079</v>
      </c>
      <c r="N662" s="24">
        <f t="shared" ca="1" si="1311"/>
        <v>5406969.6406274419</v>
      </c>
      <c r="Q662" s="24">
        <f t="shared" ca="1" si="1312"/>
        <v>5589488.2618093258</v>
      </c>
      <c r="T662" s="24">
        <f t="shared" ca="1" si="1313"/>
        <v>3907072.8295136327</v>
      </c>
      <c r="W662" s="24">
        <f t="shared" ca="1" si="1314"/>
        <v>3996344.7716765539</v>
      </c>
      <c r="Z662" s="24">
        <f t="shared" ca="1" si="1315"/>
        <v>4259621.351687761</v>
      </c>
      <c r="AC662" s="24">
        <f t="shared" ca="1" si="1316"/>
        <v>3887748.305697999</v>
      </c>
      <c r="AF662" s="24">
        <f t="shared" ca="1" si="1317"/>
        <v>3595114.4607474683</v>
      </c>
      <c r="AI662" s="24">
        <f t="shared" ca="1" si="1318"/>
        <v>5213272.6291801576</v>
      </c>
    </row>
    <row r="663" spans="4:35" ht="15" customHeight="1" x14ac:dyDescent="0.25">
      <c r="F663" s="26" t="s">
        <v>48</v>
      </c>
      <c r="H663" s="24">
        <f t="shared" si="1309"/>
        <v>14444161.921033956</v>
      </c>
      <c r="K663" s="24">
        <f t="shared" ca="1" si="1310"/>
        <v>15138808.06393957</v>
      </c>
      <c r="N663" s="24">
        <f t="shared" ca="1" si="1311"/>
        <v>18322185.118903074</v>
      </c>
      <c r="Q663" s="24">
        <f t="shared" ca="1" si="1312"/>
        <v>21776101.099809293</v>
      </c>
      <c r="T663" s="24">
        <f t="shared" ca="1" si="1313"/>
        <v>21192838.619637176</v>
      </c>
      <c r="W663" s="24">
        <f t="shared" ca="1" si="1314"/>
        <v>22389722.144125052</v>
      </c>
      <c r="Z663" s="24">
        <f t="shared" ca="1" si="1315"/>
        <v>25380792.573971104</v>
      </c>
      <c r="AC663" s="24">
        <f t="shared" ca="1" si="1316"/>
        <v>15128323.520811357</v>
      </c>
      <c r="AF663" s="24">
        <f t="shared" ca="1" si="1317"/>
        <v>26575019.557371482</v>
      </c>
      <c r="AI663" s="24">
        <f t="shared" ca="1" si="1318"/>
        <v>23997241.564349115</v>
      </c>
    </row>
    <row r="664" spans="4:35" ht="15" customHeight="1" x14ac:dyDescent="0.25">
      <c r="F664" s="26" t="s">
        <v>146</v>
      </c>
      <c r="H664" s="24">
        <f t="shared" si="1309"/>
        <v>30223327.7450619</v>
      </c>
      <c r="K664" s="24">
        <f t="shared" ca="1" si="1310"/>
        <v>28246763.285647579</v>
      </c>
      <c r="N664" s="24">
        <f t="shared" ca="1" si="1311"/>
        <v>28993789.937051732</v>
      </c>
      <c r="Q664" s="24">
        <f t="shared" ca="1" si="1312"/>
        <v>33475427.908920065</v>
      </c>
      <c r="T664" s="24">
        <f t="shared" ca="1" si="1313"/>
        <v>29861496.659804095</v>
      </c>
      <c r="W664" s="24">
        <f t="shared" ca="1" si="1314"/>
        <v>30278201.970150337</v>
      </c>
      <c r="Z664" s="24">
        <f t="shared" ca="1" si="1315"/>
        <v>33950474.33126124</v>
      </c>
      <c r="AC664" s="24">
        <f t="shared" ca="1" si="1316"/>
        <v>66030981.945403047</v>
      </c>
      <c r="AF664" s="24">
        <f t="shared" ca="1" si="1317"/>
        <v>44885346.024307765</v>
      </c>
      <c r="AI664" s="24">
        <f t="shared" ca="1" si="1318"/>
        <v>45689097.502901889</v>
      </c>
    </row>
    <row r="665" spans="4:35" ht="15" customHeight="1" x14ac:dyDescent="0.25">
      <c r="F665" s="28" t="s">
        <v>224</v>
      </c>
      <c r="H665" s="24">
        <f t="shared" si="1309"/>
        <v>0</v>
      </c>
      <c r="K665" s="24">
        <f t="shared" ca="1" si="1310"/>
        <v>0</v>
      </c>
      <c r="N665" s="24">
        <f t="shared" ca="1" si="1311"/>
        <v>0</v>
      </c>
      <c r="Q665" s="24">
        <f t="shared" ca="1" si="1312"/>
        <v>0</v>
      </c>
      <c r="T665" s="24">
        <f t="shared" ca="1" si="1313"/>
        <v>0</v>
      </c>
      <c r="W665" s="24">
        <f t="shared" ca="1" si="1314"/>
        <v>0</v>
      </c>
      <c r="Z665" s="24">
        <f t="shared" ca="1" si="1315"/>
        <v>0</v>
      </c>
      <c r="AC665" s="24">
        <f t="shared" ca="1" si="1316"/>
        <v>0</v>
      </c>
      <c r="AF665" s="24">
        <f t="shared" ca="1" si="1317"/>
        <v>0</v>
      </c>
      <c r="AI665" s="24">
        <f t="shared" ca="1" si="1318"/>
        <v>0</v>
      </c>
    </row>
    <row r="666" spans="4:35" ht="15" customHeight="1" x14ac:dyDescent="0.25">
      <c r="F666" s="26" t="s">
        <v>225</v>
      </c>
      <c r="H666" s="24">
        <f t="shared" si="1309"/>
        <v>0</v>
      </c>
      <c r="K666" s="24">
        <f t="shared" ca="1" si="1310"/>
        <v>0</v>
      </c>
      <c r="N666" s="24">
        <f t="shared" ca="1" si="1311"/>
        <v>0</v>
      </c>
      <c r="Q666" s="24">
        <f t="shared" ca="1" si="1312"/>
        <v>0</v>
      </c>
      <c r="T666" s="24">
        <f t="shared" ca="1" si="1313"/>
        <v>0</v>
      </c>
      <c r="W666" s="24">
        <f t="shared" ca="1" si="1314"/>
        <v>0</v>
      </c>
      <c r="Z666" s="24">
        <f t="shared" ca="1" si="1315"/>
        <v>0</v>
      </c>
      <c r="AC666" s="24">
        <f t="shared" ca="1" si="1316"/>
        <v>0</v>
      </c>
      <c r="AF666" s="24">
        <f t="shared" ca="1" si="1317"/>
        <v>0</v>
      </c>
      <c r="AI666" s="24">
        <f t="shared" ca="1" si="1318"/>
        <v>0</v>
      </c>
    </row>
    <row r="667" spans="4:35" ht="15" customHeight="1" x14ac:dyDescent="0.25">
      <c r="F667" s="26" t="s">
        <v>226</v>
      </c>
      <c r="H667" s="24">
        <f t="shared" si="1309"/>
        <v>0</v>
      </c>
      <c r="K667" s="24">
        <f t="shared" ca="1" si="1310"/>
        <v>0</v>
      </c>
      <c r="N667" s="24">
        <f t="shared" ca="1" si="1311"/>
        <v>0</v>
      </c>
      <c r="Q667" s="24">
        <f t="shared" ca="1" si="1312"/>
        <v>0</v>
      </c>
      <c r="T667" s="24">
        <f t="shared" ca="1" si="1313"/>
        <v>0</v>
      </c>
      <c r="W667" s="24">
        <f t="shared" ca="1" si="1314"/>
        <v>0</v>
      </c>
      <c r="Z667" s="24">
        <f t="shared" ca="1" si="1315"/>
        <v>0</v>
      </c>
      <c r="AC667" s="24">
        <f t="shared" ca="1" si="1316"/>
        <v>0</v>
      </c>
      <c r="AF667" s="24">
        <f t="shared" ca="1" si="1317"/>
        <v>0</v>
      </c>
      <c r="AI667" s="24">
        <f t="shared" ca="1" si="1318"/>
        <v>0</v>
      </c>
    </row>
    <row r="668" spans="4:35" ht="15" customHeight="1" x14ac:dyDescent="0.25">
      <c r="F668" s="26" t="s">
        <v>227</v>
      </c>
      <c r="H668" s="24">
        <f t="shared" si="1309"/>
        <v>0</v>
      </c>
      <c r="K668" s="24">
        <f t="shared" ca="1" si="1310"/>
        <v>0</v>
      </c>
      <c r="N668" s="24">
        <f t="shared" ca="1" si="1311"/>
        <v>0</v>
      </c>
      <c r="Q668" s="24">
        <f t="shared" ca="1" si="1312"/>
        <v>0</v>
      </c>
      <c r="T668" s="24">
        <f t="shared" ca="1" si="1313"/>
        <v>0</v>
      </c>
      <c r="W668" s="24">
        <f t="shared" ca="1" si="1314"/>
        <v>0</v>
      </c>
      <c r="Z668" s="24">
        <f t="shared" ca="1" si="1315"/>
        <v>0</v>
      </c>
      <c r="AC668" s="24">
        <f t="shared" ca="1" si="1316"/>
        <v>0</v>
      </c>
      <c r="AF668" s="24">
        <f t="shared" ca="1" si="1317"/>
        <v>0</v>
      </c>
      <c r="AI668" s="24">
        <f t="shared" ca="1" si="1318"/>
        <v>0</v>
      </c>
    </row>
    <row r="669" spans="4:35" ht="15" customHeight="1" x14ac:dyDescent="0.25">
      <c r="F669" s="26" t="s">
        <v>28</v>
      </c>
      <c r="H669" s="24">
        <f t="shared" si="1309"/>
        <v>8496429.8511199597</v>
      </c>
      <c r="K669" s="24">
        <f t="shared" ca="1" si="1310"/>
        <v>7254357.7906008288</v>
      </c>
      <c r="N669" s="24">
        <f t="shared" ca="1" si="1311"/>
        <v>28204434.732869092</v>
      </c>
      <c r="Q669" s="24">
        <f t="shared" ca="1" si="1312"/>
        <v>37800782.985220984</v>
      </c>
      <c r="T669" s="24">
        <f t="shared" ca="1" si="1313"/>
        <v>28547218.880856831</v>
      </c>
      <c r="W669" s="24">
        <f t="shared" ca="1" si="1314"/>
        <v>27893789.554101717</v>
      </c>
      <c r="Z669" s="24">
        <f t="shared" ca="1" si="1315"/>
        <v>29419256.95380437</v>
      </c>
      <c r="AC669" s="24">
        <f t="shared" ca="1" si="1316"/>
        <v>31536682.945848852</v>
      </c>
      <c r="AF669" s="24">
        <f t="shared" ca="1" si="1317"/>
        <v>40139309.90850278</v>
      </c>
      <c r="AI669" s="24">
        <f t="shared" ca="1" si="1318"/>
        <v>43747987.035176121</v>
      </c>
    </row>
    <row r="670" spans="4:35" ht="12.75" x14ac:dyDescent="0.2">
      <c r="H670" s="24"/>
      <c r="K670" s="24"/>
      <c r="N670" s="24"/>
      <c r="Q670" s="24"/>
      <c r="T670" s="24"/>
      <c r="W670" s="24"/>
      <c r="Z670" s="24"/>
      <c r="AC670" s="24"/>
      <c r="AF670" s="24"/>
      <c r="AI670" s="24"/>
    </row>
    <row r="671" spans="4:35" ht="12.75" x14ac:dyDescent="0.2">
      <c r="F671" s="9" t="s">
        <v>1008</v>
      </c>
      <c r="H671" s="24">
        <f>SUM(H644:H670)</f>
        <v>573098545.91801059</v>
      </c>
      <c r="K671" s="24">
        <f ca="1">SUM(K644:K670)</f>
        <v>600878443.13892186</v>
      </c>
      <c r="N671" s="24">
        <f ca="1">SUM(N644:N670)</f>
        <v>665315977.53835988</v>
      </c>
      <c r="Q671" s="24">
        <f ca="1">SUM(Q644:Q670)</f>
        <v>792452580.49652123</v>
      </c>
      <c r="T671" s="24">
        <f ca="1">SUM(T644:T670)</f>
        <v>625414552.56382287</v>
      </c>
      <c r="W671" s="24">
        <f ca="1">SUM(W644:W670)</f>
        <v>659858400.01742291</v>
      </c>
      <c r="Z671" s="24">
        <f ca="1">SUM(Z644:Z670)</f>
        <v>747654411.69433069</v>
      </c>
      <c r="AC671" s="24">
        <f ca="1">SUM(AC644:AC670)</f>
        <v>714241651.16724241</v>
      </c>
      <c r="AF671" s="24">
        <f ca="1">SUM(AF644:AF670)</f>
        <v>841946761.41925704</v>
      </c>
      <c r="AI671" s="24">
        <f ca="1">SUM(AI644:AI670)</f>
        <v>1061639448.7250416</v>
      </c>
    </row>
    <row r="674" spans="1:46" ht="15" customHeight="1" x14ac:dyDescent="0.25">
      <c r="E674" s="9" t="s">
        <v>1009</v>
      </c>
      <c r="F674" s="26" t="s">
        <v>49</v>
      </c>
      <c r="J674" s="10">
        <v>30354893</v>
      </c>
      <c r="M674" s="10">
        <v>21991559.510000002</v>
      </c>
      <c r="P674" s="10">
        <v>22563340.059999999</v>
      </c>
      <c r="S674" s="10">
        <v>23082296.879999999</v>
      </c>
      <c r="V674" s="10">
        <v>23567025.109999999</v>
      </c>
      <c r="Y674" s="10">
        <v>24038365.620000001</v>
      </c>
      <c r="AB674" s="10">
        <v>24471056.199999999</v>
      </c>
      <c r="AE674" s="10">
        <v>24936006.260000002</v>
      </c>
      <c r="AH674" s="10">
        <v>25384854.379999999</v>
      </c>
      <c r="AK674" s="10">
        <v>25841781.760000002</v>
      </c>
    </row>
    <row r="675" spans="1:46" ht="15" customHeight="1" x14ac:dyDescent="0.25">
      <c r="E675" s="9" t="s">
        <v>1009</v>
      </c>
      <c r="F675" s="27" t="s">
        <v>21</v>
      </c>
      <c r="J675" s="10">
        <v>141200</v>
      </c>
      <c r="M675" s="10">
        <v>431460</v>
      </c>
      <c r="P675" s="10">
        <v>442677.96</v>
      </c>
      <c r="S675" s="10">
        <v>452859.55</v>
      </c>
      <c r="V675" s="10">
        <v>462369.6</v>
      </c>
      <c r="Y675" s="10">
        <v>471617</v>
      </c>
      <c r="AB675" s="10">
        <v>480106.1</v>
      </c>
      <c r="AE675" s="10">
        <v>489228.12</v>
      </c>
      <c r="AH675" s="10">
        <v>498034.22</v>
      </c>
      <c r="AK675" s="10">
        <v>506998.84</v>
      </c>
    </row>
    <row r="676" spans="1:46" ht="15" customHeight="1" x14ac:dyDescent="0.25">
      <c r="E676" s="9" t="s">
        <v>1009</v>
      </c>
      <c r="F676" s="26" t="s">
        <v>24</v>
      </c>
      <c r="J676" s="10">
        <v>2151640</v>
      </c>
      <c r="M676" s="10">
        <v>3888013.3</v>
      </c>
      <c r="P676" s="10">
        <v>16989101.649999999</v>
      </c>
      <c r="S676" s="10">
        <v>17379850.98</v>
      </c>
      <c r="V676" s="10">
        <v>17744827.850000001</v>
      </c>
      <c r="Y676" s="10">
        <v>18099724.41</v>
      </c>
      <c r="AB676" s="10">
        <v>18425519.449999999</v>
      </c>
      <c r="AE676" s="10">
        <v>18775604.32</v>
      </c>
      <c r="AH676" s="10">
        <v>19113565.199999999</v>
      </c>
      <c r="AK676" s="10">
        <v>19457609.370000001</v>
      </c>
    </row>
    <row r="677" spans="1:46" ht="15" customHeight="1" x14ac:dyDescent="0.25">
      <c r="A677" s="30"/>
      <c r="B677" s="30"/>
      <c r="C677" s="30"/>
      <c r="D677" s="30"/>
      <c r="E677" s="31" t="s">
        <v>1009</v>
      </c>
      <c r="F677" s="32" t="s">
        <v>222</v>
      </c>
      <c r="G677" s="30"/>
      <c r="H677" s="30"/>
      <c r="I677" s="30"/>
      <c r="J677" s="33">
        <v>156970</v>
      </c>
      <c r="K677" s="30"/>
      <c r="L677" s="30"/>
      <c r="M677" s="33">
        <v>951110.65</v>
      </c>
      <c r="N677" s="30"/>
      <c r="O677" s="30"/>
      <c r="P677" s="33">
        <v>975839.53</v>
      </c>
      <c r="Q677" s="30"/>
      <c r="R677" s="30"/>
      <c r="S677" s="33">
        <v>998283.84</v>
      </c>
      <c r="T677" s="30"/>
      <c r="U677" s="30"/>
      <c r="V677" s="33">
        <v>1019247.8</v>
      </c>
      <c r="W677" s="30"/>
      <c r="X677" s="30"/>
      <c r="Y677" s="33">
        <v>1039632.75</v>
      </c>
      <c r="Z677" s="30"/>
      <c r="AA677" s="30"/>
      <c r="AB677" s="33">
        <v>1058346.1399999999</v>
      </c>
      <c r="AC677" s="30"/>
      <c r="AD677" s="30"/>
      <c r="AE677" s="33">
        <v>1078454.72</v>
      </c>
      <c r="AF677" s="30"/>
      <c r="AG677" s="30"/>
      <c r="AH677" s="33">
        <v>1097866.8999999999</v>
      </c>
      <c r="AI677" s="30"/>
      <c r="AJ677" s="30"/>
      <c r="AK677" s="33">
        <v>1117628.51</v>
      </c>
      <c r="AL677" s="30"/>
      <c r="AM677" s="30"/>
      <c r="AN677" s="30"/>
      <c r="AO677" s="30"/>
      <c r="AP677" s="30"/>
      <c r="AQ677" s="30"/>
      <c r="AR677" s="30"/>
      <c r="AS677" s="30"/>
      <c r="AT677" s="30"/>
    </row>
    <row r="678" spans="1:46" ht="15" customHeight="1" x14ac:dyDescent="0.25">
      <c r="E678" s="9" t="s">
        <v>1009</v>
      </c>
      <c r="F678" s="26" t="s">
        <v>30</v>
      </c>
      <c r="J678" s="10">
        <v>65784485</v>
      </c>
      <c r="M678" s="10">
        <v>72863508</v>
      </c>
      <c r="P678" s="10">
        <v>74757959.209999993</v>
      </c>
      <c r="S678" s="10">
        <v>76477392.269999996</v>
      </c>
      <c r="V678" s="10">
        <v>78083417.510000005</v>
      </c>
      <c r="Y678" s="10">
        <v>79645085.859999999</v>
      </c>
      <c r="AB678" s="10">
        <v>81078697.400000006</v>
      </c>
      <c r="AE678" s="10">
        <v>82619192.650000006</v>
      </c>
      <c r="AH678" s="10">
        <v>84106338.120000005</v>
      </c>
      <c r="AK678" s="10">
        <v>85620252.209999993</v>
      </c>
    </row>
    <row r="679" spans="1:46" ht="15" customHeight="1" x14ac:dyDescent="0.25">
      <c r="E679" s="9" t="s">
        <v>1009</v>
      </c>
      <c r="F679" s="28" t="s">
        <v>37</v>
      </c>
      <c r="J679" s="10">
        <v>48153507</v>
      </c>
      <c r="M679" s="10">
        <v>91332357</v>
      </c>
      <c r="P679" s="10">
        <v>247706998.28</v>
      </c>
      <c r="S679" s="10">
        <v>253404259.24000001</v>
      </c>
      <c r="V679" s="10">
        <v>258725748.69</v>
      </c>
      <c r="Y679" s="10">
        <v>263900263.66</v>
      </c>
      <c r="AB679" s="10">
        <v>268650468.41000003</v>
      </c>
      <c r="AE679" s="10">
        <v>273754827.31</v>
      </c>
      <c r="AH679" s="10">
        <v>278682414.19999999</v>
      </c>
      <c r="AK679" s="10">
        <v>283698697.64999998</v>
      </c>
    </row>
    <row r="680" spans="1:46" ht="15" customHeight="1" x14ac:dyDescent="0.25">
      <c r="E680" s="9" t="s">
        <v>1009</v>
      </c>
      <c r="F680" s="28" t="s">
        <v>22</v>
      </c>
      <c r="J680" s="10">
        <v>17144574</v>
      </c>
      <c r="M680" s="10">
        <v>11046362</v>
      </c>
      <c r="P680" s="10">
        <v>11333567.41</v>
      </c>
      <c r="S680" s="10">
        <v>11594239.460000001</v>
      </c>
      <c r="V680" s="10">
        <v>11837718.49</v>
      </c>
      <c r="Y680" s="10">
        <v>12074472.859999999</v>
      </c>
      <c r="AB680" s="10">
        <v>12291813.369999999</v>
      </c>
      <c r="AE680" s="10">
        <v>12525357.83</v>
      </c>
      <c r="AH680" s="10">
        <v>12750814.27</v>
      </c>
      <c r="AK680" s="10">
        <v>12980328.92</v>
      </c>
    </row>
    <row r="681" spans="1:46" ht="15" customHeight="1" x14ac:dyDescent="0.25">
      <c r="A681" s="30"/>
      <c r="B681" s="30"/>
      <c r="C681" s="30"/>
      <c r="D681" s="30"/>
      <c r="E681" s="31" t="s">
        <v>1009</v>
      </c>
      <c r="F681" s="32" t="s">
        <v>221</v>
      </c>
      <c r="G681" s="30"/>
      <c r="H681" s="30"/>
      <c r="I681" s="30"/>
      <c r="J681" s="33">
        <v>221000</v>
      </c>
      <c r="K681" s="30"/>
      <c r="L681" s="30"/>
      <c r="M681" s="33">
        <v>1301376</v>
      </c>
      <c r="N681" s="30"/>
      <c r="O681" s="30"/>
      <c r="P681" s="33">
        <v>1335211.78</v>
      </c>
      <c r="Q681" s="30"/>
      <c r="R681" s="30"/>
      <c r="S681" s="33">
        <v>1365921.65</v>
      </c>
      <c r="T681" s="30"/>
      <c r="U681" s="30"/>
      <c r="V681" s="33">
        <v>1394606</v>
      </c>
      <c r="W681" s="30"/>
      <c r="X681" s="30"/>
      <c r="Y681" s="33">
        <v>1422498.12</v>
      </c>
      <c r="Z681" s="30"/>
      <c r="AA681" s="30"/>
      <c r="AB681" s="33">
        <v>1448103.09</v>
      </c>
      <c r="AC681" s="30"/>
      <c r="AD681" s="30"/>
      <c r="AE681" s="33">
        <v>1475617.05</v>
      </c>
      <c r="AF681" s="30"/>
      <c r="AG681" s="30"/>
      <c r="AH681" s="33">
        <v>1502178.15</v>
      </c>
      <c r="AI681" s="30"/>
      <c r="AJ681" s="30"/>
      <c r="AK681" s="33">
        <v>1529217.36</v>
      </c>
      <c r="AL681" s="30"/>
      <c r="AM681" s="30"/>
      <c r="AN681" s="30"/>
      <c r="AO681" s="30"/>
      <c r="AP681" s="30"/>
      <c r="AQ681" s="30"/>
      <c r="AR681" s="30"/>
      <c r="AS681" s="30"/>
      <c r="AT681" s="30"/>
    </row>
    <row r="682" spans="1:46" ht="15" customHeight="1" x14ac:dyDescent="0.25">
      <c r="E682" s="9" t="s">
        <v>1009</v>
      </c>
      <c r="F682" s="26" t="s">
        <v>25</v>
      </c>
      <c r="J682" s="10">
        <v>71974514</v>
      </c>
      <c r="M682" s="10">
        <v>36068103</v>
      </c>
      <c r="P682" s="10">
        <v>37005873.68</v>
      </c>
      <c r="S682" s="10">
        <v>37857008.770000003</v>
      </c>
      <c r="V682" s="10">
        <v>38652005.960000001</v>
      </c>
      <c r="Y682" s="10">
        <v>39425046.079999998</v>
      </c>
      <c r="AB682" s="10">
        <v>40134696.909999996</v>
      </c>
      <c r="AE682" s="10">
        <v>40897256.149999999</v>
      </c>
      <c r="AH682" s="10">
        <v>41633406.759999998</v>
      </c>
      <c r="AK682" s="10">
        <v>42382808.079999998</v>
      </c>
    </row>
    <row r="683" spans="1:46" ht="15" customHeight="1" x14ac:dyDescent="0.25">
      <c r="E683" s="9" t="s">
        <v>1009</v>
      </c>
      <c r="F683" s="26" t="s">
        <v>34</v>
      </c>
      <c r="J683" s="10">
        <v>2107166</v>
      </c>
      <c r="M683" s="10">
        <v>1540724</v>
      </c>
      <c r="P683" s="10">
        <v>1580782.82</v>
      </c>
      <c r="S683" s="10">
        <v>1617140.83</v>
      </c>
      <c r="V683" s="10">
        <v>1651100.79</v>
      </c>
      <c r="Y683" s="10">
        <v>1684122.8</v>
      </c>
      <c r="AB683" s="10">
        <v>1714437.01</v>
      </c>
      <c r="AE683" s="10">
        <v>1747011.32</v>
      </c>
      <c r="AH683" s="10">
        <v>1778457.52</v>
      </c>
      <c r="AK683" s="10">
        <v>1810469.75</v>
      </c>
    </row>
    <row r="684" spans="1:46" ht="15" customHeight="1" x14ac:dyDescent="0.25">
      <c r="E684" s="9" t="s">
        <v>1009</v>
      </c>
      <c r="F684" s="26" t="s">
        <v>55</v>
      </c>
      <c r="J684" s="10">
        <v>1539085</v>
      </c>
      <c r="M684" s="10">
        <v>2979793</v>
      </c>
      <c r="P684" s="10">
        <v>3057267.62</v>
      </c>
      <c r="S684" s="10">
        <v>3127584.77</v>
      </c>
      <c r="V684" s="10">
        <v>3193264.05</v>
      </c>
      <c r="Y684" s="10">
        <v>3257129.33</v>
      </c>
      <c r="AB684" s="10">
        <v>3315757.66</v>
      </c>
      <c r="AE684" s="10">
        <v>3378757.06</v>
      </c>
      <c r="AH684" s="10">
        <v>3439574.69</v>
      </c>
      <c r="AK684" s="10">
        <v>3501487.03</v>
      </c>
    </row>
    <row r="685" spans="1:46" ht="15" customHeight="1" x14ac:dyDescent="0.25">
      <c r="E685" s="9" t="s">
        <v>1009</v>
      </c>
      <c r="F685" s="26" t="s">
        <v>26</v>
      </c>
      <c r="J685" s="10">
        <v>2413478</v>
      </c>
      <c r="M685" s="10">
        <v>2767010</v>
      </c>
      <c r="P685" s="10">
        <v>2838952.26</v>
      </c>
      <c r="S685" s="10">
        <v>2904248.16</v>
      </c>
      <c r="V685" s="10">
        <v>2965237.37</v>
      </c>
      <c r="Y685" s="10">
        <v>3024542.12</v>
      </c>
      <c r="AB685" s="10">
        <v>3078983.88</v>
      </c>
      <c r="AE685" s="10">
        <v>3137484.57</v>
      </c>
      <c r="AH685" s="10">
        <v>3193959.3</v>
      </c>
      <c r="AK685" s="10">
        <v>3251450.56</v>
      </c>
    </row>
    <row r="686" spans="1:46" ht="15" customHeight="1" x14ac:dyDescent="0.25">
      <c r="E686" s="9" t="s">
        <v>1009</v>
      </c>
      <c r="F686" s="26" t="s">
        <v>38</v>
      </c>
      <c r="J686" s="10">
        <v>39072207</v>
      </c>
      <c r="M686" s="10">
        <v>38221745</v>
      </c>
      <c r="P686" s="10">
        <v>39215510.369999997</v>
      </c>
      <c r="S686" s="10">
        <v>40117467.109999999</v>
      </c>
      <c r="V686" s="10">
        <v>40959933.920000002</v>
      </c>
      <c r="Y686" s="10">
        <v>41779132.600000001</v>
      </c>
      <c r="AB686" s="10">
        <v>42531156.979999997</v>
      </c>
      <c r="AE686" s="10">
        <v>43339248.969999999</v>
      </c>
      <c r="AH686" s="10">
        <v>44119355.450000003</v>
      </c>
      <c r="AK686" s="10">
        <v>44913503.840000004</v>
      </c>
    </row>
    <row r="687" spans="1:46" ht="15" customHeight="1" x14ac:dyDescent="0.25">
      <c r="E687" s="9" t="s">
        <v>1009</v>
      </c>
      <c r="F687" s="26" t="s">
        <v>27</v>
      </c>
      <c r="J687" s="10">
        <v>10372981</v>
      </c>
      <c r="M687" s="10">
        <v>15706549</v>
      </c>
      <c r="P687" s="10">
        <v>16114919.27</v>
      </c>
      <c r="S687" s="10">
        <v>16485562.42</v>
      </c>
      <c r="V687" s="10">
        <v>16831759.23</v>
      </c>
      <c r="Y687" s="10">
        <v>17168394.41</v>
      </c>
      <c r="AB687" s="10">
        <v>17477425.510000002</v>
      </c>
      <c r="AE687" s="10">
        <v>17809496.600000001</v>
      </c>
      <c r="AH687" s="10">
        <v>18130067.539999999</v>
      </c>
      <c r="AK687" s="10">
        <v>18456408.75</v>
      </c>
    </row>
    <row r="688" spans="1:46" ht="15" customHeight="1" x14ac:dyDescent="0.25">
      <c r="E688" s="9" t="s">
        <v>1009</v>
      </c>
      <c r="F688" s="26" t="s">
        <v>47</v>
      </c>
      <c r="J688" s="10">
        <v>31906193</v>
      </c>
      <c r="M688" s="10">
        <v>46991035.189999998</v>
      </c>
      <c r="P688" s="10">
        <v>48212802.100000001</v>
      </c>
      <c r="S688" s="10">
        <v>49321696.549999997</v>
      </c>
      <c r="V688" s="10">
        <v>50357452.18</v>
      </c>
      <c r="Y688" s="10">
        <v>51364601.219999999</v>
      </c>
      <c r="AB688" s="10">
        <v>52289164.049999997</v>
      </c>
      <c r="AE688" s="10">
        <v>53282658.159999996</v>
      </c>
      <c r="AH688" s="10">
        <v>54241746.009999998</v>
      </c>
      <c r="AK688" s="10">
        <v>55218097.439999998</v>
      </c>
    </row>
    <row r="689" spans="1:46" ht="15" customHeight="1" x14ac:dyDescent="0.25">
      <c r="E689" s="9" t="s">
        <v>1009</v>
      </c>
      <c r="F689" s="26" t="s">
        <v>1006</v>
      </c>
      <c r="J689" s="10">
        <v>46900252</v>
      </c>
      <c r="M689" s="10">
        <v>49233366</v>
      </c>
      <c r="P689" s="10">
        <v>50513433.520000003</v>
      </c>
      <c r="S689" s="10">
        <v>51675242.490000002</v>
      </c>
      <c r="V689" s="10">
        <v>52760422.579999998</v>
      </c>
      <c r="Y689" s="10">
        <v>53815631.030000001</v>
      </c>
      <c r="AB689" s="10">
        <v>54784312.390000001</v>
      </c>
      <c r="AE689" s="10">
        <v>55825214.32</v>
      </c>
      <c r="AH689" s="10">
        <v>56830068.18</v>
      </c>
      <c r="AK689" s="10">
        <v>57853009.409999996</v>
      </c>
    </row>
    <row r="690" spans="1:46" ht="15" customHeight="1" x14ac:dyDescent="0.25">
      <c r="A690" s="30"/>
      <c r="B690" s="30"/>
      <c r="C690" s="30"/>
      <c r="D690" s="30"/>
      <c r="E690" s="31" t="s">
        <v>1009</v>
      </c>
      <c r="F690" s="32" t="s">
        <v>1007</v>
      </c>
      <c r="G690" s="30"/>
      <c r="H690" s="30"/>
      <c r="I690" s="30"/>
      <c r="J690" s="33">
        <v>2726975</v>
      </c>
      <c r="K690" s="30"/>
      <c r="L690" s="30"/>
      <c r="M690" s="33">
        <v>2716883</v>
      </c>
      <c r="N690" s="30"/>
      <c r="O690" s="30"/>
      <c r="P690" s="33">
        <v>2787521.96</v>
      </c>
      <c r="Q690" s="30"/>
      <c r="R690" s="30"/>
      <c r="S690" s="33">
        <v>2851634.96</v>
      </c>
      <c r="T690" s="30"/>
      <c r="U690" s="30"/>
      <c r="V690" s="33">
        <v>2911519.3</v>
      </c>
      <c r="W690" s="30"/>
      <c r="X690" s="30"/>
      <c r="Y690" s="33">
        <v>2969749.68</v>
      </c>
      <c r="Z690" s="30"/>
      <c r="AA690" s="30"/>
      <c r="AB690" s="33">
        <v>3023205.18</v>
      </c>
      <c r="AC690" s="30"/>
      <c r="AD690" s="30"/>
      <c r="AE690" s="33">
        <v>3080646.08</v>
      </c>
      <c r="AF690" s="30"/>
      <c r="AG690" s="30"/>
      <c r="AH690" s="33">
        <v>3136097.71</v>
      </c>
      <c r="AI690" s="30"/>
      <c r="AJ690" s="30"/>
      <c r="AK690" s="33">
        <v>3192547.46</v>
      </c>
      <c r="AL690" s="30"/>
      <c r="AM690" s="30"/>
      <c r="AN690" s="30"/>
      <c r="AO690" s="30"/>
      <c r="AP690" s="30"/>
      <c r="AQ690" s="30"/>
      <c r="AR690" s="30"/>
      <c r="AS690" s="30"/>
      <c r="AT690" s="30"/>
    </row>
    <row r="691" spans="1:46" ht="15" customHeight="1" x14ac:dyDescent="0.25">
      <c r="E691" s="9" t="s">
        <v>1009</v>
      </c>
      <c r="F691" s="26" t="s">
        <v>145</v>
      </c>
      <c r="J691" s="10">
        <v>1532759</v>
      </c>
      <c r="M691" s="10">
        <v>1572759</v>
      </c>
      <c r="P691" s="10">
        <v>1613650.73</v>
      </c>
      <c r="S691" s="10">
        <v>1650764.7</v>
      </c>
      <c r="V691" s="10">
        <v>1685430.76</v>
      </c>
      <c r="Y691" s="10">
        <v>1719139.37</v>
      </c>
      <c r="AB691" s="10">
        <v>1750083.88</v>
      </c>
      <c r="AE691" s="10">
        <v>1783335.48</v>
      </c>
      <c r="AH691" s="10">
        <v>1815435.52</v>
      </c>
      <c r="AK691" s="10">
        <v>1848113.36</v>
      </c>
    </row>
    <row r="692" spans="1:46" ht="15" customHeight="1" x14ac:dyDescent="0.25">
      <c r="E692" s="9" t="s">
        <v>1009</v>
      </c>
      <c r="F692" s="26" t="s">
        <v>139</v>
      </c>
      <c r="J692" s="10">
        <v>3210182</v>
      </c>
      <c r="M692" s="10">
        <v>2747741</v>
      </c>
      <c r="P692" s="10">
        <v>2819182.27</v>
      </c>
      <c r="S692" s="10">
        <v>2884023.46</v>
      </c>
      <c r="V692" s="10">
        <v>2944587.95</v>
      </c>
      <c r="Y692" s="10">
        <v>3003479.71</v>
      </c>
      <c r="AB692" s="10">
        <v>3057542.34</v>
      </c>
      <c r="AE692" s="10">
        <v>3115635.65</v>
      </c>
      <c r="AH692" s="10">
        <v>3171717.09</v>
      </c>
      <c r="AK692" s="10">
        <v>3228808</v>
      </c>
    </row>
    <row r="693" spans="1:46" ht="15" customHeight="1" x14ac:dyDescent="0.25">
      <c r="E693" s="9" t="s">
        <v>1009</v>
      </c>
      <c r="F693" s="26" t="s">
        <v>48</v>
      </c>
      <c r="J693" s="10">
        <v>20168892</v>
      </c>
      <c r="M693" s="10">
        <v>22855403</v>
      </c>
      <c r="P693" s="10">
        <v>23449643.48</v>
      </c>
      <c r="S693" s="10">
        <v>23988985.280000001</v>
      </c>
      <c r="V693" s="10">
        <v>24492753.969999999</v>
      </c>
      <c r="Y693" s="10">
        <v>24982609.050000001</v>
      </c>
      <c r="AB693" s="10">
        <v>25432296.010000002</v>
      </c>
      <c r="AE693" s="10">
        <v>25915509.640000001</v>
      </c>
      <c r="AH693" s="10">
        <v>26381988.809999999</v>
      </c>
      <c r="AK693" s="10">
        <v>26856864.609999999</v>
      </c>
    </row>
    <row r="694" spans="1:46" ht="15" customHeight="1" x14ac:dyDescent="0.25">
      <c r="E694" s="9" t="s">
        <v>1009</v>
      </c>
      <c r="F694" s="26" t="s">
        <v>146</v>
      </c>
      <c r="J694" s="10">
        <v>65086980</v>
      </c>
      <c r="M694" s="10">
        <v>42361377</v>
      </c>
      <c r="P694" s="10">
        <v>43462772.799999997</v>
      </c>
      <c r="S694" s="10">
        <v>44462416.579999998</v>
      </c>
      <c r="V694" s="10">
        <v>45396127.32</v>
      </c>
      <c r="Y694" s="10">
        <v>46304049.869999997</v>
      </c>
      <c r="AB694" s="10">
        <v>47137522.770000003</v>
      </c>
      <c r="AE694" s="10">
        <v>48033135.700000003</v>
      </c>
      <c r="AH694" s="10">
        <v>48897732.140000001</v>
      </c>
      <c r="AK694" s="10">
        <v>49777891.32</v>
      </c>
    </row>
    <row r="695" spans="1:46" ht="15" customHeight="1" x14ac:dyDescent="0.25">
      <c r="A695" s="30"/>
      <c r="B695" s="30"/>
      <c r="C695" s="30"/>
      <c r="D695" s="30"/>
      <c r="E695" s="31" t="s">
        <v>1009</v>
      </c>
      <c r="F695" s="32" t="s">
        <v>224</v>
      </c>
      <c r="G695" s="30"/>
      <c r="H695" s="30"/>
      <c r="I695" s="30"/>
      <c r="J695" s="33">
        <v>4364389</v>
      </c>
      <c r="K695" s="30"/>
      <c r="L695" s="30"/>
      <c r="M695" s="33">
        <v>5780677</v>
      </c>
      <c r="N695" s="30"/>
      <c r="O695" s="30"/>
      <c r="P695" s="33">
        <v>5930974.5999999996</v>
      </c>
      <c r="Q695" s="30"/>
      <c r="R695" s="30"/>
      <c r="S695" s="33">
        <v>6067387.0199999996</v>
      </c>
      <c r="T695" s="30"/>
      <c r="U695" s="30"/>
      <c r="V695" s="33">
        <v>6194802.1500000004</v>
      </c>
      <c r="W695" s="30"/>
      <c r="X695" s="30"/>
      <c r="Y695" s="33">
        <v>6318698.1900000004</v>
      </c>
      <c r="Z695" s="30"/>
      <c r="AA695" s="30"/>
      <c r="AB695" s="33">
        <v>6432434.7599999998</v>
      </c>
      <c r="AC695" s="30"/>
      <c r="AD695" s="30"/>
      <c r="AE695" s="33">
        <v>6554651.0199999996</v>
      </c>
      <c r="AF695" s="30"/>
      <c r="AG695" s="30"/>
      <c r="AH695" s="33">
        <v>6672634.7300000004</v>
      </c>
      <c r="AI695" s="30"/>
      <c r="AJ695" s="30"/>
      <c r="AK695" s="33">
        <v>6792742.1600000001</v>
      </c>
      <c r="AL695" s="30"/>
      <c r="AM695" s="30"/>
      <c r="AN695" s="30"/>
      <c r="AO695" s="30"/>
      <c r="AP695" s="30"/>
      <c r="AQ695" s="30"/>
      <c r="AR695" s="30"/>
      <c r="AS695" s="30"/>
      <c r="AT695" s="30"/>
    </row>
    <row r="696" spans="1:46" ht="15" customHeight="1" x14ac:dyDescent="0.25">
      <c r="A696" s="30"/>
      <c r="B696" s="30"/>
      <c r="C696" s="30"/>
      <c r="D696" s="30"/>
      <c r="E696" s="31" t="s">
        <v>1009</v>
      </c>
      <c r="F696" s="32" t="s">
        <v>225</v>
      </c>
      <c r="G696" s="30"/>
      <c r="H696" s="30"/>
      <c r="I696" s="30"/>
      <c r="J696" s="33">
        <v>2859124</v>
      </c>
      <c r="K696" s="30"/>
      <c r="L696" s="30"/>
      <c r="M696" s="33">
        <v>279336.48</v>
      </c>
      <c r="N696" s="30"/>
      <c r="O696" s="30"/>
      <c r="P696" s="33">
        <v>286599.23</v>
      </c>
      <c r="Q696" s="30"/>
      <c r="R696" s="30"/>
      <c r="S696" s="33">
        <v>293191.01</v>
      </c>
      <c r="T696" s="30"/>
      <c r="U696" s="30"/>
      <c r="V696" s="33">
        <v>299348.02</v>
      </c>
      <c r="W696" s="30"/>
      <c r="X696" s="30"/>
      <c r="Y696" s="33">
        <v>305334.98</v>
      </c>
      <c r="Z696" s="30"/>
      <c r="AA696" s="30"/>
      <c r="AB696" s="33">
        <v>310831.01</v>
      </c>
      <c r="AC696" s="30"/>
      <c r="AD696" s="30"/>
      <c r="AE696" s="33">
        <v>316736.8</v>
      </c>
      <c r="AF696" s="30"/>
      <c r="AG696" s="30"/>
      <c r="AH696" s="33">
        <v>322438.06</v>
      </c>
      <c r="AI696" s="30"/>
      <c r="AJ696" s="30"/>
      <c r="AK696" s="33">
        <v>328241.95</v>
      </c>
      <c r="AL696" s="30"/>
      <c r="AM696" s="30"/>
      <c r="AN696" s="30"/>
      <c r="AO696" s="30"/>
      <c r="AP696" s="30"/>
      <c r="AQ696" s="30"/>
      <c r="AR696" s="30"/>
      <c r="AS696" s="30"/>
      <c r="AT696" s="30"/>
    </row>
    <row r="697" spans="1:46" ht="15" customHeight="1" x14ac:dyDescent="0.25">
      <c r="A697" s="30"/>
      <c r="B697" s="30"/>
      <c r="C697" s="30"/>
      <c r="D697" s="30"/>
      <c r="E697" s="31" t="s">
        <v>1009</v>
      </c>
      <c r="F697" s="32" t="s">
        <v>226</v>
      </c>
      <c r="G697" s="30"/>
      <c r="H697" s="30"/>
      <c r="I697" s="30"/>
      <c r="J697" s="31">
        <v>716</v>
      </c>
      <c r="K697" s="30"/>
      <c r="L697" s="30"/>
      <c r="M697" s="33">
        <v>12743</v>
      </c>
      <c r="N697" s="30"/>
      <c r="O697" s="30"/>
      <c r="P697" s="33">
        <v>13074.32</v>
      </c>
      <c r="Q697" s="30"/>
      <c r="R697" s="30"/>
      <c r="S697" s="33">
        <v>13375.03</v>
      </c>
      <c r="T697" s="30"/>
      <c r="U697" s="30"/>
      <c r="V697" s="33">
        <v>13655.9</v>
      </c>
      <c r="W697" s="30"/>
      <c r="X697" s="30"/>
      <c r="Y697" s="33">
        <v>13929.02</v>
      </c>
      <c r="Z697" s="30"/>
      <c r="AA697" s="30"/>
      <c r="AB697" s="33">
        <v>14179.74</v>
      </c>
      <c r="AC697" s="30"/>
      <c r="AD697" s="30"/>
      <c r="AE697" s="33">
        <v>14449.16</v>
      </c>
      <c r="AF697" s="30"/>
      <c r="AG697" s="30"/>
      <c r="AH697" s="33">
        <v>14709.24</v>
      </c>
      <c r="AI697" s="30"/>
      <c r="AJ697" s="30"/>
      <c r="AK697" s="33">
        <v>14974.01</v>
      </c>
      <c r="AL697" s="30"/>
      <c r="AM697" s="30"/>
      <c r="AN697" s="30"/>
      <c r="AO697" s="30"/>
      <c r="AP697" s="30"/>
      <c r="AQ697" s="30"/>
      <c r="AR697" s="30"/>
      <c r="AS697" s="30"/>
      <c r="AT697" s="30"/>
    </row>
    <row r="698" spans="1:46" ht="15" customHeight="1" x14ac:dyDescent="0.25">
      <c r="A698" s="30"/>
      <c r="B698" s="30"/>
      <c r="C698" s="30"/>
      <c r="D698" s="30"/>
      <c r="E698" s="31" t="s">
        <v>1009</v>
      </c>
      <c r="F698" s="32" t="s">
        <v>227</v>
      </c>
      <c r="G698" s="30"/>
      <c r="H698" s="30"/>
      <c r="I698" s="30"/>
      <c r="J698" s="33">
        <v>900000</v>
      </c>
      <c r="K698" s="30"/>
      <c r="L698" s="30"/>
      <c r="M698" s="33">
        <v>1226997.48</v>
      </c>
      <c r="N698" s="30"/>
      <c r="O698" s="30"/>
      <c r="P698" s="33">
        <v>1258899.4099999999</v>
      </c>
      <c r="Q698" s="30"/>
      <c r="R698" s="30"/>
      <c r="S698" s="33">
        <v>1287854.1000000001</v>
      </c>
      <c r="T698" s="30"/>
      <c r="U698" s="30"/>
      <c r="V698" s="33">
        <v>1314899.04</v>
      </c>
      <c r="W698" s="30"/>
      <c r="X698" s="30"/>
      <c r="Y698" s="33">
        <v>1341197.02</v>
      </c>
      <c r="Z698" s="30"/>
      <c r="AA698" s="30"/>
      <c r="AB698" s="33">
        <v>1365338.56</v>
      </c>
      <c r="AC698" s="30"/>
      <c r="AD698" s="30"/>
      <c r="AE698" s="33">
        <v>1391280</v>
      </c>
      <c r="AF698" s="30"/>
      <c r="AG698" s="30"/>
      <c r="AH698" s="33">
        <v>1416323.04</v>
      </c>
      <c r="AI698" s="30"/>
      <c r="AJ698" s="30"/>
      <c r="AK698" s="33">
        <v>1441816.85</v>
      </c>
      <c r="AL698" s="30"/>
      <c r="AM698" s="30"/>
      <c r="AN698" s="30"/>
      <c r="AO698" s="30"/>
      <c r="AP698" s="30"/>
      <c r="AQ698" s="30"/>
      <c r="AR698" s="30"/>
      <c r="AS698" s="30"/>
      <c r="AT698" s="30"/>
    </row>
    <row r="699" spans="1:46" ht="15" customHeight="1" x14ac:dyDescent="0.25">
      <c r="E699" s="9" t="s">
        <v>1009</v>
      </c>
      <c r="F699" s="26" t="s">
        <v>28</v>
      </c>
      <c r="J699" s="10">
        <v>11144966</v>
      </c>
      <c r="M699" s="10">
        <v>4739723</v>
      </c>
      <c r="P699" s="10">
        <v>4862955.8</v>
      </c>
      <c r="S699" s="10">
        <v>4974803.78</v>
      </c>
      <c r="V699" s="10">
        <v>5079274.66</v>
      </c>
      <c r="Y699" s="10">
        <v>5180860.1500000004</v>
      </c>
      <c r="AB699" s="10">
        <v>5274115.6399999997</v>
      </c>
      <c r="AE699" s="10">
        <v>5374323.8300000001</v>
      </c>
      <c r="AH699" s="10">
        <v>5471061.6600000001</v>
      </c>
      <c r="AK699" s="10">
        <v>5569540.7699999996</v>
      </c>
    </row>
    <row r="701" spans="1:46" ht="12.75" x14ac:dyDescent="0.2">
      <c r="E701" s="9" t="s">
        <v>1009</v>
      </c>
      <c r="F701" s="9" t="s">
        <v>1008</v>
      </c>
      <c r="J701" s="11">
        <f>SUM(J674:J699)</f>
        <v>482389128</v>
      </c>
      <c r="M701" s="11">
        <f>SUM(M674:M699)</f>
        <v>481607711.61000007</v>
      </c>
      <c r="P701" s="11">
        <f>SUM(P674:P699)</f>
        <v>661129512.12</v>
      </c>
      <c r="S701" s="11">
        <f>SUM(S674:S699)</f>
        <v>676335490.88999999</v>
      </c>
      <c r="V701" s="11">
        <f>SUM(V674:V699)</f>
        <v>690538536.20000005</v>
      </c>
      <c r="Y701" s="11">
        <f>SUM(Y674:Y699)</f>
        <v>704349306.90999997</v>
      </c>
      <c r="AB701" s="11">
        <f>SUM(AB674:AB699)</f>
        <v>717027594.43999994</v>
      </c>
      <c r="AE701" s="11">
        <f>SUM(AE674:AE699)</f>
        <v>730651118.76999998</v>
      </c>
      <c r="AH701" s="11">
        <f>SUM(AH674:AH699)</f>
        <v>743802838.88999975</v>
      </c>
      <c r="AK701" s="11">
        <f>SUM(AK674:AK699)</f>
        <v>757191289.97000003</v>
      </c>
    </row>
  </sheetData>
  <autoFilter ref="A3:AL64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002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" customHeight="1" x14ac:dyDescent="0.2"/>
  <cols>
    <col min="8" max="8" width="16" customWidth="1"/>
    <col min="9" max="9" width="7.28515625" customWidth="1"/>
    <col min="10" max="10" width="15.85546875" customWidth="1"/>
    <col min="12" max="12" width="7.28515625" customWidth="1"/>
    <col min="15" max="15" width="6.5703125" customWidth="1"/>
    <col min="18" max="18" width="6.5703125" customWidth="1"/>
    <col min="21" max="21" width="6.5703125" customWidth="1"/>
    <col min="24" max="24" width="6.5703125" customWidth="1"/>
    <col min="27" max="27" width="6.5703125" customWidth="1"/>
    <col min="30" max="30" width="6.5703125" customWidth="1"/>
    <col min="33" max="33" width="6.5703125" customWidth="1"/>
    <col min="34" max="34" width="16" customWidth="1"/>
    <col min="36" max="36" width="6.5703125" customWidth="1"/>
    <col min="37" max="37" width="16" customWidth="1"/>
  </cols>
  <sheetData>
    <row r="1" spans="1:38" ht="12.75" x14ac:dyDescent="0.2">
      <c r="A1" s="1" t="s">
        <v>0</v>
      </c>
      <c r="D1" s="2"/>
      <c r="E1" s="2"/>
      <c r="F1" s="3"/>
      <c r="G1" s="2"/>
      <c r="H1" s="34"/>
      <c r="I1" s="21"/>
      <c r="J1" s="20"/>
      <c r="K1" s="4"/>
    </row>
    <row r="2" spans="1:38" ht="12.75" x14ac:dyDescent="0.2">
      <c r="A2" s="5" t="s">
        <v>1</v>
      </c>
      <c r="B2" s="6"/>
      <c r="F2" s="7"/>
      <c r="G2" s="7"/>
      <c r="H2" s="34"/>
      <c r="I2" s="21"/>
      <c r="J2" s="2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8" ht="12.75" x14ac:dyDescent="0.2">
      <c r="A3" s="8" t="s">
        <v>353</v>
      </c>
      <c r="B3" s="8" t="s">
        <v>2</v>
      </c>
      <c r="C3" s="8" t="s">
        <v>354</v>
      </c>
      <c r="D3" s="8" t="s">
        <v>3</v>
      </c>
      <c r="E3" s="8" t="s">
        <v>4</v>
      </c>
      <c r="F3" s="35" t="s">
        <v>1010</v>
      </c>
      <c r="G3" s="1" t="s">
        <v>356</v>
      </c>
      <c r="H3" s="36">
        <v>46107</v>
      </c>
      <c r="I3" s="17" t="s">
        <v>357</v>
      </c>
      <c r="J3" s="18" t="s">
        <v>358</v>
      </c>
      <c r="K3" s="5" t="s">
        <v>6</v>
      </c>
      <c r="L3" s="37" t="s">
        <v>357</v>
      </c>
      <c r="M3" s="37" t="s">
        <v>358</v>
      </c>
      <c r="N3" s="5" t="s">
        <v>7</v>
      </c>
      <c r="O3" s="37" t="s">
        <v>357</v>
      </c>
      <c r="P3" s="37" t="s">
        <v>358</v>
      </c>
      <c r="Q3" s="5" t="s">
        <v>8</v>
      </c>
      <c r="R3" s="37" t="s">
        <v>357</v>
      </c>
      <c r="S3" s="37" t="s">
        <v>358</v>
      </c>
      <c r="T3" s="5" t="s">
        <v>9</v>
      </c>
      <c r="U3" s="37" t="s">
        <v>357</v>
      </c>
      <c r="V3" s="37" t="s">
        <v>358</v>
      </c>
      <c r="W3" s="5" t="s">
        <v>10</v>
      </c>
      <c r="X3" s="37" t="s">
        <v>357</v>
      </c>
      <c r="Y3" s="37" t="s">
        <v>358</v>
      </c>
      <c r="Z3" s="5" t="s">
        <v>11</v>
      </c>
      <c r="AA3" s="37" t="s">
        <v>357</v>
      </c>
      <c r="AB3" s="37" t="s">
        <v>358</v>
      </c>
      <c r="AC3" s="5" t="s">
        <v>12</v>
      </c>
      <c r="AD3" s="37" t="s">
        <v>357</v>
      </c>
      <c r="AE3" s="37" t="s">
        <v>358</v>
      </c>
      <c r="AF3" s="5" t="s">
        <v>13</v>
      </c>
      <c r="AG3" s="37" t="s">
        <v>357</v>
      </c>
      <c r="AH3" s="37" t="s">
        <v>358</v>
      </c>
      <c r="AI3" s="5" t="s">
        <v>14</v>
      </c>
      <c r="AJ3" s="37" t="s">
        <v>357</v>
      </c>
      <c r="AK3" s="37" t="s">
        <v>358</v>
      </c>
      <c r="AL3" s="5" t="s">
        <v>15</v>
      </c>
    </row>
    <row r="4" spans="1:38" ht="12.75" x14ac:dyDescent="0.2">
      <c r="A4" s="8" t="s">
        <v>16</v>
      </c>
      <c r="B4" s="8" t="s">
        <v>17</v>
      </c>
      <c r="C4" s="8" t="s">
        <v>36</v>
      </c>
      <c r="D4" s="8" t="s">
        <v>19</v>
      </c>
      <c r="E4" s="8" t="s">
        <v>20</v>
      </c>
      <c r="F4" s="8" t="s">
        <v>188</v>
      </c>
      <c r="G4" s="8" t="s">
        <v>1011</v>
      </c>
      <c r="H4" s="34">
        <v>2195368.8534507882</v>
      </c>
      <c r="I4" s="21">
        <f t="shared" ref="I4:I5" si="0">H4/H$195</f>
        <v>6.6707382642966356E-3</v>
      </c>
      <c r="J4" s="38">
        <f t="shared" ref="J4:J5" si="1">I4*J$203</f>
        <v>2473076.0464839111</v>
      </c>
      <c r="K4" s="2">
        <v>2261229.9190543117</v>
      </c>
      <c r="L4" s="21">
        <f t="shared" ref="L4:L5" si="2">K4/K$195</f>
        <v>6.679333250467775E-3</v>
      </c>
      <c r="M4" s="38">
        <f t="shared" ref="M4:M5" si="3">L4*M$203</f>
        <v>2199119.2823732765</v>
      </c>
      <c r="N4" s="2">
        <v>2016091.3251228496</v>
      </c>
      <c r="O4" s="21">
        <f t="shared" ref="O4:O5" si="4">N4/N$195</f>
        <v>8.862931795393927E-3</v>
      </c>
      <c r="P4" s="38">
        <f t="shared" ref="P4:P5" si="5">O4*P$203</f>
        <v>3547117.340669997</v>
      </c>
      <c r="Q4" s="2">
        <v>3107149.929037468</v>
      </c>
      <c r="R4" s="21">
        <f t="shared" ref="R4:R5" si="6">Q4/Q$195</f>
        <v>9.3465643341062651E-3</v>
      </c>
      <c r="S4" s="38">
        <f t="shared" ref="S4:S5" si="7">R4*S$203</f>
        <v>4410094.4228012422</v>
      </c>
      <c r="T4" s="2">
        <v>2133576.284605728</v>
      </c>
      <c r="U4" s="21">
        <f t="shared" ref="U4:U5" si="8">T4/T$195</f>
        <v>8.8514940178003581E-3</v>
      </c>
      <c r="V4" s="38">
        <f t="shared" ref="V4:V5" si="9">U4*V$203</f>
        <v>4264206.3318140134</v>
      </c>
      <c r="W4" s="2">
        <v>2193316.4205746884</v>
      </c>
      <c r="X4" s="21">
        <f t="shared" ref="X4:X5" si="10">W4/W$195</f>
        <v>8.4062675428320539E-3</v>
      </c>
      <c r="Y4" s="38">
        <f t="shared" ref="Y4:Y5" si="11">X4*Y$203</f>
        <v>4130712.8937923741</v>
      </c>
      <c r="Z4" s="2">
        <v>2254729.2803507796</v>
      </c>
      <c r="AA4" s="21">
        <f t="shared" ref="AA4:AA5" si="12">Z4/Z$195</f>
        <v>9.0887889205491876E-3</v>
      </c>
      <c r="AB4" s="38">
        <f t="shared" ref="AB4:AB5" si="13">AA4*AB$203</f>
        <v>4546483.27391956</v>
      </c>
      <c r="AC4" s="2">
        <v>2295314.4073970937</v>
      </c>
      <c r="AD4" s="21">
        <f t="shared" ref="AD4:AD5" si="14">AC4/AC$195</f>
        <v>8.8893853980093907E-3</v>
      </c>
      <c r="AE4" s="38">
        <f t="shared" ref="AE4:AE5" si="15">AD4*AE$203</f>
        <v>4531223.6631409042</v>
      </c>
      <c r="AF4" s="2">
        <v>2330203.1863895296</v>
      </c>
      <c r="AG4" s="21">
        <f t="shared" ref="AG4:AG5" si="16">AF4/AF$195</f>
        <v>8.9988934046947352E-3</v>
      </c>
      <c r="AH4" s="38">
        <f t="shared" ref="AH4:AH5" si="17">AG4*AH$203</f>
        <v>4669610.4236384034</v>
      </c>
      <c r="AI4" s="2">
        <v>3548433.4122339757</v>
      </c>
      <c r="AJ4" s="21">
        <f t="shared" ref="AJ4:AJ5" si="18">AI4/AI$195</f>
        <v>8.5514245221201789E-3</v>
      </c>
      <c r="AK4" s="38">
        <f t="shared" ref="AK4:AK5" si="19">AJ4*AK$203</f>
        <v>4517288.075036183</v>
      </c>
      <c r="AL4" s="2">
        <v>23751583.7814711</v>
      </c>
    </row>
    <row r="5" spans="1:38" ht="12.75" x14ac:dyDescent="0.2">
      <c r="A5" s="8" t="s">
        <v>16</v>
      </c>
      <c r="B5" s="8" t="s">
        <v>17</v>
      </c>
      <c r="C5" s="8" t="s">
        <v>36</v>
      </c>
      <c r="D5" s="8" t="s">
        <v>19</v>
      </c>
      <c r="E5" s="8" t="s">
        <v>23</v>
      </c>
      <c r="F5" s="8" t="s">
        <v>188</v>
      </c>
      <c r="G5" s="8" t="s">
        <v>1012</v>
      </c>
      <c r="H5" s="34">
        <v>7996000.4235220803</v>
      </c>
      <c r="I5" s="21">
        <f t="shared" si="0"/>
        <v>2.4296247941515449E-2</v>
      </c>
      <c r="J5" s="38">
        <f t="shared" si="1"/>
        <v>9007469.1020621881</v>
      </c>
      <c r="K5" s="2">
        <v>8235880.4362277426</v>
      </c>
      <c r="L5" s="21">
        <f t="shared" si="2"/>
        <v>2.4327552709712635E-2</v>
      </c>
      <c r="M5" s="38">
        <f t="shared" si="3"/>
        <v>8009660.2835521931</v>
      </c>
      <c r="N5" s="2">
        <v>16786108.524869505</v>
      </c>
      <c r="O5" s="21">
        <f t="shared" si="4"/>
        <v>7.3793351080925607E-2</v>
      </c>
      <c r="P5" s="38">
        <f t="shared" si="5"/>
        <v>29533531.486875921</v>
      </c>
      <c r="Q5" s="2">
        <v>25870333.978390273</v>
      </c>
      <c r="R5" s="21">
        <f t="shared" si="6"/>
        <v>7.7820107299664265E-2</v>
      </c>
      <c r="S5" s="38">
        <f t="shared" si="7"/>
        <v>36718735.239611492</v>
      </c>
      <c r="T5" s="2">
        <v>17764295.998494655</v>
      </c>
      <c r="U5" s="21">
        <f t="shared" si="8"/>
        <v>7.3698119394951647E-2</v>
      </c>
      <c r="V5" s="38">
        <f t="shared" si="9"/>
        <v>35504061.431296565</v>
      </c>
      <c r="W5" s="2">
        <v>18261696.286452506</v>
      </c>
      <c r="X5" s="21">
        <f t="shared" si="10"/>
        <v>6.9991134580408274E-2</v>
      </c>
      <c r="Y5" s="38">
        <f t="shared" si="11"/>
        <v>34392586.316024877</v>
      </c>
      <c r="Z5" s="2">
        <v>18773023.782473177</v>
      </c>
      <c r="AA5" s="21">
        <f t="shared" si="12"/>
        <v>7.5673852309579168E-2</v>
      </c>
      <c r="AB5" s="38">
        <f t="shared" si="13"/>
        <v>37854317.754116312</v>
      </c>
      <c r="AC5" s="2">
        <v>19110938.210557695</v>
      </c>
      <c r="AD5" s="21">
        <f t="shared" si="14"/>
        <v>7.4013605510297717E-2</v>
      </c>
      <c r="AE5" s="38">
        <f t="shared" si="15"/>
        <v>37727265.23452761</v>
      </c>
      <c r="AF5" s="2">
        <v>19401424.471358173</v>
      </c>
      <c r="AG5" s="21">
        <f t="shared" si="16"/>
        <v>7.4925376352052792E-2</v>
      </c>
      <c r="AH5" s="38">
        <f t="shared" si="17"/>
        <v>38879482.473483592</v>
      </c>
      <c r="AI5" s="2">
        <v>29544489.18498423</v>
      </c>
      <c r="AJ5" s="21">
        <f t="shared" si="18"/>
        <v>7.119972110479314E-2</v>
      </c>
      <c r="AK5" s="38">
        <f t="shared" si="19"/>
        <v>37611236.614509881</v>
      </c>
      <c r="AL5" s="2">
        <v>197757243.44680172</v>
      </c>
    </row>
    <row r="6" spans="1:38" ht="12.75" x14ac:dyDescent="0.2">
      <c r="A6" s="8" t="s">
        <v>16</v>
      </c>
      <c r="B6" s="8" t="s">
        <v>17</v>
      </c>
      <c r="C6" s="8" t="s">
        <v>36</v>
      </c>
      <c r="D6" s="8" t="s">
        <v>19</v>
      </c>
      <c r="E6" s="8" t="s">
        <v>39</v>
      </c>
      <c r="F6" s="8" t="s">
        <v>189</v>
      </c>
      <c r="G6" s="8" t="s">
        <v>1013</v>
      </c>
      <c r="H6" s="34">
        <v>4949434.6531617558</v>
      </c>
      <c r="I6" s="21">
        <f t="shared" ref="I6:I8" si="20">H6/H$194</f>
        <v>3.1978766170863863E-2</v>
      </c>
      <c r="J6" s="38">
        <f t="shared" ref="J6:J8" si="21">I6*J$202</f>
        <v>6005083.4463571617</v>
      </c>
      <c r="K6" s="2">
        <v>5097917.6927566081</v>
      </c>
      <c r="L6" s="21">
        <f t="shared" ref="L6:L8" si="22">K6/K$194</f>
        <v>3.1978766170863863E-2</v>
      </c>
      <c r="M6" s="38">
        <f t="shared" ref="M6:M8" si="23">L6*M$202</f>
        <v>6633862.8246578248</v>
      </c>
      <c r="N6" s="2">
        <v>8450013.3275696635</v>
      </c>
      <c r="O6" s="21">
        <f t="shared" ref="O6:O8" si="24">N6/N$194</f>
        <v>5.0276785676106932E-2</v>
      </c>
      <c r="P6" s="38">
        <f t="shared" ref="P6:P8" si="25">O6*P$202</f>
        <v>10700883.811273692</v>
      </c>
      <c r="Q6" s="2">
        <v>13022950.887169693</v>
      </c>
      <c r="R6" s="21">
        <f t="shared" ref="R6:R8" si="26">Q6/Q$194</f>
        <v>5.2233480705265734E-2</v>
      </c>
      <c r="S6" s="38">
        <f t="shared" ref="S6:S8" si="27">R6*S$202</f>
        <v>11373044.67260981</v>
      </c>
      <c r="T6" s="2">
        <v>8942426.275856521</v>
      </c>
      <c r="U6" s="21">
        <f t="shared" ref="U6:U8" si="28">T6/T$194</f>
        <v>5.1508529964138371E-2</v>
      </c>
      <c r="V6" s="38">
        <f t="shared" ref="V6:V8" si="29">U6*V$202</f>
        <v>11450716.844260914</v>
      </c>
      <c r="W6" s="2">
        <v>9192814.2115805037</v>
      </c>
      <c r="X6" s="21">
        <f t="shared" ref="X6:X8" si="30">W6/W$194</f>
        <v>5.1710623484947094E-2</v>
      </c>
      <c r="Y6" s="38">
        <f t="shared" ref="Y6:Y8" si="31">X6*Y$202</f>
        <v>11725556.561804669</v>
      </c>
      <c r="Z6" s="2">
        <v>9450213.0095047578</v>
      </c>
      <c r="AA6" s="21">
        <f t="shared" ref="AA6:AA8" si="32">Z6/Z$194</f>
        <v>5.2550802110253876E-2</v>
      </c>
      <c r="AB6" s="38">
        <f t="shared" ref="AB6:AB8" si="33">AA6*AB$202</f>
        <v>12130559.128494414</v>
      </c>
      <c r="AC6" s="2">
        <v>9620316.8436758444</v>
      </c>
      <c r="AD6" s="21">
        <f t="shared" ref="AD6:AD8" si="34">AC6/AC$194</f>
        <v>5.2485747468593198E-2</v>
      </c>
      <c r="AE6" s="38">
        <f t="shared" ref="AE6:AE8" si="35">AD6*AE$202</f>
        <v>12345737.549392372</v>
      </c>
      <c r="AF6" s="2">
        <v>9766545.6596997175</v>
      </c>
      <c r="AG6" s="21">
        <f t="shared" ref="AG6:AG8" si="36">AF6/AF$194</f>
        <v>5.2699099663529439E-2</v>
      </c>
      <c r="AH6" s="38">
        <f t="shared" ref="AH6:AH8" si="37">AG6*AH$202</f>
        <v>12619049.018974761</v>
      </c>
      <c r="AI6" s="2">
        <v>14872495.730590731</v>
      </c>
      <c r="AJ6" s="21">
        <f t="shared" ref="AJ6:AJ8" si="38">AI6/AI$194</f>
        <v>5.3086341542994575E-2</v>
      </c>
      <c r="AK6" s="38">
        <f t="shared" ref="AK6:AK8" si="39">AJ6*AK$202</f>
        <v>12940587.887974938</v>
      </c>
      <c r="AL6" s="2">
        <v>99549656.805397257</v>
      </c>
    </row>
    <row r="7" spans="1:38" ht="12.75" x14ac:dyDescent="0.2">
      <c r="A7" s="8" t="s">
        <v>16</v>
      </c>
      <c r="B7" s="8" t="s">
        <v>17</v>
      </c>
      <c r="C7" s="8" t="s">
        <v>36</v>
      </c>
      <c r="D7" s="8" t="s">
        <v>190</v>
      </c>
      <c r="E7" s="8" t="s">
        <v>190</v>
      </c>
      <c r="F7" s="8" t="s">
        <v>189</v>
      </c>
      <c r="G7" s="8" t="s">
        <v>1014</v>
      </c>
      <c r="H7" s="34">
        <v>1527699.9823516023</v>
      </c>
      <c r="I7" s="21">
        <f t="shared" si="20"/>
        <v>9.8706143101912197E-3</v>
      </c>
      <c r="J7" s="38">
        <f t="shared" si="21"/>
        <v>1853538.1347361158</v>
      </c>
      <c r="K7" s="2">
        <v>1573530.9818221503</v>
      </c>
      <c r="L7" s="21">
        <f t="shared" si="22"/>
        <v>9.8706143101912197E-3</v>
      </c>
      <c r="M7" s="38">
        <f t="shared" si="23"/>
        <v>2047618.1281994786</v>
      </c>
      <c r="N7" s="2">
        <v>1614442.7873495263</v>
      </c>
      <c r="O7" s="21">
        <f t="shared" si="24"/>
        <v>9.6057829567061884E-3</v>
      </c>
      <c r="P7" s="38">
        <f t="shared" si="25"/>
        <v>2044489.6377867514</v>
      </c>
      <c r="Q7" s="2">
        <v>2468844.2025761474</v>
      </c>
      <c r="R7" s="21">
        <f t="shared" si="26"/>
        <v>9.9022354562219132E-3</v>
      </c>
      <c r="S7" s="38">
        <f t="shared" si="27"/>
        <v>2156060.914986264</v>
      </c>
      <c r="T7" s="2">
        <v>1678814.0577517804</v>
      </c>
      <c r="U7" s="21">
        <f t="shared" si="28"/>
        <v>9.6699979994681867E-3</v>
      </c>
      <c r="V7" s="38">
        <f t="shared" si="29"/>
        <v>2149710.1364292828</v>
      </c>
      <c r="W7" s="2">
        <v>1712390.338906816</v>
      </c>
      <c r="X7" s="21">
        <f t="shared" si="30"/>
        <v>9.6323900425316321E-3</v>
      </c>
      <c r="Y7" s="38">
        <f t="shared" si="31"/>
        <v>2184176.6093179467</v>
      </c>
      <c r="Z7" s="2">
        <v>1743213.3650071386</v>
      </c>
      <c r="AA7" s="21">
        <f t="shared" si="32"/>
        <v>9.6936715064839165E-3</v>
      </c>
      <c r="AB7" s="38">
        <f t="shared" si="33"/>
        <v>2237637.6888576588</v>
      </c>
      <c r="AC7" s="2">
        <v>1774591.2055772671</v>
      </c>
      <c r="AD7" s="21">
        <f t="shared" si="34"/>
        <v>9.6816713409125597E-3</v>
      </c>
      <c r="AE7" s="38">
        <f t="shared" si="35"/>
        <v>2277330.1168265506</v>
      </c>
      <c r="AF7" s="2">
        <v>1801564.9919020417</v>
      </c>
      <c r="AG7" s="21">
        <f t="shared" si="36"/>
        <v>9.7210268980087219E-3</v>
      </c>
      <c r="AH7" s="38">
        <f t="shared" si="37"/>
        <v>2327745.9334971984</v>
      </c>
      <c r="AI7" s="2">
        <v>2743423.1696684295</v>
      </c>
      <c r="AJ7" s="21">
        <f t="shared" si="38"/>
        <v>9.792458644477843E-3</v>
      </c>
      <c r="AK7" s="38">
        <f t="shared" si="39"/>
        <v>2387057.9144278555</v>
      </c>
      <c r="AL7" s="2">
        <v>18638515.0829129</v>
      </c>
    </row>
    <row r="8" spans="1:38" ht="12.75" x14ac:dyDescent="0.2">
      <c r="A8" s="8" t="s">
        <v>16</v>
      </c>
      <c r="B8" s="8" t="s">
        <v>17</v>
      </c>
      <c r="C8" s="8" t="s">
        <v>36</v>
      </c>
      <c r="D8" s="8" t="s">
        <v>19</v>
      </c>
      <c r="E8" s="8" t="s">
        <v>20</v>
      </c>
      <c r="F8" s="8" t="s">
        <v>189</v>
      </c>
      <c r="G8" s="8" t="s">
        <v>1015</v>
      </c>
      <c r="H8" s="34">
        <v>4199576.997355788</v>
      </c>
      <c r="I8" s="21">
        <f t="shared" si="20"/>
        <v>2.7133864820134287E-2</v>
      </c>
      <c r="J8" s="38">
        <f t="shared" si="21"/>
        <v>5095291.0939865606</v>
      </c>
      <c r="K8" s="2">
        <v>4325564.3072764622</v>
      </c>
      <c r="L8" s="21">
        <f t="shared" si="22"/>
        <v>2.7133864820134294E-2</v>
      </c>
      <c r="M8" s="38">
        <f t="shared" si="23"/>
        <v>5628808.0708874064</v>
      </c>
      <c r="N8" s="2">
        <v>4438028.9792656507</v>
      </c>
      <c r="O8" s="21">
        <f t="shared" si="24"/>
        <v>2.6405855608166936E-2</v>
      </c>
      <c r="P8" s="38">
        <f t="shared" si="25"/>
        <v>5620207.9946122766</v>
      </c>
      <c r="Q8" s="2">
        <v>6786739.1784833781</v>
      </c>
      <c r="R8" s="21">
        <f t="shared" si="26"/>
        <v>2.7220789896415385E-2</v>
      </c>
      <c r="S8" s="38">
        <f t="shared" si="27"/>
        <v>5926912.3048207732</v>
      </c>
      <c r="T8" s="2">
        <v>4614982.6413686965</v>
      </c>
      <c r="U8" s="21">
        <f t="shared" si="28"/>
        <v>2.6582379807671336E-2</v>
      </c>
      <c r="V8" s="38">
        <f t="shared" si="29"/>
        <v>5909454.3066200102</v>
      </c>
      <c r="W8" s="2">
        <v>4707282.2941960702</v>
      </c>
      <c r="X8" s="21">
        <f t="shared" si="30"/>
        <v>2.6478997263524682E-2</v>
      </c>
      <c r="Y8" s="38">
        <f t="shared" si="31"/>
        <v>6004201.0555860028</v>
      </c>
      <c r="Z8" s="2">
        <v>4792013.3754915996</v>
      </c>
      <c r="AA8" s="21">
        <f t="shared" si="32"/>
        <v>2.6647457189787269E-2</v>
      </c>
      <c r="AB8" s="38">
        <f t="shared" si="33"/>
        <v>6151163.1047333675</v>
      </c>
      <c r="AC8" s="2">
        <v>4878269.6162504489</v>
      </c>
      <c r="AD8" s="21">
        <f t="shared" si="34"/>
        <v>2.6614469286481573E-2</v>
      </c>
      <c r="AE8" s="38">
        <f t="shared" si="35"/>
        <v>6260275.7638896313</v>
      </c>
      <c r="AF8" s="2">
        <v>4952419.3144174563</v>
      </c>
      <c r="AG8" s="21">
        <f t="shared" si="36"/>
        <v>2.6722655903100339E-2</v>
      </c>
      <c r="AH8" s="38">
        <f t="shared" si="37"/>
        <v>6398866.5254520224</v>
      </c>
      <c r="AI8" s="2">
        <v>7541544.1319949031</v>
      </c>
      <c r="AJ8" s="21">
        <f t="shared" si="38"/>
        <v>2.6919018489222058E-2</v>
      </c>
      <c r="AK8" s="38">
        <f t="shared" si="39"/>
        <v>6561912.4334584968</v>
      </c>
      <c r="AL8" s="2">
        <v>51236420.836100452</v>
      </c>
    </row>
    <row r="9" spans="1:38" ht="12.75" x14ac:dyDescent="0.2">
      <c r="A9" s="8" t="s">
        <v>16</v>
      </c>
      <c r="B9" s="8" t="s">
        <v>17</v>
      </c>
      <c r="C9" s="8" t="s">
        <v>36</v>
      </c>
      <c r="D9" s="8" t="s">
        <v>45</v>
      </c>
      <c r="E9" s="8" t="s">
        <v>46</v>
      </c>
      <c r="F9" s="8" t="s">
        <v>188</v>
      </c>
      <c r="G9" s="8" t="s">
        <v>1016</v>
      </c>
      <c r="H9" s="34">
        <v>1844262.3181615919</v>
      </c>
      <c r="I9" s="21">
        <f>H9/H$195</f>
        <v>5.6038834639669469E-3</v>
      </c>
      <c r="J9" s="38">
        <f>I9*J$203</f>
        <v>2077555.6487052818</v>
      </c>
      <c r="K9" s="2">
        <v>1899590.1877064398</v>
      </c>
      <c r="L9" s="21">
        <f>K9/K$195</f>
        <v>5.6111038493229827E-3</v>
      </c>
      <c r="M9" s="38">
        <f>L9*M$203</f>
        <v>1847412.9389458019</v>
      </c>
      <c r="N9" s="2">
        <v>1948979.5325868072</v>
      </c>
      <c r="O9" s="21">
        <f>N9/N$195</f>
        <v>8.5679018865293926E-3</v>
      </c>
      <c r="P9" s="38">
        <f>O9*P$203</f>
        <v>3429040.6443906068</v>
      </c>
      <c r="Q9" s="2">
        <v>3003718.899491604</v>
      </c>
      <c r="R9" s="21">
        <f>Q9/Q$195</f>
        <v>9.0354352306282314E-3</v>
      </c>
      <c r="S9" s="38">
        <f>R9*S$203</f>
        <v>4263290.8835571259</v>
      </c>
      <c r="T9" s="2">
        <v>2062553.6443175678</v>
      </c>
      <c r="U9" s="21">
        <f>T9/T$195</f>
        <v>8.5568448504961727E-3</v>
      </c>
      <c r="V9" s="38">
        <f>U9*V$203</f>
        <v>4122259.1257993542</v>
      </c>
      <c r="W9" s="2">
        <v>2120305.1463584597</v>
      </c>
      <c r="X9" s="21">
        <f>W9/W$195</f>
        <v>8.1264391063386645E-3</v>
      </c>
      <c r="Y9" s="38">
        <f>X9*Y$203</f>
        <v>3993209.4269108539</v>
      </c>
      <c r="Z9" s="2">
        <v>2179673.6904564966</v>
      </c>
      <c r="AA9" s="21">
        <f>Z9/Z$195</f>
        <v>8.7862406635139511E-3</v>
      </c>
      <c r="AB9" s="38">
        <f>AA9*AB$203</f>
        <v>4395139.6128236102</v>
      </c>
      <c r="AC9" s="2">
        <v>2218907.8168847137</v>
      </c>
      <c r="AD9" s="21">
        <f>AC9/AC$195</f>
        <v>8.5934748997249042E-3</v>
      </c>
      <c r="AE9" s="38">
        <f>AD9*AE$203</f>
        <v>4380387.9650623016</v>
      </c>
      <c r="AF9" s="2">
        <v>2252635.2157013617</v>
      </c>
      <c r="AG9" s="21">
        <f>AF9/AF$195</f>
        <v>8.6993375960346137E-3</v>
      </c>
      <c r="AH9" s="38">
        <f>AG9*AH$203</f>
        <v>4514168.0971573526</v>
      </c>
      <c r="AI9" s="2">
        <v>3430312.9064700333</v>
      </c>
      <c r="AJ9" s="21">
        <f>AI9/AI$195</f>
        <v>8.2667640896959757E-3</v>
      </c>
      <c r="AK9" s="38">
        <f>AJ9*AK$203</f>
        <v>4366916.2658132585</v>
      </c>
      <c r="AL9" s="2">
        <v>22960939.358135074</v>
      </c>
    </row>
    <row r="10" spans="1:38" ht="12.75" x14ac:dyDescent="0.2">
      <c r="A10" s="8" t="s">
        <v>16</v>
      </c>
      <c r="B10" s="8" t="s">
        <v>17</v>
      </c>
      <c r="C10" s="8" t="s">
        <v>36</v>
      </c>
      <c r="D10" s="8" t="s">
        <v>45</v>
      </c>
      <c r="E10" s="8" t="s">
        <v>46</v>
      </c>
      <c r="F10" s="8" t="s">
        <v>189</v>
      </c>
      <c r="G10" s="8" t="s">
        <v>1017</v>
      </c>
      <c r="H10" s="34">
        <v>4197631.2279621232</v>
      </c>
      <c r="I10" s="21">
        <f>H10/H$194</f>
        <v>2.7121293019752465E-2</v>
      </c>
      <c r="J10" s="38">
        <f>I10*J$202</f>
        <v>5092930.3177777342</v>
      </c>
      <c r="K10" s="2">
        <v>4323560.1648009866</v>
      </c>
      <c r="L10" s="21">
        <f>K10/K$194</f>
        <v>2.7121293019752465E-2</v>
      </c>
      <c r="M10" s="38">
        <f>L10*M$202</f>
        <v>5626200.1028768076</v>
      </c>
      <c r="N10" s="2">
        <v>4435972.7290858123</v>
      </c>
      <c r="O10" s="21">
        <f>N10/N$194</f>
        <v>2.639362111271935E-2</v>
      </c>
      <c r="P10" s="38">
        <f>O10*P$202</f>
        <v>5617604.0112327989</v>
      </c>
      <c r="Q10" s="2">
        <v>6783594.7119371984</v>
      </c>
      <c r="R10" s="21">
        <f>Q10/Q$194</f>
        <v>2.7208177821464688E-2</v>
      </c>
      <c r="S10" s="38">
        <f>R10*S$202</f>
        <v>5924166.2176389145</v>
      </c>
      <c r="T10" s="2">
        <v>4612844.4041172946</v>
      </c>
      <c r="U10" s="21">
        <f>T10/T$194</f>
        <v>2.6570063524132981E-2</v>
      </c>
      <c r="V10" s="38">
        <f>U10*V$202</f>
        <v>5906716.3081667535</v>
      </c>
      <c r="W10" s="2">
        <v>4705101.2921996405</v>
      </c>
      <c r="X10" s="21">
        <f>W10/W$194</f>
        <v>2.6466728879712985E-2</v>
      </c>
      <c r="Y10" s="38">
        <f>X10*Y$202</f>
        <v>6001419.1585866781</v>
      </c>
      <c r="Z10" s="2">
        <v>4789793.1154592345</v>
      </c>
      <c r="AA10" s="21">
        <f>Z10/Z$194</f>
        <v>2.6635110754264939E-2</v>
      </c>
      <c r="AB10" s="38">
        <f>AA10*AB$202</f>
        <v>6148313.1165292766</v>
      </c>
      <c r="AC10" s="2">
        <v>4876009.3915375005</v>
      </c>
      <c r="AD10" s="21">
        <f>AC10/AC$194</f>
        <v>2.6602138135082533E-2</v>
      </c>
      <c r="AE10" s="38">
        <f>AD10*AE$202</f>
        <v>6257375.2210528264</v>
      </c>
      <c r="AF10" s="2">
        <v>4950124.7342888713</v>
      </c>
      <c r="AG10" s="21">
        <f>AF10/AF$194</f>
        <v>2.6710274626127333E-2</v>
      </c>
      <c r="AH10" s="38">
        <f>AG10*AH$202</f>
        <v>6395901.770038032</v>
      </c>
      <c r="AI10" s="2">
        <v>7538049.9453750942</v>
      </c>
      <c r="AJ10" s="21">
        <f>AI10/AI$194</f>
        <v>2.6906546232536008E-2</v>
      </c>
      <c r="AK10" s="38">
        <f>AJ10*AK$202</f>
        <v>6558872.1347843735</v>
      </c>
      <c r="AL10" s="2">
        <v>51212681.716763757</v>
      </c>
    </row>
    <row r="11" spans="1:38" ht="12.75" x14ac:dyDescent="0.2">
      <c r="A11" s="8" t="s">
        <v>16</v>
      </c>
      <c r="B11" s="8" t="s">
        <v>17</v>
      </c>
      <c r="C11" s="8" t="s">
        <v>36</v>
      </c>
      <c r="D11" s="8" t="s">
        <v>45</v>
      </c>
      <c r="E11" s="8" t="s">
        <v>46</v>
      </c>
      <c r="F11" s="8" t="s">
        <v>191</v>
      </c>
      <c r="G11" s="8" t="s">
        <v>1018</v>
      </c>
      <c r="H11" s="34">
        <v>6917944.8300000001</v>
      </c>
      <c r="I11" s="21">
        <f>H11/H$196</f>
        <v>0.31216547176619597</v>
      </c>
      <c r="J11" s="38">
        <f>I11*J$204</f>
        <v>6938887.2030858723</v>
      </c>
      <c r="K11" s="2">
        <v>7090893.4507500008</v>
      </c>
      <c r="L11" s="21">
        <f>K11/K$196</f>
        <v>0.31216547176619591</v>
      </c>
      <c r="M11" s="38">
        <f>L11*M$204</f>
        <v>8994627.4852811694</v>
      </c>
      <c r="N11" s="2">
        <v>7239802.2132157516</v>
      </c>
      <c r="O11" s="21">
        <f>N11/N$196</f>
        <v>0.46020938789027138</v>
      </c>
      <c r="P11" s="38">
        <f>O11*P$204</f>
        <v>13605081.617526427</v>
      </c>
      <c r="Q11" s="2">
        <v>11055177.979580453</v>
      </c>
      <c r="R11" s="21">
        <f>Q11/Q$196</f>
        <v>0.46239540360277748</v>
      </c>
      <c r="S11" s="38">
        <f>R11*S$204</f>
        <v>13984109.628073601</v>
      </c>
      <c r="T11" s="2">
        <v>7469757.2402057098</v>
      </c>
      <c r="U11" s="21">
        <f>T11/T$196</f>
        <v>0.46048995575547497</v>
      </c>
      <c r="V11" s="38">
        <f>U11*V$204</f>
        <v>14218939.794138892</v>
      </c>
      <c r="W11" s="2">
        <v>7559394.3270881781</v>
      </c>
      <c r="X11" s="21">
        <f>W11/W$196</f>
        <v>0.45999382771322178</v>
      </c>
      <c r="Y11" s="38">
        <f>X11*Y$204</f>
        <v>14487692.835115615</v>
      </c>
      <c r="Z11" s="2">
        <v>7634988.2703590598</v>
      </c>
      <c r="AA11" s="21">
        <f>Z11/Z$196</f>
        <v>0.46239540360277742</v>
      </c>
      <c r="AB11" s="38">
        <f>AA11*AB$204</f>
        <v>14825471.412885362</v>
      </c>
      <c r="AC11" s="2">
        <v>7711338.15306265</v>
      </c>
      <c r="AD11" s="21">
        <f>AC11/AC$196</f>
        <v>0.46083928747959163</v>
      </c>
      <c r="AE11" s="38">
        <f>AD11*AE$204</f>
        <v>15056314.707240207</v>
      </c>
      <c r="AF11" s="2">
        <v>7751437.1114585763</v>
      </c>
      <c r="AG11" s="21">
        <f>AF11/AF$196</f>
        <v>0.46204212264865502</v>
      </c>
      <c r="AH11" s="38">
        <f>AG11*AH$204</f>
        <v>15367334.186423237</v>
      </c>
      <c r="AI11" s="2">
        <v>11687616.876657244</v>
      </c>
      <c r="AJ11" s="21">
        <f>AI11/AI$196</f>
        <v>0.46239540360277753</v>
      </c>
      <c r="AK11" s="38">
        <f>AJ11*AK$204</f>
        <v>15655907.682109168</v>
      </c>
      <c r="AL11" s="2">
        <v>82118350.452377632</v>
      </c>
    </row>
    <row r="12" spans="1:38" ht="12.75" x14ac:dyDescent="0.2">
      <c r="A12" s="8" t="s">
        <v>16</v>
      </c>
      <c r="B12" s="8" t="s">
        <v>17</v>
      </c>
      <c r="C12" s="8" t="s">
        <v>36</v>
      </c>
      <c r="D12" s="8" t="s">
        <v>50</v>
      </c>
      <c r="E12" s="8" t="s">
        <v>51</v>
      </c>
      <c r="F12" s="8" t="s">
        <v>188</v>
      </c>
      <c r="G12" s="8" t="s">
        <v>1019</v>
      </c>
      <c r="H12" s="34">
        <v>0</v>
      </c>
      <c r="I12" s="21">
        <f>H12/H$195</f>
        <v>0</v>
      </c>
      <c r="J12" s="38">
        <f>I12*J$203</f>
        <v>0</v>
      </c>
      <c r="K12" s="2">
        <v>0</v>
      </c>
      <c r="L12" s="21">
        <f>K12/K$195</f>
        <v>0</v>
      </c>
      <c r="M12" s="38">
        <f>L12*M$203</f>
        <v>0</v>
      </c>
      <c r="N12" s="2">
        <v>0</v>
      </c>
      <c r="O12" s="21">
        <f>N12/N$195</f>
        <v>0</v>
      </c>
      <c r="P12" s="38">
        <f>O12*P$203</f>
        <v>0</v>
      </c>
      <c r="Q12" s="2">
        <v>0</v>
      </c>
      <c r="R12" s="21">
        <f>Q12/Q$195</f>
        <v>0</v>
      </c>
      <c r="S12" s="38">
        <f>R12*S$203</f>
        <v>0</v>
      </c>
      <c r="T12" s="2">
        <v>0</v>
      </c>
      <c r="U12" s="21">
        <f>T12/T$195</f>
        <v>0</v>
      </c>
      <c r="V12" s="38">
        <f>U12*V$203</f>
        <v>0</v>
      </c>
      <c r="W12" s="2">
        <v>0</v>
      </c>
      <c r="X12" s="21">
        <f>W12/W$195</f>
        <v>0</v>
      </c>
      <c r="Y12" s="38">
        <f>X12*Y$203</f>
        <v>0</v>
      </c>
      <c r="Z12" s="2">
        <v>0</v>
      </c>
      <c r="AA12" s="21">
        <f>Z12/Z$195</f>
        <v>0</v>
      </c>
      <c r="AB12" s="38">
        <f>AA12*AB$203</f>
        <v>0</v>
      </c>
      <c r="AC12" s="2">
        <v>0</v>
      </c>
      <c r="AD12" s="21">
        <f>AC12/AC$195</f>
        <v>0</v>
      </c>
      <c r="AE12" s="38">
        <f>AD12*AE$203</f>
        <v>0</v>
      </c>
      <c r="AF12" s="2">
        <v>0</v>
      </c>
      <c r="AG12" s="21">
        <f>AF12/AF$195</f>
        <v>0</v>
      </c>
      <c r="AH12" s="38">
        <f>AG12*AH$203</f>
        <v>0</v>
      </c>
      <c r="AI12" s="2">
        <v>0</v>
      </c>
      <c r="AJ12" s="21">
        <f>AI12/AI$195</f>
        <v>0</v>
      </c>
      <c r="AK12" s="38">
        <f>AJ12*AK$203</f>
        <v>0</v>
      </c>
      <c r="AL12" s="2">
        <v>0</v>
      </c>
    </row>
    <row r="13" spans="1:38" ht="12.75" x14ac:dyDescent="0.2">
      <c r="A13" s="8" t="s">
        <v>16</v>
      </c>
      <c r="B13" s="8" t="s">
        <v>17</v>
      </c>
      <c r="C13" s="8" t="s">
        <v>36</v>
      </c>
      <c r="D13" s="8" t="s">
        <v>50</v>
      </c>
      <c r="E13" s="8" t="s">
        <v>51</v>
      </c>
      <c r="F13" s="8" t="s">
        <v>189</v>
      </c>
      <c r="G13" s="8" t="s">
        <v>1020</v>
      </c>
      <c r="H13" s="34">
        <v>3869404.9041876053</v>
      </c>
      <c r="I13" s="21">
        <f>H13/H$194</f>
        <v>2.5000591647848822E-2</v>
      </c>
      <c r="J13" s="38">
        <f>I13*J$202</f>
        <v>4694697.6706817858</v>
      </c>
      <c r="K13" s="2">
        <v>3985487.0513132336</v>
      </c>
      <c r="L13" s="21">
        <f>K13/K$194</f>
        <v>2.5000591647848826E-2</v>
      </c>
      <c r="M13" s="38">
        <f>L13*M$202</f>
        <v>5186269.3714000471</v>
      </c>
      <c r="N13" s="2">
        <v>4089109.7146473778</v>
      </c>
      <c r="O13" s="21">
        <f>N13/N$194</f>
        <v>2.4329818754089783E-2</v>
      </c>
      <c r="P13" s="38">
        <f>O13*P$202</f>
        <v>5178345.4358855123</v>
      </c>
      <c r="Q13" s="2">
        <v>6253163.5631875359</v>
      </c>
      <c r="R13" s="21">
        <f>Q13/Q$194</f>
        <v>2.5080682646697206E-2</v>
      </c>
      <c r="S13" s="38">
        <f>R13*S$202</f>
        <v>5460936.5546585359</v>
      </c>
      <c r="T13" s="2">
        <v>4252151.2229675241</v>
      </c>
      <c r="U13" s="21">
        <f>T13/T$194</f>
        <v>2.4492464564298801E-2</v>
      </c>
      <c r="V13" s="38">
        <f>U13*V$202</f>
        <v>5444851.1098868679</v>
      </c>
      <c r="W13" s="2">
        <v>4337194.2474268749</v>
      </c>
      <c r="X13" s="21">
        <f>W13/W$194</f>
        <v>2.4397209988997453E-2</v>
      </c>
      <c r="Y13" s="38">
        <f>X13*Y$202</f>
        <v>5532148.8389999866</v>
      </c>
      <c r="Z13" s="2">
        <v>4415263.7438805588</v>
      </c>
      <c r="AA13" s="21">
        <f>Z13/Z$194</f>
        <v>2.4552425541718586E-2</v>
      </c>
      <c r="AB13" s="38">
        <f>AA13*AB$202</f>
        <v>5667556.6846135613</v>
      </c>
      <c r="AC13" s="2">
        <v>4494738.491270409</v>
      </c>
      <c r="AD13" s="21">
        <f>AC13/AC$194</f>
        <v>2.4522031157972246E-2</v>
      </c>
      <c r="AE13" s="38">
        <f>AD13*AE$202</f>
        <v>5768090.8714409554</v>
      </c>
      <c r="AF13" s="2">
        <v>4563058.5163377197</v>
      </c>
      <c r="AG13" s="21">
        <f>AF13/AF$194</f>
        <v>2.4621712108024048E-2</v>
      </c>
      <c r="AH13" s="38">
        <f>AG13*AH$202</f>
        <v>5895785.5827898039</v>
      </c>
      <c r="AI13" s="2">
        <v>6948625.5086790808</v>
      </c>
      <c r="AJ13" s="21">
        <f>AI13/AI$194</f>
        <v>2.4802636604518993E-2</v>
      </c>
      <c r="AK13" s="38">
        <f>AJ13*AK$202</f>
        <v>6046012.7691100473</v>
      </c>
      <c r="AL13" s="2">
        <v>47208196.963897929</v>
      </c>
    </row>
    <row r="14" spans="1:38" ht="12.75" x14ac:dyDescent="0.2">
      <c r="A14" s="8" t="s">
        <v>16</v>
      </c>
      <c r="B14" s="8" t="s">
        <v>17</v>
      </c>
      <c r="C14" s="8" t="s">
        <v>36</v>
      </c>
      <c r="D14" s="8" t="s">
        <v>50</v>
      </c>
      <c r="E14" s="8" t="s">
        <v>51</v>
      </c>
      <c r="F14" s="8" t="s">
        <v>192</v>
      </c>
      <c r="G14" s="8" t="s">
        <v>1021</v>
      </c>
      <c r="H14" s="34">
        <v>26059598.07625531</v>
      </c>
      <c r="I14" s="21">
        <f t="shared" ref="I14:I15" si="40">H14/H$193</f>
        <v>2.9830512116526389E-2</v>
      </c>
      <c r="J14" s="38">
        <f t="shared" ref="J14:J15" si="41">I14*J$201</f>
        <v>25130855.904706903</v>
      </c>
      <c r="K14" s="2">
        <v>26841386.018542971</v>
      </c>
      <c r="L14" s="21">
        <f t="shared" ref="L14:L15" ca="1" si="42">K14/K$193</f>
        <v>2.9875972129900469E-2</v>
      </c>
      <c r="M14" s="38">
        <f t="shared" ref="M14:M15" ca="1" si="43">L14*M$201</f>
        <v>26343646.961490668</v>
      </c>
      <c r="N14" s="2">
        <v>27539262.05502509</v>
      </c>
      <c r="O14" s="21">
        <f t="shared" ref="O14:O15" ca="1" si="44">N14/N$193</f>
        <v>3.0580264801186235E-2</v>
      </c>
      <c r="P14" s="38">
        <f t="shared" ref="P14:P15" ca="1" si="45">O14*P$201</f>
        <v>27665750.406865481</v>
      </c>
      <c r="Q14" s="2">
        <v>42052453.158023313</v>
      </c>
      <c r="R14" s="21">
        <f t="shared" ref="R14:R15" ca="1" si="46">Q14/Q$193</f>
        <v>3.1015458294379548E-2</v>
      </c>
      <c r="S14" s="38">
        <f t="shared" ref="S14:S15" ca="1" si="47">R14*S$201</f>
        <v>28704834.637006443</v>
      </c>
      <c r="T14" s="2">
        <v>28532741.32753766</v>
      </c>
      <c r="U14" s="21">
        <f t="shared" ref="U14:U15" ca="1" si="48">T14/T$193</f>
        <v>3.062413503194656E-2</v>
      </c>
      <c r="V14" s="38">
        <f t="shared" ref="V14:V15" ca="1" si="49">U14*V$201</f>
        <v>28937860.560964338</v>
      </c>
      <c r="W14" s="2">
        <v>29103396.154088411</v>
      </c>
      <c r="X14" s="21">
        <f t="shared" ref="X14:X15" ca="1" si="50">W14/W$193</f>
        <v>3.0472273119095093E-2</v>
      </c>
      <c r="Y14" s="38">
        <f t="shared" ref="Y14:Y15" ca="1" si="51">X14*Y$201</f>
        <v>29370247.922832858</v>
      </c>
      <c r="Z14" s="2">
        <v>29627257.284862004</v>
      </c>
      <c r="AA14" s="21">
        <f t="shared" ref="AA14:AA15" ca="1" si="52">Z14/Z$193</f>
        <v>3.0651794062959242E-2</v>
      </c>
      <c r="AB14" s="38">
        <f t="shared" ref="AB14:AB15" ca="1" si="53">AA14*AB$201</f>
        <v>30075055.495838284</v>
      </c>
      <c r="AC14" s="2">
        <v>30160547.915989522</v>
      </c>
      <c r="AD14" s="21">
        <f t="shared" ref="AD14:AD15" ca="1" si="54">AC14/AC$193</f>
        <v>3.0686135935064075E-2</v>
      </c>
      <c r="AE14" s="38">
        <f t="shared" ref="AE14:AE15" ca="1" si="55">AD14*AE$201</f>
        <v>30680817.4704463</v>
      </c>
      <c r="AF14" s="2">
        <v>30618988.244312566</v>
      </c>
      <c r="AG14" s="21">
        <f t="shared" ref="AG14:AG15" ca="1" si="56">AF14/AF$193</f>
        <v>3.0708850066387138E-2</v>
      </c>
      <c r="AH14" s="38">
        <f t="shared" ref="AH14:AH15" ca="1" si="57">AG14*AH$201</f>
        <v>31256191.162872069</v>
      </c>
      <c r="AI14" s="2">
        <v>46626595.298439175</v>
      </c>
      <c r="AJ14" s="21">
        <f t="shared" ref="AJ14:AJ15" ca="1" si="58">AI14/AI$193</f>
        <v>3.1099392318263391E-2</v>
      </c>
      <c r="AK14" s="38">
        <f t="shared" ref="AK14:AK15" ca="1" si="59">AJ14*AK$201</f>
        <v>32223460.765733</v>
      </c>
      <c r="AL14" s="2">
        <v>317162225.53307605</v>
      </c>
    </row>
    <row r="15" spans="1:38" ht="12.75" x14ac:dyDescent="0.2">
      <c r="A15" s="8" t="s">
        <v>16</v>
      </c>
      <c r="B15" s="8" t="s">
        <v>17</v>
      </c>
      <c r="C15" s="8" t="s">
        <v>36</v>
      </c>
      <c r="D15" s="8" t="s">
        <v>52</v>
      </c>
      <c r="E15" s="8" t="s">
        <v>53</v>
      </c>
      <c r="F15" s="8" t="s">
        <v>192</v>
      </c>
      <c r="G15" s="8" t="s">
        <v>1022</v>
      </c>
      <c r="H15" s="34">
        <v>42227609.560055859</v>
      </c>
      <c r="I15" s="21">
        <f t="shared" si="40"/>
        <v>4.8338090823471486E-2</v>
      </c>
      <c r="J15" s="38">
        <f t="shared" si="41"/>
        <v>40722653.048933022</v>
      </c>
      <c r="K15" s="2">
        <v>43494437.846857533</v>
      </c>
      <c r="L15" s="21">
        <f t="shared" ca="1" si="42"/>
        <v>4.8411755340082144E-2</v>
      </c>
      <c r="M15" s="38">
        <f t="shared" ca="1" si="43"/>
        <v>42687889.315199777</v>
      </c>
      <c r="N15" s="2">
        <v>44625293.230875827</v>
      </c>
      <c r="O15" s="21">
        <f t="shared" ca="1" si="44"/>
        <v>4.9553008395944224E-2</v>
      </c>
      <c r="P15" s="38">
        <f t="shared" ca="1" si="45"/>
        <v>44830258.047285557</v>
      </c>
      <c r="Q15" s="2">
        <v>68142822.763547391</v>
      </c>
      <c r="R15" s="21">
        <f t="shared" ca="1" si="46"/>
        <v>5.0258206567453577E-2</v>
      </c>
      <c r="S15" s="38">
        <f t="shared" ca="1" si="47"/>
        <v>46514015.526660651</v>
      </c>
      <c r="T15" s="2">
        <v>46235151.322428472</v>
      </c>
      <c r="U15" s="21">
        <f t="shared" ca="1" si="48"/>
        <v>4.9624096789956898E-2</v>
      </c>
      <c r="V15" s="38">
        <f t="shared" ca="1" si="49"/>
        <v>46891616.428465486</v>
      </c>
      <c r="W15" s="2">
        <v>47159854.348877043</v>
      </c>
      <c r="X15" s="21">
        <f t="shared" ca="1" si="50"/>
        <v>4.9378016035212718E-2</v>
      </c>
      <c r="Y15" s="38">
        <f t="shared" ca="1" si="51"/>
        <v>47592267.476200685</v>
      </c>
      <c r="Z15" s="2">
        <v>48008731.727156833</v>
      </c>
      <c r="AA15" s="21">
        <f t="shared" ca="1" si="52"/>
        <v>4.9668916159733643E-2</v>
      </c>
      <c r="AB15" s="38">
        <f t="shared" ca="1" si="53"/>
        <v>48734354.891392335</v>
      </c>
      <c r="AC15" s="2">
        <v>48872888.898245655</v>
      </c>
      <c r="AD15" s="21">
        <f t="shared" ca="1" si="54"/>
        <v>4.9724564568529542E-2</v>
      </c>
      <c r="AE15" s="38">
        <f t="shared" ca="1" si="55"/>
        <v>49715946.398491725</v>
      </c>
      <c r="AF15" s="2">
        <v>49615756.809498996</v>
      </c>
      <c r="AG15" s="21">
        <f t="shared" ca="1" si="56"/>
        <v>4.9761371102007131E-2</v>
      </c>
      <c r="AH15" s="38">
        <f t="shared" ca="1" si="57"/>
        <v>50648295.990522511</v>
      </c>
      <c r="AI15" s="2">
        <v>75554874.469505072</v>
      </c>
      <c r="AJ15" s="21">
        <f t="shared" ca="1" si="58"/>
        <v>5.0394215310911573E-2</v>
      </c>
      <c r="AK15" s="38">
        <f t="shared" ca="1" si="59"/>
        <v>52215683.292866945</v>
      </c>
      <c r="AL15" s="2">
        <v>513937420.97704864</v>
      </c>
    </row>
    <row r="16" spans="1:38" ht="12.75" x14ac:dyDescent="0.2">
      <c r="A16" s="8" t="s">
        <v>16</v>
      </c>
      <c r="B16" s="8" t="s">
        <v>17</v>
      </c>
      <c r="C16" s="8" t="s">
        <v>36</v>
      </c>
      <c r="D16" s="8" t="s">
        <v>52</v>
      </c>
      <c r="E16" s="8" t="s">
        <v>54</v>
      </c>
      <c r="F16" s="8" t="s">
        <v>188</v>
      </c>
      <c r="G16" s="8" t="s">
        <v>1023</v>
      </c>
      <c r="H16" s="34">
        <v>11901096.099287713</v>
      </c>
      <c r="I16" s="21">
        <f>H16/H$195</f>
        <v>3.6162076824494578E-2</v>
      </c>
      <c r="J16" s="38">
        <f>I16*J$203</f>
        <v>13406546.988123842</v>
      </c>
      <c r="K16" s="2">
        <v>12258128.982266344</v>
      </c>
      <c r="L16" s="21">
        <f>K16/K$195</f>
        <v>3.6208670250576031E-2</v>
      </c>
      <c r="M16" s="38">
        <f>L16*M$203</f>
        <v>11921427.177115444</v>
      </c>
      <c r="N16" s="2">
        <v>12576840.335805269</v>
      </c>
      <c r="O16" s="21">
        <f>N16/N$195</f>
        <v>5.5289002392294465E-2</v>
      </c>
      <c r="P16" s="38">
        <f>O16*P$203</f>
        <v>22127731.95839943</v>
      </c>
      <c r="Q16" s="2">
        <v>19383114.281557508</v>
      </c>
      <c r="R16" s="21">
        <f>Q16/Q$195</f>
        <v>5.8306013152069743E-2</v>
      </c>
      <c r="S16" s="38">
        <f>R16*S$203</f>
        <v>27511181.03145292</v>
      </c>
      <c r="T16" s="2">
        <v>13309738.473336155</v>
      </c>
      <c r="U16" s="21">
        <f>T16/T$195</f>
        <v>5.5217650910941309E-2</v>
      </c>
      <c r="V16" s="38">
        <f>U16*V$203</f>
        <v>26601097.641688816</v>
      </c>
      <c r="W16" s="2">
        <v>13682411.150589567</v>
      </c>
      <c r="X16" s="21">
        <f>W16/W$195</f>
        <v>5.2440225990168655E-2</v>
      </c>
      <c r="Y16" s="38">
        <f>X16*Y$203</f>
        <v>25768334.941430893</v>
      </c>
      <c r="Z16" s="2">
        <v>14065518.662806075</v>
      </c>
      <c r="AA16" s="21">
        <f>Z16/Z$195</f>
        <v>5.6697950968375772E-2</v>
      </c>
      <c r="AB16" s="38">
        <f>AA16*AB$203</f>
        <v>28362005.98304309</v>
      </c>
      <c r="AC16" s="2">
        <v>14318697.998736585</v>
      </c>
      <c r="AD16" s="21">
        <f>AC16/AC$195</f>
        <v>5.5454026035943765E-2</v>
      </c>
      <c r="AE16" s="38">
        <f>AD16*AE$203</f>
        <v>28266813.02925266</v>
      </c>
      <c r="AF16" s="2">
        <v>14536342.208317382</v>
      </c>
      <c r="AG16" s="21">
        <f>AF16/AF$195</f>
        <v>5.6137162111384184E-2</v>
      </c>
      <c r="AH16" s="38">
        <f>AG16*AH$203</f>
        <v>29130101.398027483</v>
      </c>
      <c r="AI16" s="2">
        <v>22135941.914825711</v>
      </c>
      <c r="AJ16" s="21">
        <f>AI16/AI$195</f>
        <v>5.3345748537379313E-2</v>
      </c>
      <c r="AK16" s="38">
        <f>AJ16*AK$203</f>
        <v>28179879.632737041</v>
      </c>
      <c r="AL16" s="2">
        <v>148167830.10752833</v>
      </c>
    </row>
    <row r="17" spans="1:38" ht="12.75" x14ac:dyDescent="0.2">
      <c r="A17" s="8" t="s">
        <v>16</v>
      </c>
      <c r="B17" s="8" t="s">
        <v>17</v>
      </c>
      <c r="C17" s="8" t="s">
        <v>36</v>
      </c>
      <c r="D17" s="8" t="s">
        <v>52</v>
      </c>
      <c r="E17" s="8" t="s">
        <v>54</v>
      </c>
      <c r="F17" s="8" t="s">
        <v>189</v>
      </c>
      <c r="G17" s="8" t="s">
        <v>1024</v>
      </c>
      <c r="H17" s="34">
        <v>10275560.743027395</v>
      </c>
      <c r="I17" s="21">
        <f>H17/H$194</f>
        <v>6.639137139953305E-2</v>
      </c>
      <c r="J17" s="38">
        <f>I17*J$202</f>
        <v>12467201.618789542</v>
      </c>
      <c r="K17" s="2">
        <v>10583827.565318218</v>
      </c>
      <c r="L17" s="21">
        <f>K17/K$194</f>
        <v>6.6391371399533064E-2</v>
      </c>
      <c r="M17" s="38">
        <f>L17*M$202</f>
        <v>13772615.499052428</v>
      </c>
      <c r="N17" s="2">
        <v>10859007.082016492</v>
      </c>
      <c r="O17" s="21">
        <f>N17/N$194</f>
        <v>6.4610072263033308E-2</v>
      </c>
      <c r="P17" s="38">
        <f>O17*P$202</f>
        <v>13751572.75922044</v>
      </c>
      <c r="Q17" s="2">
        <v>16605851.189179093</v>
      </c>
      <c r="R17" s="21">
        <f>Q17/Q$194</f>
        <v>6.6604060416065203E-2</v>
      </c>
      <c r="S17" s="38">
        <f>R17*S$202</f>
        <v>14502019.47603979</v>
      </c>
      <c r="T17" s="2">
        <v>11291978.808641784</v>
      </c>
      <c r="U17" s="21">
        <f>T17/T$194</f>
        <v>6.5041993176916751E-2</v>
      </c>
      <c r="V17" s="38">
        <f>U17*V$202</f>
        <v>14459303.097443437</v>
      </c>
      <c r="W17" s="2">
        <v>11517818.38481462</v>
      </c>
      <c r="X17" s="21">
        <f>W17/W$194</f>
        <v>6.4789035887928711E-2</v>
      </c>
      <c r="Y17" s="38">
        <f>X17*Y$202</f>
        <v>14691130.249277402</v>
      </c>
      <c r="Z17" s="2">
        <v>11725139.115741283</v>
      </c>
      <c r="AA17" s="21">
        <f>Z17/Z$194</f>
        <v>6.5201225069402707E-2</v>
      </c>
      <c r="AB17" s="38">
        <f>AA17*AB$202</f>
        <v>15050718.242040565</v>
      </c>
      <c r="AC17" s="2">
        <v>11936191.619824626</v>
      </c>
      <c r="AD17" s="21">
        <f>AC17/AC$194</f>
        <v>6.5120509986808378E-2</v>
      </c>
      <c r="AE17" s="38">
        <f>AD17*AE$202</f>
        <v>15317696.025207624</v>
      </c>
      <c r="AF17" s="2">
        <v>12117621.732445961</v>
      </c>
      <c r="AG17" s="21">
        <f>AF17/AF$194</f>
        <v>6.5385221921212419E-2</v>
      </c>
      <c r="AH17" s="38">
        <f>AG17*AH$202</f>
        <v>15656801.080253273</v>
      </c>
      <c r="AI17" s="2">
        <v>18452714.374168713</v>
      </c>
      <c r="AJ17" s="21">
        <f>AI17/AI$194</f>
        <v>6.5865683568331196E-2</v>
      </c>
      <c r="AK17" s="38">
        <f>AJ17*AK$202</f>
        <v>16055743.195775259</v>
      </c>
      <c r="AL17" s="2">
        <v>125365710.61517818</v>
      </c>
    </row>
    <row r="18" spans="1:38" ht="12.75" x14ac:dyDescent="0.2">
      <c r="A18" s="8" t="s">
        <v>16</v>
      </c>
      <c r="B18" s="8" t="s">
        <v>17</v>
      </c>
      <c r="C18" s="8" t="s">
        <v>36</v>
      </c>
      <c r="D18" s="8" t="s">
        <v>52</v>
      </c>
      <c r="E18" s="8" t="s">
        <v>56</v>
      </c>
      <c r="F18" s="8" t="s">
        <v>192</v>
      </c>
      <c r="G18" s="8" t="s">
        <v>1025</v>
      </c>
      <c r="H18" s="34">
        <v>15075099.557618191</v>
      </c>
      <c r="I18" s="21">
        <f t="shared" ref="I18:I25" si="60">H18/H$193</f>
        <v>1.7256518642208906E-2</v>
      </c>
      <c r="J18" s="38">
        <f t="shared" ref="J18:J25" si="61">I18*J$201</f>
        <v>14537835.680466997</v>
      </c>
      <c r="K18" s="2">
        <v>15527352.544346737</v>
      </c>
      <c r="L18" s="21">
        <f t="shared" ref="L18:L25" ca="1" si="62">K18/K$193</f>
        <v>1.7282816600661659E-2</v>
      </c>
      <c r="M18" s="38">
        <f t="shared" ref="M18:M25" ca="1" si="63">L18*M$201</f>
        <v>15239417.718305985</v>
      </c>
      <c r="N18" s="2">
        <v>15931063.710499752</v>
      </c>
      <c r="O18" s="21">
        <f t="shared" ref="O18:O25" ca="1" si="64">N18/N$193</f>
        <v>1.7690239696991298E-2</v>
      </c>
      <c r="P18" s="38">
        <f t="shared" ref="P18:P25" ca="1" si="65">O18*P$201</f>
        <v>16004235.387641251</v>
      </c>
      <c r="Q18" s="2">
        <v>24326734.285933122</v>
      </c>
      <c r="R18" s="21">
        <f t="shared" ref="R18:R25" ca="1" si="66">Q18/Q$193</f>
        <v>1.7941992821407078E-2</v>
      </c>
      <c r="S18" s="38">
        <f t="shared" ref="S18:S25" ca="1" si="67">R18*S$201</f>
        <v>16605330.545451792</v>
      </c>
      <c r="T18" s="2">
        <v>16505777.061708476</v>
      </c>
      <c r="U18" s="21">
        <f t="shared" ref="U18:U25" ca="1" si="68">T18/T$193</f>
        <v>1.7715617989257831E-2</v>
      </c>
      <c r="V18" s="38">
        <f t="shared" ref="V18:V25" ca="1" si="69">U18*V$201</f>
        <v>16740132.663001416</v>
      </c>
      <c r="W18" s="2">
        <v>16835892.602942646</v>
      </c>
      <c r="X18" s="21">
        <f t="shared" ref="X18:X25" ca="1" si="70">W18/W$193</f>
        <v>1.7627768075051665E-2</v>
      </c>
      <c r="Y18" s="38">
        <f t="shared" ref="Y18:Y25" ca="1" si="71">X18*Y$201</f>
        <v>16990262.481141746</v>
      </c>
      <c r="Z18" s="2">
        <v>17138938.669795614</v>
      </c>
      <c r="AA18" s="21">
        <f t="shared" ref="AA18:AA25" ca="1" si="72">Z18/Z$193</f>
        <v>1.7731618337573384E-2</v>
      </c>
      <c r="AB18" s="38">
        <f t="shared" ref="AB18:AB25" ca="1" si="73">AA18*AB$201</f>
        <v>17397983.440648839</v>
      </c>
      <c r="AC18" s="2">
        <v>17447439.565851934</v>
      </c>
      <c r="AD18" s="21">
        <f t="shared" ref="AD18:AD25" ca="1" si="74">AC18/AC$193</f>
        <v>1.7751484612542799E-2</v>
      </c>
      <c r="AE18" s="38">
        <f t="shared" ref="AE18:AE25" ca="1" si="75">AD18*AE$201</f>
        <v>17748407.957892485</v>
      </c>
      <c r="AF18" s="2">
        <v>17712640.647252884</v>
      </c>
      <c r="AG18" s="21">
        <f t="shared" ref="AG18:AG25" ca="1" si="76">AF18/AF$193</f>
        <v>1.7764624408101348E-2</v>
      </c>
      <c r="AH18" s="38">
        <f t="shared" ref="AH18:AH25" ca="1" si="77">AG18*AH$201</f>
        <v>18081253.294599965</v>
      </c>
      <c r="AI18" s="2">
        <v>26972809.17763669</v>
      </c>
      <c r="AJ18" s="21">
        <f t="shared" ref="AJ18:AJ25" ca="1" si="78">AI18/AI$193</f>
        <v>1.799054743697014E-2</v>
      </c>
      <c r="AK18" s="38">
        <f t="shared" ref="AK18:AK25" ca="1" si="79">AJ18*AK$201</f>
        <v>18640804.732021127</v>
      </c>
      <c r="AL18" s="2">
        <v>183473747.82358605</v>
      </c>
    </row>
    <row r="19" spans="1:38" ht="12.75" x14ac:dyDescent="0.2">
      <c r="A19" s="8" t="s">
        <v>16</v>
      </c>
      <c r="B19" s="8" t="s">
        <v>17</v>
      </c>
      <c r="C19" s="8" t="s">
        <v>36</v>
      </c>
      <c r="D19" s="8" t="s">
        <v>52</v>
      </c>
      <c r="E19" s="8" t="s">
        <v>57</v>
      </c>
      <c r="F19" s="8" t="s">
        <v>192</v>
      </c>
      <c r="G19" s="8" t="s">
        <v>1026</v>
      </c>
      <c r="H19" s="34">
        <v>14085527.495895984</v>
      </c>
      <c r="I19" s="21">
        <f t="shared" si="60"/>
        <v>1.6123752078004774E-2</v>
      </c>
      <c r="J19" s="38">
        <f t="shared" si="61"/>
        <v>13583531.13525898</v>
      </c>
      <c r="K19" s="2">
        <v>14508093.320772864</v>
      </c>
      <c r="L19" s="21">
        <f t="shared" ca="1" si="62"/>
        <v>1.6148323764278317E-2</v>
      </c>
      <c r="M19" s="38">
        <f t="shared" ca="1" si="63"/>
        <v>14239059.348975742</v>
      </c>
      <c r="N19" s="2">
        <v>14885303.74711296</v>
      </c>
      <c r="O19" s="21">
        <f t="shared" ca="1" si="64"/>
        <v>1.6529002459226907E-2</v>
      </c>
      <c r="P19" s="38">
        <f t="shared" ca="1" si="65"/>
        <v>14953672.22895005</v>
      </c>
      <c r="Q19" s="2">
        <v>22729858.82184149</v>
      </c>
      <c r="R19" s="21">
        <f t="shared" ca="1" si="66"/>
        <v>1.6764229798362073E-2</v>
      </c>
      <c r="S19" s="38">
        <f t="shared" ca="1" si="67"/>
        <v>15515309.804916287</v>
      </c>
      <c r="T19" s="2">
        <v>15422291.292685628</v>
      </c>
      <c r="U19" s="21">
        <f t="shared" ca="1" si="68"/>
        <v>1.6552714848797067E-2</v>
      </c>
      <c r="V19" s="38">
        <f t="shared" ca="1" si="69"/>
        <v>15641263.131194035</v>
      </c>
      <c r="W19" s="2">
        <v>15730737.118539341</v>
      </c>
      <c r="X19" s="21">
        <f t="shared" ca="1" si="70"/>
        <v>1.6470631650783444E-2</v>
      </c>
      <c r="Y19" s="38">
        <f t="shared" ca="1" si="71"/>
        <v>15874973.722457005</v>
      </c>
      <c r="Z19" s="2">
        <v>16013890.38667305</v>
      </c>
      <c r="AA19" s="21">
        <f t="shared" ca="1" si="72"/>
        <v>1.6567664889112307E-2</v>
      </c>
      <c r="AB19" s="38">
        <f t="shared" ca="1" si="73"/>
        <v>16255930.728003817</v>
      </c>
      <c r="AC19" s="2">
        <v>16302140.413633166</v>
      </c>
      <c r="AD19" s="21">
        <f t="shared" ca="1" si="74"/>
        <v>1.6586227085750097E-2</v>
      </c>
      <c r="AE19" s="38">
        <f t="shared" ca="1" si="75"/>
        <v>16583352.391390253</v>
      </c>
      <c r="AF19" s="2">
        <v>16549932.947920391</v>
      </c>
      <c r="AG19" s="21">
        <f t="shared" ca="1" si="76"/>
        <v>1.6598504348060903E-2</v>
      </c>
      <c r="AH19" s="38">
        <f t="shared" ca="1" si="77"/>
        <v>16894348.821241673</v>
      </c>
      <c r="AI19" s="2">
        <v>25202237.893093172</v>
      </c>
      <c r="AJ19" s="21">
        <f t="shared" ca="1" si="78"/>
        <v>1.6809597151987318E-2</v>
      </c>
      <c r="AK19" s="38">
        <f t="shared" ca="1" si="79"/>
        <v>17417169.723819457</v>
      </c>
      <c r="AL19" s="2">
        <v>171430013.43816805</v>
      </c>
    </row>
    <row r="20" spans="1:38" ht="12.75" x14ac:dyDescent="0.2">
      <c r="A20" s="8" t="s">
        <v>16</v>
      </c>
      <c r="B20" s="8" t="s">
        <v>17</v>
      </c>
      <c r="C20" s="8" t="s">
        <v>36</v>
      </c>
      <c r="D20" s="8" t="s">
        <v>52</v>
      </c>
      <c r="E20" s="8" t="s">
        <v>58</v>
      </c>
      <c r="F20" s="8" t="s">
        <v>192</v>
      </c>
      <c r="G20" s="8" t="s">
        <v>1027</v>
      </c>
      <c r="H20" s="34">
        <v>7936944.3329240419</v>
      </c>
      <c r="I20" s="21">
        <f t="shared" si="60"/>
        <v>9.0854476496019798E-3</v>
      </c>
      <c r="J20" s="38">
        <f t="shared" si="61"/>
        <v>7654078.3081431268</v>
      </c>
      <c r="K20" s="2">
        <v>8175052.6629117634</v>
      </c>
      <c r="L20" s="21">
        <f t="shared" ca="1" si="62"/>
        <v>9.0992933579842911E-3</v>
      </c>
      <c r="M20" s="38">
        <f t="shared" ca="1" si="63"/>
        <v>8023456.8026614925</v>
      </c>
      <c r="N20" s="2">
        <v>8387604.032147469</v>
      </c>
      <c r="O20" s="21">
        <f t="shared" ca="1" si="64"/>
        <v>9.3137990349223716E-3</v>
      </c>
      <c r="P20" s="38">
        <f t="shared" ca="1" si="65"/>
        <v>8426128.4562150538</v>
      </c>
      <c r="Q20" s="2">
        <v>12807871.357089184</v>
      </c>
      <c r="R20" s="21">
        <f t="shared" ca="1" si="66"/>
        <v>9.4463454586783593E-3</v>
      </c>
      <c r="S20" s="38">
        <f t="shared" ca="1" si="67"/>
        <v>8742601.2455387916</v>
      </c>
      <c r="T20" s="2">
        <v>8690186.9675700553</v>
      </c>
      <c r="U20" s="21">
        <f t="shared" ca="1" si="68"/>
        <v>9.3271605448888087E-3</v>
      </c>
      <c r="V20" s="38">
        <f t="shared" ca="1" si="69"/>
        <v>8813573.7057114299</v>
      </c>
      <c r="W20" s="2">
        <v>8863990.7069214564</v>
      </c>
      <c r="X20" s="21">
        <f t="shared" ca="1" si="70"/>
        <v>9.2809081220745163E-3</v>
      </c>
      <c r="Y20" s="38">
        <f t="shared" ca="1" si="71"/>
        <v>8945265.4690060187</v>
      </c>
      <c r="Z20" s="2">
        <v>9023542.5396460425</v>
      </c>
      <c r="AA20" s="21">
        <f t="shared" ca="1" si="72"/>
        <v>9.3355846268262151E-3</v>
      </c>
      <c r="AB20" s="38">
        <f t="shared" ca="1" si="73"/>
        <v>9159927.9690184221</v>
      </c>
      <c r="AC20" s="2">
        <v>9185966.3053596709</v>
      </c>
      <c r="AD20" s="21">
        <f t="shared" ca="1" si="74"/>
        <v>9.3460440946348464E-3</v>
      </c>
      <c r="AE20" s="38">
        <f t="shared" ca="1" si="75"/>
        <v>9344424.2554690856</v>
      </c>
      <c r="AF20" s="2">
        <v>9325592.9932011385</v>
      </c>
      <c r="AG20" s="21">
        <f t="shared" ca="1" si="76"/>
        <v>9.3529621136831179E-3</v>
      </c>
      <c r="AH20" s="38">
        <f t="shared" ca="1" si="77"/>
        <v>9519665.2148288265</v>
      </c>
      <c r="AI20" s="2">
        <v>14201013.010046694</v>
      </c>
      <c r="AJ20" s="21">
        <f t="shared" ca="1" si="78"/>
        <v>9.4719091559101812E-3</v>
      </c>
      <c r="AK20" s="38">
        <f t="shared" ca="1" si="79"/>
        <v>9814265.4987768717</v>
      </c>
      <c r="AL20" s="2">
        <v>96597764.907817513</v>
      </c>
    </row>
    <row r="21" spans="1:38" ht="12.75" x14ac:dyDescent="0.2">
      <c r="A21" s="8" t="s">
        <v>16</v>
      </c>
      <c r="B21" s="8" t="s">
        <v>17</v>
      </c>
      <c r="C21" s="8" t="s">
        <v>36</v>
      </c>
      <c r="D21" s="8" t="s">
        <v>52</v>
      </c>
      <c r="E21" s="8" t="s">
        <v>193</v>
      </c>
      <c r="F21" s="8" t="s">
        <v>192</v>
      </c>
      <c r="G21" s="8" t="s">
        <v>1028</v>
      </c>
      <c r="H21" s="34">
        <v>996620.6756609577</v>
      </c>
      <c r="I21" s="21">
        <f t="shared" si="60"/>
        <v>1.1408351369767936E-3</v>
      </c>
      <c r="J21" s="38">
        <f t="shared" si="61"/>
        <v>961101.95247056498</v>
      </c>
      <c r="K21" s="2">
        <v>1026519.2959307864</v>
      </c>
      <c r="L21" s="21">
        <f t="shared" ca="1" si="62"/>
        <v>1.1425737052045866E-3</v>
      </c>
      <c r="M21" s="38">
        <f t="shared" ca="1" si="63"/>
        <v>1007483.8129624476</v>
      </c>
      <c r="N21" s="2">
        <v>1053208.7976249869</v>
      </c>
      <c r="O21" s="21">
        <f t="shared" ca="1" si="64"/>
        <v>1.1695086040417041E-3</v>
      </c>
      <c r="P21" s="38">
        <f t="shared" ca="1" si="65"/>
        <v>1058046.2055660279</v>
      </c>
      <c r="Q21" s="2">
        <v>1608249.8339733547</v>
      </c>
      <c r="R21" s="21">
        <f t="shared" ca="1" si="66"/>
        <v>1.1861521006896727E-3</v>
      </c>
      <c r="S21" s="38">
        <f t="shared" ca="1" si="67"/>
        <v>1097784.8394651939</v>
      </c>
      <c r="T21" s="2">
        <v>1091203.3200627216</v>
      </c>
      <c r="U21" s="21">
        <f t="shared" ca="1" si="68"/>
        <v>1.1711863727814143E-3</v>
      </c>
      <c r="V21" s="38">
        <f t="shared" ca="1" si="69"/>
        <v>1106696.659712838</v>
      </c>
      <c r="W21" s="2">
        <v>1113027.386463976</v>
      </c>
      <c r="X21" s="21">
        <f t="shared" ca="1" si="70"/>
        <v>1.1653785808979661E-3</v>
      </c>
      <c r="Y21" s="38">
        <f t="shared" ca="1" si="71"/>
        <v>1123232.8389536571</v>
      </c>
      <c r="Z21" s="2">
        <v>1133061.8794203275</v>
      </c>
      <c r="AA21" s="21">
        <f t="shared" ca="1" si="72"/>
        <v>1.1722441620111376E-3</v>
      </c>
      <c r="AB21" s="38">
        <f t="shared" ca="1" si="73"/>
        <v>1150187.4296409038</v>
      </c>
      <c r="AC21" s="2">
        <v>1153456.9932498934</v>
      </c>
      <c r="AD21" s="21">
        <f t="shared" ca="1" si="74"/>
        <v>1.173557529150586E-3</v>
      </c>
      <c r="AE21" s="38">
        <f t="shared" ca="1" si="75"/>
        <v>1173354.1303189795</v>
      </c>
      <c r="AF21" s="2">
        <v>1170989.5395472918</v>
      </c>
      <c r="AG21" s="21">
        <f t="shared" ca="1" si="76"/>
        <v>1.174426206128642E-3</v>
      </c>
      <c r="AH21" s="38">
        <f t="shared" ca="1" si="77"/>
        <v>1195358.6645571876</v>
      </c>
      <c r="AI21" s="2">
        <v>1783182.8708226162</v>
      </c>
      <c r="AJ21" s="21">
        <f t="shared" ca="1" si="78"/>
        <v>1.1893620651468866E-3</v>
      </c>
      <c r="AK21" s="38">
        <f t="shared" ca="1" si="79"/>
        <v>1232350.8269968661</v>
      </c>
      <c r="AL21" s="2">
        <v>12129520.592756912</v>
      </c>
    </row>
    <row r="22" spans="1:38" ht="12.75" x14ac:dyDescent="0.2">
      <c r="A22" s="8" t="s">
        <v>16</v>
      </c>
      <c r="B22" s="8" t="s">
        <v>17</v>
      </c>
      <c r="C22" s="8" t="s">
        <v>36</v>
      </c>
      <c r="D22" s="8" t="s">
        <v>52</v>
      </c>
      <c r="E22" s="8" t="s">
        <v>60</v>
      </c>
      <c r="F22" s="8" t="s">
        <v>192</v>
      </c>
      <c r="G22" s="8" t="s">
        <v>1029</v>
      </c>
      <c r="H22" s="34">
        <v>591055.79097178578</v>
      </c>
      <c r="I22" s="21">
        <f t="shared" si="60"/>
        <v>6.7658360971392781E-4</v>
      </c>
      <c r="J22" s="38">
        <f t="shared" si="61"/>
        <v>569991.05938202376</v>
      </c>
      <c r="K22" s="2">
        <v>608787.46470093937</v>
      </c>
      <c r="L22" s="21">
        <f t="shared" ca="1" si="62"/>
        <v>6.7761468487033568E-4</v>
      </c>
      <c r="M22" s="38">
        <f t="shared" ca="1" si="63"/>
        <v>597498.28245021007</v>
      </c>
      <c r="N22" s="2">
        <v>624615.93878316379</v>
      </c>
      <c r="O22" s="21">
        <f t="shared" ca="1" si="64"/>
        <v>6.93588694165657E-4</v>
      </c>
      <c r="P22" s="38">
        <f t="shared" ca="1" si="65"/>
        <v>627484.81161178427</v>
      </c>
      <c r="Q22" s="2">
        <v>953788.53852189111</v>
      </c>
      <c r="R22" s="21">
        <f t="shared" ca="1" si="66"/>
        <v>7.0345928516987982E-4</v>
      </c>
      <c r="S22" s="38">
        <f t="shared" ca="1" si="67"/>
        <v>651052.2031630713</v>
      </c>
      <c r="T22" s="2">
        <v>647148.96770827344</v>
      </c>
      <c r="U22" s="21">
        <f t="shared" ca="1" si="68"/>
        <v>6.9458371158174625E-4</v>
      </c>
      <c r="V22" s="38">
        <f t="shared" ca="1" si="69"/>
        <v>656337.4466805975</v>
      </c>
      <c r="W22" s="2">
        <v>660091.94706243894</v>
      </c>
      <c r="X22" s="21">
        <f t="shared" ca="1" si="70"/>
        <v>6.9113934291741539E-4</v>
      </c>
      <c r="Y22" s="38">
        <f t="shared" ca="1" si="71"/>
        <v>666144.39203054388</v>
      </c>
      <c r="Z22" s="2">
        <v>671973.60210956284</v>
      </c>
      <c r="AA22" s="21">
        <f t="shared" ca="1" si="72"/>
        <v>6.9521104399128213E-4</v>
      </c>
      <c r="AB22" s="38">
        <f t="shared" ca="1" si="73"/>
        <v>682130.0797731803</v>
      </c>
      <c r="AC22" s="2">
        <v>684069.12694753497</v>
      </c>
      <c r="AD22" s="21">
        <f t="shared" ca="1" si="74"/>
        <v>6.9598994941879406E-4</v>
      </c>
      <c r="AE22" s="38">
        <f t="shared" ca="1" si="75"/>
        <v>695869.32172138232</v>
      </c>
      <c r="AF22" s="2">
        <v>694466.97767713759</v>
      </c>
      <c r="AG22" s="21">
        <f t="shared" ca="1" si="76"/>
        <v>6.9650512692905747E-4</v>
      </c>
      <c r="AH22" s="38">
        <f t="shared" ca="1" si="77"/>
        <v>708919.32931881095</v>
      </c>
      <c r="AI22" s="2">
        <v>1057534.3136067453</v>
      </c>
      <c r="AJ22" s="21">
        <f t="shared" ca="1" si="78"/>
        <v>7.0536298647528553E-4</v>
      </c>
      <c r="AK22" s="38">
        <f t="shared" ca="1" si="79"/>
        <v>730857.89869079448</v>
      </c>
      <c r="AL22" s="2">
        <v>7193532.6680894736</v>
      </c>
    </row>
    <row r="23" spans="1:38" ht="12.75" x14ac:dyDescent="0.2">
      <c r="A23" s="8" t="s">
        <v>16</v>
      </c>
      <c r="B23" s="8" t="s">
        <v>17</v>
      </c>
      <c r="C23" s="8" t="s">
        <v>36</v>
      </c>
      <c r="D23" s="8" t="s">
        <v>52</v>
      </c>
      <c r="E23" s="8" t="s">
        <v>65</v>
      </c>
      <c r="F23" s="8" t="s">
        <v>192</v>
      </c>
      <c r="G23" s="8" t="s">
        <v>1030</v>
      </c>
      <c r="H23" s="34">
        <v>7765930.2323517231</v>
      </c>
      <c r="I23" s="21">
        <f t="shared" si="60"/>
        <v>8.8896872167552564E-3</v>
      </c>
      <c r="J23" s="38">
        <f t="shared" si="61"/>
        <v>7489159.0063726241</v>
      </c>
      <c r="K23" s="2">
        <v>7998908.1393222753</v>
      </c>
      <c r="L23" s="21">
        <f t="shared" ca="1" si="62"/>
        <v>8.903234597309316E-3</v>
      </c>
      <c r="M23" s="38">
        <f t="shared" ca="1" si="63"/>
        <v>7850578.6532084141</v>
      </c>
      <c r="N23" s="2">
        <v>8206879.7509446545</v>
      </c>
      <c r="O23" s="21">
        <f t="shared" ca="1" si="64"/>
        <v>9.1131184079635361E-3</v>
      </c>
      <c r="P23" s="38">
        <f t="shared" ca="1" si="65"/>
        <v>8244574.1049681976</v>
      </c>
      <c r="Q23" s="2">
        <v>12531905.379692487</v>
      </c>
      <c r="R23" s="21">
        <f t="shared" ca="1" si="66"/>
        <v>9.2428089080174164E-3</v>
      </c>
      <c r="S23" s="38">
        <f t="shared" ca="1" si="67"/>
        <v>8554227.9842490237</v>
      </c>
      <c r="T23" s="2">
        <v>8502943.0553380586</v>
      </c>
      <c r="U23" s="21">
        <f t="shared" ca="1" si="68"/>
        <v>9.1261920229273926E-3</v>
      </c>
      <c r="V23" s="38">
        <f t="shared" ca="1" si="69"/>
        <v>8623671.2297853082</v>
      </c>
      <c r="W23" s="2">
        <v>8673001.9164448194</v>
      </c>
      <c r="X23" s="21">
        <f t="shared" ca="1" si="70"/>
        <v>9.0809361821924377E-3</v>
      </c>
      <c r="Y23" s="38">
        <f t="shared" ca="1" si="71"/>
        <v>8752525.4843979757</v>
      </c>
      <c r="Z23" s="2">
        <v>8829115.9509408269</v>
      </c>
      <c r="AA23" s="21">
        <f t="shared" ca="1" si="72"/>
        <v>9.1344345946090602E-3</v>
      </c>
      <c r="AB23" s="38">
        <f t="shared" ca="1" si="73"/>
        <v>8962562.7391237337</v>
      </c>
      <c r="AC23" s="2">
        <v>8988040.0380577613</v>
      </c>
      <c r="AD23" s="21">
        <f t="shared" ca="1" si="74"/>
        <v>9.1446686965331973E-3</v>
      </c>
      <c r="AE23" s="38">
        <f t="shared" ca="1" si="75"/>
        <v>9143083.759380905</v>
      </c>
      <c r="AF23" s="2">
        <v>9124658.2466362398</v>
      </c>
      <c r="AG23" s="21">
        <f t="shared" ca="1" si="76"/>
        <v>9.1514376558481953E-3</v>
      </c>
      <c r="AH23" s="38">
        <f t="shared" ca="1" si="77"/>
        <v>9314548.873302998</v>
      </c>
      <c r="AI23" s="2">
        <v>13895029.577977667</v>
      </c>
      <c r="AJ23" s="21">
        <f t="shared" ca="1" si="78"/>
        <v>9.267821794697215E-3</v>
      </c>
      <c r="AK23" s="38">
        <f t="shared" ca="1" si="79"/>
        <v>9602801.5251555629</v>
      </c>
      <c r="AL23" s="2">
        <v>94516412.287706524</v>
      </c>
    </row>
    <row r="24" spans="1:38" ht="12.75" x14ac:dyDescent="0.2">
      <c r="A24" s="8" t="s">
        <v>16</v>
      </c>
      <c r="B24" s="8" t="s">
        <v>17</v>
      </c>
      <c r="C24" s="8" t="s">
        <v>36</v>
      </c>
      <c r="D24" s="8" t="s">
        <v>52</v>
      </c>
      <c r="E24" s="8" t="s">
        <v>69</v>
      </c>
      <c r="F24" s="8" t="s">
        <v>192</v>
      </c>
      <c r="G24" s="8" t="s">
        <v>1031</v>
      </c>
      <c r="H24" s="34">
        <v>997609.11828123359</v>
      </c>
      <c r="I24" s="21">
        <f t="shared" si="60"/>
        <v>1.1419666106654649E-3</v>
      </c>
      <c r="J24" s="38">
        <f t="shared" si="61"/>
        <v>962055.16782667057</v>
      </c>
      <c r="K24" s="2">
        <v>1027537.3918296706</v>
      </c>
      <c r="L24" s="21">
        <f t="shared" ca="1" si="62"/>
        <v>1.1437069031951679E-3</v>
      </c>
      <c r="M24" s="38">
        <f t="shared" ca="1" si="63"/>
        <v>1008483.0295794517</v>
      </c>
      <c r="N24" s="2">
        <v>1054253.3640172421</v>
      </c>
      <c r="O24" s="21">
        <f t="shared" ca="1" si="64"/>
        <v>1.1706685159091231E-3</v>
      </c>
      <c r="P24" s="38">
        <f t="shared" ca="1" si="65"/>
        <v>1059095.5696714926</v>
      </c>
      <c r="Q24" s="2">
        <v>1609844.8868543287</v>
      </c>
      <c r="R24" s="21">
        <f t="shared" ca="1" si="66"/>
        <v>1.1873285194807781E-3</v>
      </c>
      <c r="S24" s="38">
        <f t="shared" ca="1" si="67"/>
        <v>1098873.6161178565</v>
      </c>
      <c r="T24" s="2">
        <v>1092285.5692025174</v>
      </c>
      <c r="U24" s="21">
        <f t="shared" ca="1" si="68"/>
        <v>1.172347948650163E-3</v>
      </c>
      <c r="V24" s="38">
        <f t="shared" ca="1" si="69"/>
        <v>1107794.2750572639</v>
      </c>
      <c r="W24" s="2">
        <v>1114131.2805865677</v>
      </c>
      <c r="X24" s="21">
        <f t="shared" ca="1" si="70"/>
        <v>1.1665343966323252E-3</v>
      </c>
      <c r="Y24" s="38">
        <f t="shared" ca="1" si="71"/>
        <v>1124346.8547849855</v>
      </c>
      <c r="Z24" s="2">
        <v>1134185.6436371258</v>
      </c>
      <c r="AA24" s="21">
        <f t="shared" ca="1" si="72"/>
        <v>1.1734067869891246E-3</v>
      </c>
      <c r="AB24" s="38">
        <f t="shared" ca="1" si="73"/>
        <v>1151328.178879333</v>
      </c>
      <c r="AC24" s="2">
        <v>1154600.9852225941</v>
      </c>
      <c r="AD24" s="21">
        <f t="shared" ca="1" si="74"/>
        <v>1.1747214567185034E-3</v>
      </c>
      <c r="AE24" s="38">
        <f t="shared" ca="1" si="75"/>
        <v>1174517.8561571124</v>
      </c>
      <c r="AF24" s="2">
        <v>1172150.9201979777</v>
      </c>
      <c r="AG24" s="21">
        <f t="shared" ca="1" si="76"/>
        <v>1.1755909952453607E-3</v>
      </c>
      <c r="AH24" s="38">
        <f t="shared" ca="1" si="77"/>
        <v>1196544.2143650732</v>
      </c>
      <c r="AI24" s="2">
        <v>1784951.4212774807</v>
      </c>
      <c r="AJ24" s="21">
        <f t="shared" ca="1" si="78"/>
        <v>1.1905416675621699E-3</v>
      </c>
      <c r="AK24" s="38">
        <f t="shared" ca="1" si="79"/>
        <v>1233573.0654174453</v>
      </c>
      <c r="AL24" s="2">
        <v>12141550.581106739</v>
      </c>
    </row>
    <row r="25" spans="1:38" ht="12.75" x14ac:dyDescent="0.2">
      <c r="A25" s="8" t="s">
        <v>16</v>
      </c>
      <c r="B25" s="8" t="s">
        <v>17</v>
      </c>
      <c r="C25" s="8" t="s">
        <v>36</v>
      </c>
      <c r="D25" s="8" t="s">
        <v>52</v>
      </c>
      <c r="E25" s="8" t="s">
        <v>71</v>
      </c>
      <c r="F25" s="8" t="s">
        <v>192</v>
      </c>
      <c r="G25" s="8" t="s">
        <v>1032</v>
      </c>
      <c r="H25" s="34">
        <v>0</v>
      </c>
      <c r="I25" s="21">
        <f t="shared" si="60"/>
        <v>0</v>
      </c>
      <c r="J25" s="38">
        <f t="shared" si="61"/>
        <v>0</v>
      </c>
      <c r="K25" s="2">
        <v>0</v>
      </c>
      <c r="L25" s="21">
        <f t="shared" ca="1" si="62"/>
        <v>0</v>
      </c>
      <c r="M25" s="38">
        <f t="shared" ca="1" si="63"/>
        <v>0</v>
      </c>
      <c r="N25" s="2">
        <v>0</v>
      </c>
      <c r="O25" s="21">
        <f t="shared" ca="1" si="64"/>
        <v>0</v>
      </c>
      <c r="P25" s="38">
        <f t="shared" ca="1" si="65"/>
        <v>0</v>
      </c>
      <c r="Q25" s="2">
        <v>0</v>
      </c>
      <c r="R25" s="21">
        <f t="shared" ca="1" si="66"/>
        <v>0</v>
      </c>
      <c r="S25" s="38">
        <f t="shared" ca="1" si="67"/>
        <v>0</v>
      </c>
      <c r="T25" s="2">
        <v>0</v>
      </c>
      <c r="U25" s="21">
        <f t="shared" ca="1" si="68"/>
        <v>0</v>
      </c>
      <c r="V25" s="38">
        <f t="shared" ca="1" si="69"/>
        <v>0</v>
      </c>
      <c r="W25" s="2">
        <v>0</v>
      </c>
      <c r="X25" s="21">
        <f t="shared" ca="1" si="70"/>
        <v>0</v>
      </c>
      <c r="Y25" s="38">
        <f t="shared" ca="1" si="71"/>
        <v>0</v>
      </c>
      <c r="Z25" s="2">
        <v>0</v>
      </c>
      <c r="AA25" s="21">
        <f t="shared" ca="1" si="72"/>
        <v>0</v>
      </c>
      <c r="AB25" s="38">
        <f t="shared" ca="1" si="73"/>
        <v>0</v>
      </c>
      <c r="AC25" s="2">
        <v>0</v>
      </c>
      <c r="AD25" s="21">
        <f t="shared" ca="1" si="74"/>
        <v>0</v>
      </c>
      <c r="AE25" s="38">
        <f t="shared" ca="1" si="75"/>
        <v>0</v>
      </c>
      <c r="AF25" s="2">
        <v>0</v>
      </c>
      <c r="AG25" s="21">
        <f t="shared" ca="1" si="76"/>
        <v>0</v>
      </c>
      <c r="AH25" s="38">
        <f t="shared" ca="1" si="77"/>
        <v>0</v>
      </c>
      <c r="AI25" s="2">
        <v>0</v>
      </c>
      <c r="AJ25" s="21">
        <f t="shared" ca="1" si="78"/>
        <v>0</v>
      </c>
      <c r="AK25" s="38">
        <f t="shared" ca="1" si="79"/>
        <v>0</v>
      </c>
      <c r="AL25" s="2">
        <v>0</v>
      </c>
    </row>
    <row r="26" spans="1:38" ht="12.75" x14ac:dyDescent="0.2">
      <c r="A26" s="8" t="s">
        <v>16</v>
      </c>
      <c r="B26" s="8" t="s">
        <v>17</v>
      </c>
      <c r="C26" s="8" t="s">
        <v>36</v>
      </c>
      <c r="D26" s="8" t="s">
        <v>74</v>
      </c>
      <c r="E26" s="8" t="s">
        <v>75</v>
      </c>
      <c r="F26" s="8" t="s">
        <v>188</v>
      </c>
      <c r="G26" s="8" t="s">
        <v>1033</v>
      </c>
      <c r="H26" s="34">
        <v>11133129.277833972</v>
      </c>
      <c r="I26" s="21">
        <f>H26/H$195</f>
        <v>3.3828571157085069E-2</v>
      </c>
      <c r="J26" s="38">
        <f>I26*J$203</f>
        <v>12541434.800872795</v>
      </c>
      <c r="K26" s="2">
        <v>11467123.156168992</v>
      </c>
      <c r="L26" s="21">
        <f>K26/K$195</f>
        <v>3.3872157952094063E-2</v>
      </c>
      <c r="M26" s="38">
        <f>L26*M$203</f>
        <v>11152148.409847146</v>
      </c>
      <c r="N26" s="2">
        <v>11765268.358229386</v>
      </c>
      <c r="O26" s="21">
        <f>N26/N$195</f>
        <v>5.1721253751805807E-2</v>
      </c>
      <c r="P26" s="38">
        <f>O26*P$203</f>
        <v>20699849.699798945</v>
      </c>
      <c r="Q26" s="2">
        <v>18132339.685629893</v>
      </c>
      <c r="R26" s="21">
        <f>Q26/Q$195</f>
        <v>5.4543579572971519E-2</v>
      </c>
      <c r="S26" s="38">
        <f>R26*S$203</f>
        <v>25735909.739220615</v>
      </c>
      <c r="T26" s="2">
        <v>12450873.250799194</v>
      </c>
      <c r="U26" s="21">
        <f>T26/T$195</f>
        <v>5.1654506516135887E-2</v>
      </c>
      <c r="V26" s="38">
        <f>U26*V$203</f>
        <v>24884553.196317017</v>
      </c>
      <c r="W26" s="2">
        <v>12799497.701821571</v>
      </c>
      <c r="X26" s="21">
        <f>W26/W$195</f>
        <v>4.9056306279412279E-2</v>
      </c>
      <c r="Y26" s="38">
        <f>X26*Y$203</f>
        <v>24105527.90970628</v>
      </c>
      <c r="Z26" s="2">
        <v>13157883.637472576</v>
      </c>
      <c r="AA26" s="21">
        <f>Z26/Z$195</f>
        <v>5.3039284167867413E-2</v>
      </c>
      <c r="AB26" s="38">
        <f>AA26*AB$203</f>
        <v>26531831.736642949</v>
      </c>
      <c r="AC26" s="2">
        <v>13394725.542947082</v>
      </c>
      <c r="AD26" s="21">
        <f>AC26/AC$195</f>
        <v>5.1875628571008969E-2</v>
      </c>
      <c r="AE26" s="38">
        <f>AD26*AE$203</f>
        <v>26442781.496896453</v>
      </c>
      <c r="AF26" s="2">
        <v>13598325.37119988</v>
      </c>
      <c r="AG26" s="21">
        <f>AF26/AF$195</f>
        <v>5.2514682501737714E-2</v>
      </c>
      <c r="AH26" s="38">
        <f>AG26*AH$203</f>
        <v>27250362.658617828</v>
      </c>
      <c r="AI26" s="2">
        <v>20707529.875263181</v>
      </c>
      <c r="AJ26" s="21">
        <f>AI26/AI$195</f>
        <v>4.9903396286751452E-2</v>
      </c>
      <c r="AK26" s="38">
        <f>AJ26*AK$203</f>
        <v>26361457.832765423</v>
      </c>
      <c r="AL26" s="2">
        <v>138606695.8573657</v>
      </c>
    </row>
    <row r="27" spans="1:38" ht="12.75" x14ac:dyDescent="0.2">
      <c r="A27" s="8" t="s">
        <v>16</v>
      </c>
      <c r="B27" s="8" t="s">
        <v>17</v>
      </c>
      <c r="C27" s="8" t="s">
        <v>36</v>
      </c>
      <c r="D27" s="8" t="s">
        <v>74</v>
      </c>
      <c r="E27" s="8" t="s">
        <v>75</v>
      </c>
      <c r="F27" s="8" t="s">
        <v>189</v>
      </c>
      <c r="G27" s="8" t="s">
        <v>1034</v>
      </c>
      <c r="H27" s="34">
        <v>10275560.743027395</v>
      </c>
      <c r="I27" s="21">
        <f>H27/H$194</f>
        <v>6.639137139953305E-2</v>
      </c>
      <c r="J27" s="38">
        <f>I27*J$202</f>
        <v>12467201.618789542</v>
      </c>
      <c r="K27" s="2">
        <v>10583827.565318218</v>
      </c>
      <c r="L27" s="21">
        <f>K27/K$194</f>
        <v>6.6391371399533064E-2</v>
      </c>
      <c r="M27" s="38">
        <f>L27*M$202</f>
        <v>13772615.499052428</v>
      </c>
      <c r="N27" s="2">
        <v>10859007.082016492</v>
      </c>
      <c r="O27" s="21">
        <f>N27/N$194</f>
        <v>6.4610072263033308E-2</v>
      </c>
      <c r="P27" s="38">
        <f>O27*P$202</f>
        <v>13751572.75922044</v>
      </c>
      <c r="Q27" s="2">
        <v>16605851.189179093</v>
      </c>
      <c r="R27" s="21">
        <f>Q27/Q$194</f>
        <v>6.6604060416065203E-2</v>
      </c>
      <c r="S27" s="38">
        <f>R27*S$202</f>
        <v>14502019.47603979</v>
      </c>
      <c r="T27" s="2">
        <v>11291978.808641784</v>
      </c>
      <c r="U27" s="21">
        <f>T27/T$194</f>
        <v>6.5041993176916751E-2</v>
      </c>
      <c r="V27" s="38">
        <f>U27*V$202</f>
        <v>14459303.097443437</v>
      </c>
      <c r="W27" s="2">
        <v>11517818.38481462</v>
      </c>
      <c r="X27" s="21">
        <f>W27/W$194</f>
        <v>6.4789035887928711E-2</v>
      </c>
      <c r="Y27" s="38">
        <f>X27*Y$202</f>
        <v>14691130.249277402</v>
      </c>
      <c r="Z27" s="2">
        <v>11725139.115741283</v>
      </c>
      <c r="AA27" s="21">
        <f>Z27/Z$194</f>
        <v>6.5201225069402707E-2</v>
      </c>
      <c r="AB27" s="38">
        <f>AA27*AB$202</f>
        <v>15050718.242040565</v>
      </c>
      <c r="AC27" s="2">
        <v>11936191.619824626</v>
      </c>
      <c r="AD27" s="21">
        <f>AC27/AC$194</f>
        <v>6.5120509986808378E-2</v>
      </c>
      <c r="AE27" s="38">
        <f>AD27*AE$202</f>
        <v>15317696.025207624</v>
      </c>
      <c r="AF27" s="2">
        <v>12117621.732445961</v>
      </c>
      <c r="AG27" s="21">
        <f>AF27/AF$194</f>
        <v>6.5385221921212419E-2</v>
      </c>
      <c r="AH27" s="38">
        <f>AG27*AH$202</f>
        <v>15656801.080253273</v>
      </c>
      <c r="AI27" s="2">
        <v>18452714.374168713</v>
      </c>
      <c r="AJ27" s="21">
        <f>AI27/AI$194</f>
        <v>6.5865683568331196E-2</v>
      </c>
      <c r="AK27" s="38">
        <f>AJ27*AK$202</f>
        <v>16055743.195775259</v>
      </c>
      <c r="AL27" s="2">
        <v>125365710.61517818</v>
      </c>
    </row>
    <row r="28" spans="1:38" ht="12.75" x14ac:dyDescent="0.2">
      <c r="A28" s="8" t="s">
        <v>16</v>
      </c>
      <c r="B28" s="8" t="s">
        <v>17</v>
      </c>
      <c r="C28" s="8" t="s">
        <v>36</v>
      </c>
      <c r="D28" s="8" t="s">
        <v>74</v>
      </c>
      <c r="E28" s="8" t="s">
        <v>75</v>
      </c>
      <c r="F28" s="8" t="s">
        <v>192</v>
      </c>
      <c r="G28" s="8" t="s">
        <v>1035</v>
      </c>
      <c r="H28" s="34">
        <v>521958.6</v>
      </c>
      <c r="I28" s="21">
        <f t="shared" ref="I28:I40" si="80">H28/H$193</f>
        <v>5.9748781604626177E-4</v>
      </c>
      <c r="J28" s="38">
        <f t="shared" ref="J28:J40" si="81">I28*J$201</f>
        <v>503356.43421816966</v>
      </c>
      <c r="K28" s="2">
        <v>521958.6</v>
      </c>
      <c r="L28" s="21">
        <f t="shared" ref="L28:L40" ca="1" si="82">K28/K$193</f>
        <v>5.8096927542374184E-4</v>
      </c>
      <c r="M28" s="38">
        <f t="shared" ref="M28:M40" ca="1" si="83">L28*M$201</f>
        <v>512279.54761407385</v>
      </c>
      <c r="N28" s="2">
        <v>521958.6</v>
      </c>
      <c r="O28" s="21">
        <f t="shared" ref="O28:O40" ca="1" si="84">N28/N$193</f>
        <v>5.7959549429335291E-4</v>
      </c>
      <c r="P28" s="38">
        <f t="shared" ref="P28:P40" ca="1" si="85">O28*P$201</f>
        <v>524355.96572864591</v>
      </c>
      <c r="Q28" s="2">
        <v>521958.6</v>
      </c>
      <c r="R28" s="21">
        <f t="shared" ref="R28:R40" ca="1" si="86">Q28/Q$193</f>
        <v>3.8496648765909224E-4</v>
      </c>
      <c r="S28" s="38">
        <f t="shared" ref="S28:S40" ca="1" si="87">R28*S$201</f>
        <v>356286.83168760134</v>
      </c>
      <c r="T28" s="2">
        <v>521958.6</v>
      </c>
      <c r="U28" s="21">
        <f t="shared" ref="U28:U40" ca="1" si="88">T28/T$193</f>
        <v>5.6021713665692233E-4</v>
      </c>
      <c r="V28" s="38">
        <f t="shared" ref="V28:V40" ca="1" si="89">U28*V$201</f>
        <v>529369.57623551437</v>
      </c>
      <c r="W28" s="2">
        <v>521958.6</v>
      </c>
      <c r="X28" s="21">
        <f t="shared" ref="X28:X40" ca="1" si="90">W28/W$193</f>
        <v>5.465088999184088E-4</v>
      </c>
      <c r="Y28" s="38">
        <f t="shared" ref="Y28:Y40" ca="1" si="91">X28*Y$201</f>
        <v>526744.48735431163</v>
      </c>
      <c r="Z28" s="2">
        <v>521958.6</v>
      </c>
      <c r="AA28" s="21">
        <f t="shared" ref="AA28:AA40" ca="1" si="92">Z28/Z$193</f>
        <v>5.4000839034010618E-4</v>
      </c>
      <c r="AB28" s="38">
        <f t="shared" ref="AB28:AB40" ca="1" si="93">AA28*AB$201</f>
        <v>529847.69094879692</v>
      </c>
      <c r="AC28" s="2">
        <v>521958.6</v>
      </c>
      <c r="AD28" s="21">
        <f t="shared" ref="AD28:AD40" ca="1" si="94">AC28/AC$193</f>
        <v>5.3105442900738646E-4</v>
      </c>
      <c r="AE28" s="38">
        <f t="shared" ref="AE28:AE40" ca="1" si="95">AD28*AE$201</f>
        <v>530962.38763089105</v>
      </c>
      <c r="AF28" s="2">
        <v>521958.6</v>
      </c>
      <c r="AG28" s="21">
        <f t="shared" ref="AG28:AG40" ca="1" si="96">AF28/AF$193</f>
        <v>5.2349046481764969E-4</v>
      </c>
      <c r="AH28" s="38">
        <f t="shared" ref="AH28:AH40" ca="1" si="97">AG28*AH$201</f>
        <v>532820.92963131983</v>
      </c>
      <c r="AI28" s="2">
        <v>521958.6</v>
      </c>
      <c r="AJ28" s="21">
        <f t="shared" ref="AJ28:AJ40" ca="1" si="98">AI28/AI$193</f>
        <v>3.4814026568727181E-4</v>
      </c>
      <c r="AK28" s="38">
        <f t="shared" ref="AK28:AK40" ca="1" si="99">AJ28*AK$201</f>
        <v>360723.5819124874</v>
      </c>
      <c r="AL28" s="2">
        <v>5219586</v>
      </c>
    </row>
    <row r="29" spans="1:38" ht="12.75" x14ac:dyDescent="0.2">
      <c r="A29" s="8" t="s">
        <v>16</v>
      </c>
      <c r="B29" s="8" t="s">
        <v>17</v>
      </c>
      <c r="C29" s="8" t="s">
        <v>36</v>
      </c>
      <c r="D29" s="8" t="s">
        <v>74</v>
      </c>
      <c r="E29" s="8" t="s">
        <v>76</v>
      </c>
      <c r="F29" s="8" t="s">
        <v>192</v>
      </c>
      <c r="G29" s="8" t="s">
        <v>1036</v>
      </c>
      <c r="H29" s="34">
        <v>8414933.1585731972</v>
      </c>
      <c r="I29" s="21">
        <f t="shared" si="80"/>
        <v>9.6326031127586965E-3</v>
      </c>
      <c r="J29" s="38">
        <f t="shared" si="81"/>
        <v>8115032.0138103757</v>
      </c>
      <c r="K29" s="2">
        <v>8630992.965330394</v>
      </c>
      <c r="L29" s="21">
        <f t="shared" ca="1" si="82"/>
        <v>9.6067805554988697E-3</v>
      </c>
      <c r="M29" s="38">
        <f t="shared" ca="1" si="83"/>
        <v>8470942.2772988286</v>
      </c>
      <c r="N29" s="2">
        <v>8823862.3528289832</v>
      </c>
      <c r="O29" s="21">
        <f t="shared" ca="1" si="84"/>
        <v>9.7982308596207112E-3</v>
      </c>
      <c r="P29" s="38">
        <f t="shared" ca="1" si="85"/>
        <v>8864390.5196202993</v>
      </c>
      <c r="Q29" s="2">
        <v>12834818.643569859</v>
      </c>
      <c r="R29" s="21">
        <f t="shared" ca="1" si="86"/>
        <v>9.4662202192980875E-3</v>
      </c>
      <c r="S29" s="38">
        <f t="shared" ca="1" si="87"/>
        <v>8760995.3544255458</v>
      </c>
      <c r="T29" s="2">
        <v>9098426.4999917522</v>
      </c>
      <c r="U29" s="21">
        <f t="shared" ca="1" si="88"/>
        <v>9.765323230441731E-3</v>
      </c>
      <c r="V29" s="38">
        <f t="shared" ca="1" si="89"/>
        <v>9227609.5857230984</v>
      </c>
      <c r="W29" s="2">
        <v>9256136.2379915863</v>
      </c>
      <c r="X29" s="21">
        <f t="shared" ca="1" si="90"/>
        <v>9.6914982010444899E-3</v>
      </c>
      <c r="Y29" s="38">
        <f t="shared" ca="1" si="91"/>
        <v>9341006.6192271654</v>
      </c>
      <c r="Z29" s="2">
        <v>9400913.7774754353</v>
      </c>
      <c r="AA29" s="21">
        <f t="shared" ca="1" si="92"/>
        <v>9.7260056960468463E-3</v>
      </c>
      <c r="AB29" s="38">
        <f t="shared" ca="1" si="93"/>
        <v>9543002.946601687</v>
      </c>
      <c r="AC29" s="2">
        <v>9548297.3126699943</v>
      </c>
      <c r="AD29" s="21">
        <f t="shared" ca="1" si="94"/>
        <v>9.7146892059499102E-3</v>
      </c>
      <c r="AE29" s="38">
        <f t="shared" ca="1" si="95"/>
        <v>9713005.473891763</v>
      </c>
      <c r="AF29" s="2">
        <v>9674994.7499025799</v>
      </c>
      <c r="AG29" s="21">
        <f t="shared" ca="1" si="96"/>
        <v>9.70338930852911E-3</v>
      </c>
      <c r="AH29" s="38">
        <f t="shared" ca="1" si="97"/>
        <v>9876338.2705471888</v>
      </c>
      <c r="AI29" s="2">
        <v>14098957.182271648</v>
      </c>
      <c r="AJ29" s="21">
        <f t="shared" ca="1" si="98"/>
        <v>9.4038391154959815E-3</v>
      </c>
      <c r="AK29" s="38">
        <f t="shared" ca="1" si="99"/>
        <v>9743735.1085312497</v>
      </c>
      <c r="AL29" s="2">
        <v>99782332.880605415</v>
      </c>
    </row>
    <row r="30" spans="1:38" ht="12.75" x14ac:dyDescent="0.2">
      <c r="A30" s="8" t="s">
        <v>16</v>
      </c>
      <c r="B30" s="8" t="s">
        <v>17</v>
      </c>
      <c r="C30" s="8" t="s">
        <v>36</v>
      </c>
      <c r="D30" s="8" t="s">
        <v>74</v>
      </c>
      <c r="E30" s="8" t="s">
        <v>77</v>
      </c>
      <c r="F30" s="8" t="s">
        <v>192</v>
      </c>
      <c r="G30" s="8" t="s">
        <v>1037</v>
      </c>
      <c r="H30" s="34">
        <v>33091141.788832609</v>
      </c>
      <c r="I30" s="21">
        <f t="shared" si="80"/>
        <v>3.7879544542204657E-2</v>
      </c>
      <c r="J30" s="38">
        <f t="shared" si="81"/>
        <v>31911801.309595525</v>
      </c>
      <c r="K30" s="2">
        <v>33947287.122497588</v>
      </c>
      <c r="L30" s="21">
        <f t="shared" ca="1" si="82"/>
        <v>3.7785239676401822E-2</v>
      </c>
      <c r="M30" s="38">
        <f t="shared" ca="1" si="83"/>
        <v>33317778.248769429</v>
      </c>
      <c r="N30" s="2">
        <v>34711539.523682527</v>
      </c>
      <c r="O30" s="21">
        <f t="shared" ca="1" si="84"/>
        <v>3.8544535731209396E-2</v>
      </c>
      <c r="P30" s="38">
        <f t="shared" ca="1" si="85"/>
        <v>34870970.281682529</v>
      </c>
      <c r="Q30" s="2">
        <v>50605108.824663207</v>
      </c>
      <c r="R30" s="21">
        <f t="shared" ca="1" si="86"/>
        <v>3.7323402664189702E-2</v>
      </c>
      <c r="S30" s="38">
        <f t="shared" ca="1" si="87"/>
        <v>34542842.842987023</v>
      </c>
      <c r="T30" s="2">
        <v>35799510.567039378</v>
      </c>
      <c r="U30" s="21">
        <f t="shared" ca="1" si="88"/>
        <v>3.8423544134699637E-2</v>
      </c>
      <c r="V30" s="38">
        <f t="shared" ca="1" si="89"/>
        <v>36307806.286384501</v>
      </c>
      <c r="W30" s="2">
        <v>36424441.498380169</v>
      </c>
      <c r="X30" s="21">
        <f t="shared" ca="1" si="90"/>
        <v>3.8137663510903322E-2</v>
      </c>
      <c r="Y30" s="38">
        <f t="shared" ca="1" si="91"/>
        <v>36758420.618476972</v>
      </c>
      <c r="Z30" s="2">
        <v>36998128.093351007</v>
      </c>
      <c r="AA30" s="21">
        <f t="shared" ca="1" si="92"/>
        <v>3.8277556107491173E-2</v>
      </c>
      <c r="AB30" s="38">
        <f t="shared" ca="1" si="93"/>
        <v>37557332.592450529</v>
      </c>
      <c r="AC30" s="2">
        <v>37582141.047031328</v>
      </c>
      <c r="AD30" s="21">
        <f t="shared" ca="1" si="94"/>
        <v>3.8237060285253054E-2</v>
      </c>
      <c r="AE30" s="38">
        <f t="shared" ca="1" si="95"/>
        <v>38230433.108320609</v>
      </c>
      <c r="AF30" s="2">
        <v>38084184.538146205</v>
      </c>
      <c r="AG30" s="21">
        <f t="shared" ca="1" si="96"/>
        <v>3.8195955514623778E-2</v>
      </c>
      <c r="AH30" s="38">
        <f t="shared" ca="1" si="97"/>
        <v>38876743.500089474</v>
      </c>
      <c r="AI30" s="2">
        <v>55614306.635489039</v>
      </c>
      <c r="AJ30" s="21">
        <f t="shared" ca="1" si="98"/>
        <v>3.7094090389721633E-2</v>
      </c>
      <c r="AK30" s="38">
        <f t="shared" ca="1" si="99"/>
        <v>38434833.519618265</v>
      </c>
      <c r="AL30" s="2">
        <v>392857789.63911301</v>
      </c>
    </row>
    <row r="31" spans="1:38" ht="12.75" x14ac:dyDescent="0.2">
      <c r="A31" s="8" t="s">
        <v>16</v>
      </c>
      <c r="B31" s="8" t="s">
        <v>17</v>
      </c>
      <c r="C31" s="8" t="s">
        <v>36</v>
      </c>
      <c r="D31" s="8" t="s">
        <v>74</v>
      </c>
      <c r="E31" s="8" t="s">
        <v>78</v>
      </c>
      <c r="F31" s="8" t="s">
        <v>192</v>
      </c>
      <c r="G31" s="8" t="s">
        <v>1038</v>
      </c>
      <c r="H31" s="34">
        <v>32942541.717629645</v>
      </c>
      <c r="I31" s="21">
        <f t="shared" si="80"/>
        <v>3.7709441526357468E-2</v>
      </c>
      <c r="J31" s="38">
        <f t="shared" si="81"/>
        <v>31768497.220027331</v>
      </c>
      <c r="K31" s="2">
        <v>33863090.737158537</v>
      </c>
      <c r="L31" s="21">
        <f t="shared" ca="1" si="82"/>
        <v>3.7691524364528953E-2</v>
      </c>
      <c r="M31" s="38">
        <f t="shared" ca="1" si="83"/>
        <v>33235143.177343782</v>
      </c>
      <c r="N31" s="2">
        <v>34684834.161924653</v>
      </c>
      <c r="O31" s="21">
        <f t="shared" ca="1" si="84"/>
        <v>3.8514881449532003E-2</v>
      </c>
      <c r="P31" s="38">
        <f t="shared" ca="1" si="85"/>
        <v>34844142.261692658</v>
      </c>
      <c r="Q31" s="2">
        <v>51774000.05645895</v>
      </c>
      <c r="R31" s="21">
        <f t="shared" ca="1" si="86"/>
        <v>3.8185509260306554E-2</v>
      </c>
      <c r="S31" s="38">
        <f t="shared" ca="1" si="87"/>
        <v>35340723.27558057</v>
      </c>
      <c r="T31" s="2">
        <v>35854648.021623723</v>
      </c>
      <c r="U31" s="21">
        <f t="shared" ca="1" si="88"/>
        <v>3.8482723056035152E-2</v>
      </c>
      <c r="V31" s="38">
        <f t="shared" ca="1" si="89"/>
        <v>36363726.604524717</v>
      </c>
      <c r="W31" s="2">
        <v>36526589.494056195</v>
      </c>
      <c r="X31" s="21">
        <f t="shared" ca="1" si="90"/>
        <v>3.8244616033087604E-2</v>
      </c>
      <c r="Y31" s="38">
        <f t="shared" ca="1" si="91"/>
        <v>36861505.218705118</v>
      </c>
      <c r="Z31" s="2">
        <v>37143431.765749209</v>
      </c>
      <c r="AA31" s="21">
        <f t="shared" ca="1" si="92"/>
        <v>3.842788450947987E-2</v>
      </c>
      <c r="AB31" s="38">
        <f t="shared" ca="1" si="93"/>
        <v>37704832.442642793</v>
      </c>
      <c r="AC31" s="2">
        <v>37771377.198332697</v>
      </c>
      <c r="AD31" s="21">
        <f t="shared" ca="1" si="94"/>
        <v>3.8429594130421817E-2</v>
      </c>
      <c r="AE31" s="38">
        <f t="shared" ca="1" si="95"/>
        <v>38422933.583877586</v>
      </c>
      <c r="AF31" s="2">
        <v>38311187.000867359</v>
      </c>
      <c r="AG31" s="21">
        <f t="shared" ca="1" si="96"/>
        <v>3.8423624193183049E-2</v>
      </c>
      <c r="AH31" s="38">
        <f t="shared" ca="1" si="97"/>
        <v>39108470.045481548</v>
      </c>
      <c r="AI31" s="2">
        <v>57160015.66860082</v>
      </c>
      <c r="AJ31" s="21">
        <f t="shared" ca="1" si="98"/>
        <v>3.8125060189745527E-2</v>
      </c>
      <c r="AK31" s="38">
        <f t="shared" ca="1" si="99"/>
        <v>39503067.090285689</v>
      </c>
      <c r="AL31" s="2">
        <v>396031715.82240188</v>
      </c>
    </row>
    <row r="32" spans="1:38" ht="12.75" x14ac:dyDescent="0.2">
      <c r="A32" s="8" t="s">
        <v>16</v>
      </c>
      <c r="B32" s="8" t="s">
        <v>17</v>
      </c>
      <c r="C32" s="8" t="s">
        <v>36</v>
      </c>
      <c r="D32" s="8" t="s">
        <v>74</v>
      </c>
      <c r="E32" s="8" t="s">
        <v>79</v>
      </c>
      <c r="F32" s="8" t="s">
        <v>192</v>
      </c>
      <c r="G32" s="8" t="s">
        <v>1039</v>
      </c>
      <c r="H32" s="34">
        <v>17950145.540116929</v>
      </c>
      <c r="I32" s="21">
        <f t="shared" si="80"/>
        <v>2.0547593729611908E-2</v>
      </c>
      <c r="J32" s="38">
        <f t="shared" si="81"/>
        <v>17310417.440713573</v>
      </c>
      <c r="K32" s="2">
        <v>18420922.674320437</v>
      </c>
      <c r="L32" s="21">
        <f t="shared" ca="1" si="82"/>
        <v>2.0503522882344926E-2</v>
      </c>
      <c r="M32" s="38">
        <f t="shared" ca="1" si="83"/>
        <v>18079330.303657629</v>
      </c>
      <c r="N32" s="2">
        <v>18841169.729452766</v>
      </c>
      <c r="O32" s="21">
        <f t="shared" ca="1" si="84"/>
        <v>2.0921692031527279E-2</v>
      </c>
      <c r="P32" s="38">
        <f t="shared" ca="1" si="85"/>
        <v>18927707.578617416</v>
      </c>
      <c r="Q32" s="2">
        <v>27580724.468074378</v>
      </c>
      <c r="R32" s="21">
        <f t="shared" ca="1" si="86"/>
        <v>2.0341947858638174E-2</v>
      </c>
      <c r="S32" s="38">
        <f t="shared" ca="1" si="87"/>
        <v>18826491.097912602</v>
      </c>
      <c r="T32" s="2">
        <v>19439423.168147992</v>
      </c>
      <c r="U32" s="21">
        <f t="shared" ca="1" si="88"/>
        <v>2.0864294573405068E-2</v>
      </c>
      <c r="V32" s="38">
        <f t="shared" ca="1" si="89"/>
        <v>19715431.846099179</v>
      </c>
      <c r="W32" s="2">
        <v>19783060.143510953</v>
      </c>
      <c r="X32" s="21">
        <f t="shared" ca="1" si="90"/>
        <v>2.071355551196951E-2</v>
      </c>
      <c r="Y32" s="38">
        <f t="shared" ca="1" si="91"/>
        <v>19964452.877284121</v>
      </c>
      <c r="Z32" s="2">
        <v>20098518.886894152</v>
      </c>
      <c r="AA32" s="21">
        <f t="shared" ca="1" si="92"/>
        <v>2.0793543457913968E-2</v>
      </c>
      <c r="AB32" s="38">
        <f t="shared" ca="1" si="93"/>
        <v>20402295.936328381</v>
      </c>
      <c r="AC32" s="2">
        <v>20419655.887658246</v>
      </c>
      <c r="AD32" s="21">
        <f t="shared" ca="1" si="94"/>
        <v>2.0775495792094752E-2</v>
      </c>
      <c r="AE32" s="38">
        <f t="shared" ca="1" si="95"/>
        <v>20771895.021390978</v>
      </c>
      <c r="AF32" s="2">
        <v>20695719.526270654</v>
      </c>
      <c r="AG32" s="21">
        <f t="shared" ca="1" si="96"/>
        <v>2.0756458145422135E-2</v>
      </c>
      <c r="AH32" s="38">
        <f t="shared" ca="1" si="97"/>
        <v>21126412.16636068</v>
      </c>
      <c r="AI32" s="2">
        <v>30335181.798284952</v>
      </c>
      <c r="AJ32" s="21">
        <f t="shared" ca="1" si="98"/>
        <v>2.0233210547592504E-2</v>
      </c>
      <c r="AK32" s="38">
        <f t="shared" ca="1" si="99"/>
        <v>20964527.524297599</v>
      </c>
      <c r="AL32" s="2">
        <v>213564521.82273144</v>
      </c>
    </row>
    <row r="33" spans="1:38" ht="12.75" x14ac:dyDescent="0.2">
      <c r="A33" s="8" t="s">
        <v>16</v>
      </c>
      <c r="B33" s="8" t="s">
        <v>17</v>
      </c>
      <c r="C33" s="8" t="s">
        <v>36</v>
      </c>
      <c r="D33" s="8" t="s">
        <v>74</v>
      </c>
      <c r="E33" s="8" t="s">
        <v>80</v>
      </c>
      <c r="F33" s="8" t="s">
        <v>192</v>
      </c>
      <c r="G33" s="8" t="s">
        <v>1040</v>
      </c>
      <c r="H33" s="34">
        <v>9581024.8337404896</v>
      </c>
      <c r="I33" s="21">
        <f t="shared" si="80"/>
        <v>1.0967432289450933E-2</v>
      </c>
      <c r="J33" s="38">
        <f t="shared" si="81"/>
        <v>9239565.1618104279</v>
      </c>
      <c r="K33" s="2">
        <v>9866498.2347527053</v>
      </c>
      <c r="L33" s="21">
        <f t="shared" ca="1" si="82"/>
        <v>1.0981967402038989E-2</v>
      </c>
      <c r="M33" s="38">
        <f t="shared" ca="1" si="83"/>
        <v>9683536.6870747507</v>
      </c>
      <c r="N33" s="2">
        <v>10121330.824056275</v>
      </c>
      <c r="O33" s="21">
        <f t="shared" ca="1" si="84"/>
        <v>1.1238971331970478E-2</v>
      </c>
      <c r="P33" s="38">
        <f t="shared" ca="1" si="85"/>
        <v>10167818.288092466</v>
      </c>
      <c r="Q33" s="2">
        <v>15420888.158733932</v>
      </c>
      <c r="R33" s="21">
        <f t="shared" ca="1" si="86"/>
        <v>1.1373555586691144E-2</v>
      </c>
      <c r="S33" s="38">
        <f t="shared" ca="1" si="87"/>
        <v>10526235.957955595</v>
      </c>
      <c r="T33" s="2">
        <v>10484104.271200269</v>
      </c>
      <c r="U33" s="21">
        <f t="shared" ca="1" si="88"/>
        <v>1.1252568451261125E-2</v>
      </c>
      <c r="V33" s="38">
        <f t="shared" ca="1" si="89"/>
        <v>10632961.762205342</v>
      </c>
      <c r="W33" s="2">
        <v>10692481.460624276</v>
      </c>
      <c r="X33" s="21">
        <f t="shared" ca="1" si="90"/>
        <v>1.1195401858392129E-2</v>
      </c>
      <c r="Y33" s="38">
        <f t="shared" ca="1" si="91"/>
        <v>10790521.825911127</v>
      </c>
      <c r="Z33" s="2">
        <v>10883771.720515512</v>
      </c>
      <c r="AA33" s="21">
        <f t="shared" ca="1" si="92"/>
        <v>1.1260142179139782E-2</v>
      </c>
      <c r="AB33" s="38">
        <f t="shared" ca="1" si="93"/>
        <v>11048273.397409217</v>
      </c>
      <c r="AC33" s="2">
        <v>11078505.205084791</v>
      </c>
      <c r="AD33" s="21">
        <f t="shared" ca="1" si="94"/>
        <v>1.1271563024235376E-2</v>
      </c>
      <c r="AE33" s="38">
        <f t="shared" ca="1" si="95"/>
        <v>11269609.457671693</v>
      </c>
      <c r="AF33" s="2">
        <v>11245906.763242081</v>
      </c>
      <c r="AG33" s="21">
        <f t="shared" ca="1" si="96"/>
        <v>1.1278911696800373E-2</v>
      </c>
      <c r="AH33" s="38">
        <f t="shared" ca="1" si="97"/>
        <v>11479942.079961501</v>
      </c>
      <c r="AI33" s="2">
        <v>17091156.837625042</v>
      </c>
      <c r="AJ33" s="21">
        <f t="shared" ca="1" si="98"/>
        <v>1.1399601198933431E-2</v>
      </c>
      <c r="AK33" s="38">
        <f t="shared" ca="1" si="99"/>
        <v>11811632.787535653</v>
      </c>
      <c r="AL33" s="2">
        <v>116465668.30957538</v>
      </c>
    </row>
    <row r="34" spans="1:38" ht="12.75" x14ac:dyDescent="0.2">
      <c r="A34" s="8" t="s">
        <v>16</v>
      </c>
      <c r="B34" s="8" t="s">
        <v>17</v>
      </c>
      <c r="C34" s="8" t="s">
        <v>36</v>
      </c>
      <c r="D34" s="8" t="s">
        <v>74</v>
      </c>
      <c r="E34" s="8" t="s">
        <v>81</v>
      </c>
      <c r="F34" s="8" t="s">
        <v>192</v>
      </c>
      <c r="G34" s="8" t="s">
        <v>1041</v>
      </c>
      <c r="H34" s="34">
        <v>57212119.670002684</v>
      </c>
      <c r="I34" s="21">
        <f t="shared" si="80"/>
        <v>6.5490911411378763E-2</v>
      </c>
      <c r="J34" s="38">
        <f t="shared" si="81"/>
        <v>55173127.813500457</v>
      </c>
      <c r="K34" s="2">
        <v>58860756.028102763</v>
      </c>
      <c r="L34" s="21">
        <f t="shared" ca="1" si="82"/>
        <v>6.5515331638448929E-2</v>
      </c>
      <c r="M34" s="38">
        <f t="shared" ca="1" si="83"/>
        <v>57769258.846005902</v>
      </c>
      <c r="N34" s="2">
        <v>60332438.750433438</v>
      </c>
      <c r="O34" s="21">
        <f t="shared" ca="1" si="84"/>
        <v>6.6994603900540975E-2</v>
      </c>
      <c r="P34" s="38">
        <f t="shared" ca="1" si="85"/>
        <v>60609546.783495672</v>
      </c>
      <c r="Q34" s="2">
        <v>90937892.263111874</v>
      </c>
      <c r="R34" s="21">
        <f t="shared" ca="1" si="86"/>
        <v>6.7070531991715657E-2</v>
      </c>
      <c r="S34" s="38">
        <f t="shared" ca="1" si="87"/>
        <v>62073837.876744561</v>
      </c>
      <c r="T34" s="2">
        <v>62427490.31248527</v>
      </c>
      <c r="U34" s="21">
        <f t="shared" ca="1" si="88"/>
        <v>6.7003302314662991E-2</v>
      </c>
      <c r="V34" s="38">
        <f t="shared" ca="1" si="89"/>
        <v>63313860.701149486</v>
      </c>
      <c r="W34" s="2">
        <v>63630888.63073498</v>
      </c>
      <c r="X34" s="21">
        <f t="shared" ca="1" si="90"/>
        <v>6.6623764694007839E-2</v>
      </c>
      <c r="Y34" s="38">
        <f t="shared" ca="1" si="91"/>
        <v>64214326.216094144</v>
      </c>
      <c r="Z34" s="2">
        <v>64735608.286888212</v>
      </c>
      <c r="AA34" s="21">
        <f t="shared" ca="1" si="92"/>
        <v>6.697422291478701E-2</v>
      </c>
      <c r="AB34" s="38">
        <f t="shared" ca="1" si="93"/>
        <v>65714048.150511414</v>
      </c>
      <c r="AC34" s="2">
        <v>65860212.896852203</v>
      </c>
      <c r="AD34" s="21">
        <f t="shared" ca="1" si="94"/>
        <v>6.7007915482650837E-2</v>
      </c>
      <c r="AE34" s="38">
        <f t="shared" ca="1" si="95"/>
        <v>66996301.794033952</v>
      </c>
      <c r="AF34" s="2">
        <v>66826973.002004363</v>
      </c>
      <c r="AG34" s="21">
        <f t="shared" ca="1" si="96"/>
        <v>6.7023099454967872E-2</v>
      </c>
      <c r="AH34" s="38">
        <f t="shared" ca="1" si="97"/>
        <v>68217689.830908194</v>
      </c>
      <c r="AI34" s="2">
        <v>100583854.59113225</v>
      </c>
      <c r="AJ34" s="21">
        <f t="shared" ca="1" si="98"/>
        <v>6.7088251560960391E-2</v>
      </c>
      <c r="AK34" s="38">
        <f t="shared" ca="1" si="99"/>
        <v>69513115.236875147</v>
      </c>
      <c r="AL34" s="2">
        <v>691408234.43174815</v>
      </c>
    </row>
    <row r="35" spans="1:38" ht="12.75" x14ac:dyDescent="0.2">
      <c r="A35" s="8" t="s">
        <v>16</v>
      </c>
      <c r="B35" s="8" t="s">
        <v>17</v>
      </c>
      <c r="C35" s="8" t="s">
        <v>36</v>
      </c>
      <c r="D35" s="8" t="s">
        <v>74</v>
      </c>
      <c r="E35" s="8" t="s">
        <v>82</v>
      </c>
      <c r="F35" s="8" t="s">
        <v>192</v>
      </c>
      <c r="G35" s="8" t="s">
        <v>1042</v>
      </c>
      <c r="H35" s="34">
        <v>4804099.625509345</v>
      </c>
      <c r="I35" s="21">
        <f t="shared" si="80"/>
        <v>5.4992694694832945E-3</v>
      </c>
      <c r="J35" s="38">
        <f t="shared" si="81"/>
        <v>4632885.552848882</v>
      </c>
      <c r="K35" s="2">
        <v>4946265.2702746252</v>
      </c>
      <c r="L35" s="21">
        <f t="shared" ca="1" si="82"/>
        <v>5.505471411190596E-3</v>
      </c>
      <c r="M35" s="38">
        <f t="shared" ca="1" si="83"/>
        <v>4854543.1285843169</v>
      </c>
      <c r="N35" s="2">
        <v>5073171.8025017651</v>
      </c>
      <c r="O35" s="21">
        <f t="shared" ca="1" si="84"/>
        <v>5.6333730654234086E-3</v>
      </c>
      <c r="P35" s="38">
        <f t="shared" ca="1" si="85"/>
        <v>5096472.9766080081</v>
      </c>
      <c r="Q35" s="2">
        <v>7712349.3328201957</v>
      </c>
      <c r="R35" s="21">
        <f t="shared" ca="1" si="86"/>
        <v>5.6881829981453207E-3</v>
      </c>
      <c r="S35" s="38">
        <f t="shared" ca="1" si="87"/>
        <v>5264418.4972878946</v>
      </c>
      <c r="T35" s="2">
        <v>5253832.8407423915</v>
      </c>
      <c r="U35" s="21">
        <f t="shared" ca="1" si="88"/>
        <v>5.6389284332412706E-3</v>
      </c>
      <c r="V35" s="38">
        <f t="shared" ca="1" si="89"/>
        <v>5328428.8533918755</v>
      </c>
      <c r="W35" s="2">
        <v>5357604.6015572399</v>
      </c>
      <c r="X35" s="21">
        <f t="shared" ca="1" si="90"/>
        <v>5.6095992996280783E-3</v>
      </c>
      <c r="Y35" s="38">
        <f t="shared" ca="1" si="91"/>
        <v>5406728.9806018518</v>
      </c>
      <c r="Z35" s="2">
        <v>5452867.0779852699</v>
      </c>
      <c r="AA35" s="21">
        <f t="shared" ca="1" si="92"/>
        <v>5.6414320475251948E-3</v>
      </c>
      <c r="AB35" s="38">
        <f t="shared" ca="1" si="93"/>
        <v>5535283.8909469228</v>
      </c>
      <c r="AC35" s="2">
        <v>5549844.2789890049</v>
      </c>
      <c r="AD35" s="21">
        <f t="shared" ca="1" si="94"/>
        <v>5.6465577627390689E-3</v>
      </c>
      <c r="AE35" s="38">
        <f t="shared" ca="1" si="95"/>
        <v>5645579.1117372978</v>
      </c>
      <c r="AF35" s="2">
        <v>5633210.1910696384</v>
      </c>
      <c r="AG35" s="21">
        <f t="shared" ca="1" si="96"/>
        <v>5.6497427599402836E-3</v>
      </c>
      <c r="AH35" s="38">
        <f t="shared" ca="1" si="97"/>
        <v>5750441.3009276018</v>
      </c>
      <c r="AI35" s="2">
        <v>8544142.4975208472</v>
      </c>
      <c r="AJ35" s="21">
        <f t="shared" ca="1" si="98"/>
        <v>5.6988428568028543E-3</v>
      </c>
      <c r="AK35" s="38">
        <f t="shared" ca="1" si="99"/>
        <v>5904824.0340832137</v>
      </c>
      <c r="AL35" s="2">
        <v>58327387.518970318</v>
      </c>
    </row>
    <row r="36" spans="1:38" ht="12.75" x14ac:dyDescent="0.2">
      <c r="A36" s="8" t="s">
        <v>16</v>
      </c>
      <c r="B36" s="8" t="s">
        <v>17</v>
      </c>
      <c r="C36" s="8" t="s">
        <v>36</v>
      </c>
      <c r="D36" s="8" t="s">
        <v>74</v>
      </c>
      <c r="E36" s="8" t="s">
        <v>84</v>
      </c>
      <c r="F36" s="8" t="s">
        <v>192</v>
      </c>
      <c r="G36" s="8" t="s">
        <v>1043</v>
      </c>
      <c r="H36" s="34">
        <v>9968897.313020844</v>
      </c>
      <c r="I36" s="21">
        <f t="shared" si="80"/>
        <v>1.1411431259004588E-2</v>
      </c>
      <c r="J36" s="38">
        <f t="shared" si="81"/>
        <v>9613614.1919479165</v>
      </c>
      <c r="K36" s="2">
        <v>10075040.055411469</v>
      </c>
      <c r="L36" s="21">
        <f t="shared" ca="1" si="82"/>
        <v>1.1214086176293632E-2</v>
      </c>
      <c r="M36" s="38">
        <f t="shared" ca="1" si="83"/>
        <v>9888211.3672997467</v>
      </c>
      <c r="N36" s="2">
        <v>10169790.143452168</v>
      </c>
      <c r="O36" s="21">
        <f t="shared" ca="1" si="84"/>
        <v>1.1292781736049234E-2</v>
      </c>
      <c r="P36" s="38">
        <f t="shared" ca="1" si="85"/>
        <v>10216500.182059508</v>
      </c>
      <c r="Q36" s="2">
        <v>12140234.839751462</v>
      </c>
      <c r="R36" s="21">
        <f t="shared" ca="1" si="86"/>
        <v>8.9539353611870036E-3</v>
      </c>
      <c r="S36" s="38">
        <f t="shared" ca="1" si="87"/>
        <v>8286875.256003987</v>
      </c>
      <c r="T36" s="2">
        <v>10304674.053511154</v>
      </c>
      <c r="U36" s="21">
        <f t="shared" ca="1" si="88"/>
        <v>1.105998635225265E-2</v>
      </c>
      <c r="V36" s="38">
        <f t="shared" ca="1" si="89"/>
        <v>10450983.922771461</v>
      </c>
      <c r="W36" s="2">
        <v>10382151.416581377</v>
      </c>
      <c r="X36" s="21">
        <f t="shared" ca="1" si="90"/>
        <v>1.087047545430277E-2</v>
      </c>
      <c r="Y36" s="38">
        <f t="shared" ca="1" si="91"/>
        <v>10477346.336590676</v>
      </c>
      <c r="Z36" s="2">
        <v>10453275.635879841</v>
      </c>
      <c r="AA36" s="21">
        <f t="shared" ca="1" si="92"/>
        <v>1.0814759158892915E-2</v>
      </c>
      <c r="AB36" s="38">
        <f t="shared" ca="1" si="93"/>
        <v>10611270.622846814</v>
      </c>
      <c r="AC36" s="2">
        <v>10525680.091125678</v>
      </c>
      <c r="AD36" s="21">
        <f t="shared" ca="1" si="94"/>
        <v>1.0709104190844183E-2</v>
      </c>
      <c r="AE36" s="38">
        <f t="shared" ca="1" si="95"/>
        <v>10707248.108610578</v>
      </c>
      <c r="AF36" s="2">
        <v>10587922.178830789</v>
      </c>
      <c r="AG36" s="21">
        <f t="shared" ca="1" si="96"/>
        <v>1.0618996033113033E-2</v>
      </c>
      <c r="AH36" s="38">
        <f t="shared" ca="1" si="97"/>
        <v>10808264.368455067</v>
      </c>
      <c r="AI36" s="2">
        <v>12761262.569403527</v>
      </c>
      <c r="AJ36" s="21">
        <f t="shared" ca="1" si="98"/>
        <v>8.5116124945870831E-3</v>
      </c>
      <c r="AK36" s="38">
        <f t="shared" ca="1" si="99"/>
        <v>8819259.5040315334</v>
      </c>
      <c r="AL36" s="2">
        <v>107368928.29696831</v>
      </c>
    </row>
    <row r="37" spans="1:38" ht="12.75" x14ac:dyDescent="0.2">
      <c r="A37" s="8" t="s">
        <v>16</v>
      </c>
      <c r="B37" s="8" t="s">
        <v>17</v>
      </c>
      <c r="C37" s="8" t="s">
        <v>36</v>
      </c>
      <c r="D37" s="8" t="s">
        <v>74</v>
      </c>
      <c r="E37" s="8" t="s">
        <v>194</v>
      </c>
      <c r="F37" s="8" t="s">
        <v>192</v>
      </c>
      <c r="G37" s="8" t="s">
        <v>1044</v>
      </c>
      <c r="H37" s="34">
        <v>379468.9</v>
      </c>
      <c r="I37" s="21">
        <f t="shared" si="80"/>
        <v>4.3437936326459097E-4</v>
      </c>
      <c r="J37" s="38">
        <f t="shared" si="81"/>
        <v>365944.9473592182</v>
      </c>
      <c r="K37" s="2">
        <v>379468.9</v>
      </c>
      <c r="L37" s="21">
        <f t="shared" ca="1" si="82"/>
        <v>4.2237022606552398E-4</v>
      </c>
      <c r="M37" s="38">
        <f t="shared" ca="1" si="83"/>
        <v>372432.13623764471</v>
      </c>
      <c r="N37" s="2">
        <v>379468.9</v>
      </c>
      <c r="O37" s="21">
        <f t="shared" ca="1" si="84"/>
        <v>4.213714740296547E-4</v>
      </c>
      <c r="P37" s="38">
        <f t="shared" ca="1" si="85"/>
        <v>381211.80783971562</v>
      </c>
      <c r="Q37" s="2">
        <v>379468.9</v>
      </c>
      <c r="R37" s="21">
        <f t="shared" ca="1" si="86"/>
        <v>2.7987432261650507E-4</v>
      </c>
      <c r="S37" s="38">
        <f t="shared" ca="1" si="87"/>
        <v>259023.93811497546</v>
      </c>
      <c r="T37" s="2">
        <v>379468.9</v>
      </c>
      <c r="U37" s="21">
        <f t="shared" ca="1" si="88"/>
        <v>4.0728322247847248E-4</v>
      </c>
      <c r="V37" s="38">
        <f t="shared" ca="1" si="89"/>
        <v>384856.75068397535</v>
      </c>
      <c r="W37" s="2">
        <v>379468.9</v>
      </c>
      <c r="X37" s="21">
        <f t="shared" ca="1" si="90"/>
        <v>3.9731720311198757E-4</v>
      </c>
      <c r="Y37" s="38">
        <f t="shared" ca="1" si="91"/>
        <v>382948.28593188146</v>
      </c>
      <c r="Z37" s="2">
        <v>379468.9</v>
      </c>
      <c r="AA37" s="21">
        <f t="shared" ca="1" si="92"/>
        <v>3.9259127040560451E-4</v>
      </c>
      <c r="AB37" s="38">
        <f t="shared" ca="1" si="93"/>
        <v>385204.34465852263</v>
      </c>
      <c r="AC37" s="2">
        <v>379468.9</v>
      </c>
      <c r="AD37" s="21">
        <f t="shared" ca="1" si="94"/>
        <v>3.8608165478174139E-4</v>
      </c>
      <c r="AE37" s="38">
        <f t="shared" ca="1" si="95"/>
        <v>386014.73981972487</v>
      </c>
      <c r="AF37" s="2">
        <v>379468.9</v>
      </c>
      <c r="AG37" s="21">
        <f t="shared" ca="1" si="96"/>
        <v>3.8058258039017317E-4</v>
      </c>
      <c r="AH37" s="38">
        <f t="shared" ca="1" si="97"/>
        <v>387365.91764974152</v>
      </c>
      <c r="AI37" s="2">
        <v>379468.9</v>
      </c>
      <c r="AJ37" s="21">
        <f t="shared" ca="1" si="98"/>
        <v>2.5310130662864217E-4</v>
      </c>
      <c r="AK37" s="38">
        <f t="shared" ca="1" si="99"/>
        <v>262249.4980107455</v>
      </c>
      <c r="AL37" s="2">
        <v>3794688.9999999995</v>
      </c>
    </row>
    <row r="38" spans="1:38" ht="12.75" x14ac:dyDescent="0.2">
      <c r="A38" s="8" t="s">
        <v>16</v>
      </c>
      <c r="B38" s="8" t="s">
        <v>17</v>
      </c>
      <c r="C38" s="8" t="s">
        <v>36</v>
      </c>
      <c r="D38" s="8" t="s">
        <v>74</v>
      </c>
      <c r="E38" s="8" t="s">
        <v>85</v>
      </c>
      <c r="F38" s="8" t="s">
        <v>192</v>
      </c>
      <c r="G38" s="8" t="s">
        <v>1045</v>
      </c>
      <c r="H38" s="34">
        <v>5073071.3999999994</v>
      </c>
      <c r="I38" s="21">
        <f t="shared" si="80"/>
        <v>5.807162390719784E-3</v>
      </c>
      <c r="J38" s="38">
        <f t="shared" si="81"/>
        <v>4892271.3993756929</v>
      </c>
      <c r="K38" s="2">
        <v>5073071.3999999994</v>
      </c>
      <c r="L38" s="21">
        <f t="shared" ca="1" si="82"/>
        <v>5.6466137648290646E-3</v>
      </c>
      <c r="M38" s="38">
        <f t="shared" ca="1" si="83"/>
        <v>4978997.8013694892</v>
      </c>
      <c r="N38" s="2">
        <v>5073071.3999999994</v>
      </c>
      <c r="O38" s="21">
        <f t="shared" ca="1" si="84"/>
        <v>5.6332615760492722E-3</v>
      </c>
      <c r="P38" s="38">
        <f t="shared" ca="1" si="85"/>
        <v>5096372.1129556512</v>
      </c>
      <c r="Q38" s="2">
        <v>5073071.3999999994</v>
      </c>
      <c r="R38" s="21">
        <f t="shared" ca="1" si="86"/>
        <v>3.7416041779976296E-3</v>
      </c>
      <c r="S38" s="38">
        <f t="shared" ca="1" si="87"/>
        <v>3462858.0428236718</v>
      </c>
      <c r="T38" s="2">
        <v>5073071.3999999994</v>
      </c>
      <c r="U38" s="21">
        <f t="shared" ca="1" si="88"/>
        <v>5.4449175351534091E-3</v>
      </c>
      <c r="V38" s="38">
        <f t="shared" ca="1" si="89"/>
        <v>5145100.889669233</v>
      </c>
      <c r="W38" s="2">
        <v>5073071.3999999994</v>
      </c>
      <c r="X38" s="21">
        <f t="shared" ca="1" si="90"/>
        <v>5.3116830913822318E-3</v>
      </c>
      <c r="Y38" s="38">
        <f t="shared" ca="1" si="91"/>
        <v>5119586.8674351182</v>
      </c>
      <c r="Z38" s="2">
        <v>5073071.3999999994</v>
      </c>
      <c r="AA38" s="21">
        <f t="shared" ca="1" si="92"/>
        <v>5.2485026988623789E-3</v>
      </c>
      <c r="AB38" s="38">
        <f t="shared" ca="1" si="93"/>
        <v>5149747.8292500218</v>
      </c>
      <c r="AC38" s="2">
        <v>5073071.3999999994</v>
      </c>
      <c r="AD38" s="21">
        <f t="shared" ca="1" si="94"/>
        <v>5.1614764765648127E-3</v>
      </c>
      <c r="AE38" s="38">
        <f t="shared" ca="1" si="95"/>
        <v>5160581.8989590118</v>
      </c>
      <c r="AF38" s="2">
        <v>5073071.3999999994</v>
      </c>
      <c r="AG38" s="21">
        <f t="shared" ca="1" si="96"/>
        <v>5.0879600513127378E-3</v>
      </c>
      <c r="AH38" s="38">
        <f t="shared" ca="1" si="97"/>
        <v>5178645.6233005095</v>
      </c>
      <c r="AI38" s="2">
        <v>5073071.3999999994</v>
      </c>
      <c r="AJ38" s="21">
        <f t="shared" ca="1" si="98"/>
        <v>3.3836791367102678E-3</v>
      </c>
      <c r="AK38" s="38">
        <f t="shared" ca="1" si="99"/>
        <v>3505980.1423059166</v>
      </c>
      <c r="AL38" s="2">
        <v>50730714.000000007</v>
      </c>
    </row>
    <row r="39" spans="1:38" ht="12.75" x14ac:dyDescent="0.2">
      <c r="A39" s="8" t="s">
        <v>16</v>
      </c>
      <c r="B39" s="8" t="s">
        <v>17</v>
      </c>
      <c r="C39" s="8" t="s">
        <v>36</v>
      </c>
      <c r="D39" s="8" t="s">
        <v>74</v>
      </c>
      <c r="E39" s="8" t="s">
        <v>86</v>
      </c>
      <c r="F39" s="8" t="s">
        <v>192</v>
      </c>
      <c r="G39" s="8" t="s">
        <v>1046</v>
      </c>
      <c r="H39" s="34">
        <v>2087834.2</v>
      </c>
      <c r="I39" s="21">
        <f t="shared" si="80"/>
        <v>2.3899510352443551E-3</v>
      </c>
      <c r="J39" s="38">
        <f t="shared" si="81"/>
        <v>2013425.5440005108</v>
      </c>
      <c r="K39" s="2">
        <v>2087834.2</v>
      </c>
      <c r="L39" s="21">
        <f t="shared" ca="1" si="82"/>
        <v>2.3238768790837202E-3</v>
      </c>
      <c r="M39" s="38">
        <f t="shared" ca="1" si="83"/>
        <v>2049117.9941650392</v>
      </c>
      <c r="N39" s="2">
        <v>2087834.2</v>
      </c>
      <c r="O39" s="21">
        <f t="shared" ca="1" si="84"/>
        <v>2.318381755088559E-3</v>
      </c>
      <c r="P39" s="38">
        <f t="shared" ca="1" si="85"/>
        <v>2097423.66199598</v>
      </c>
      <c r="Q39" s="2">
        <v>2087834.2</v>
      </c>
      <c r="R39" s="21">
        <f t="shared" ca="1" si="86"/>
        <v>1.5398658031279314E-3</v>
      </c>
      <c r="S39" s="38">
        <f t="shared" ca="1" si="87"/>
        <v>1425147.1902312133</v>
      </c>
      <c r="T39" s="2">
        <v>2087834.2</v>
      </c>
      <c r="U39" s="21">
        <f t="shared" ca="1" si="88"/>
        <v>2.2408683319680837E-3</v>
      </c>
      <c r="V39" s="38">
        <f t="shared" ca="1" si="89"/>
        <v>2117478.1021023779</v>
      </c>
      <c r="W39" s="2">
        <v>2087834.2</v>
      </c>
      <c r="X39" s="21">
        <f t="shared" ca="1" si="90"/>
        <v>2.1860353902666439E-3</v>
      </c>
      <c r="Y39" s="38">
        <f t="shared" ca="1" si="91"/>
        <v>2106977.7475834279</v>
      </c>
      <c r="Z39" s="2">
        <v>2087834.2</v>
      </c>
      <c r="AA39" s="21">
        <f t="shared" ca="1" si="92"/>
        <v>2.1600333544442478E-3</v>
      </c>
      <c r="AB39" s="38">
        <f t="shared" ca="1" si="93"/>
        <v>2119390.5607723077</v>
      </c>
      <c r="AC39" s="2">
        <v>2087834.2</v>
      </c>
      <c r="AD39" s="21">
        <f t="shared" ca="1" si="94"/>
        <v>2.1242175125442777E-3</v>
      </c>
      <c r="AE39" s="38">
        <f t="shared" ca="1" si="95"/>
        <v>2123849.3470735638</v>
      </c>
      <c r="AF39" s="2">
        <v>2087834.2</v>
      </c>
      <c r="AG39" s="21">
        <f t="shared" ca="1" si="96"/>
        <v>2.0939616586836307E-3</v>
      </c>
      <c r="AH39" s="38">
        <f t="shared" ca="1" si="97"/>
        <v>2131283.5143631371</v>
      </c>
      <c r="AI39" s="2">
        <v>2087834.2</v>
      </c>
      <c r="AJ39" s="21">
        <f t="shared" ca="1" si="98"/>
        <v>1.3925609293514326E-3</v>
      </c>
      <c r="AK39" s="38">
        <f t="shared" ca="1" si="99"/>
        <v>1442894.1894307185</v>
      </c>
      <c r="AL39" s="2">
        <v>20878342</v>
      </c>
    </row>
    <row r="40" spans="1:38" ht="12.75" x14ac:dyDescent="0.2">
      <c r="A40" s="8" t="s">
        <v>16</v>
      </c>
      <c r="B40" s="8" t="s">
        <v>17</v>
      </c>
      <c r="C40" s="8" t="s">
        <v>36</v>
      </c>
      <c r="D40" s="8" t="s">
        <v>87</v>
      </c>
      <c r="E40" s="8" t="s">
        <v>88</v>
      </c>
      <c r="F40" s="8" t="s">
        <v>192</v>
      </c>
      <c r="G40" s="8" t="s">
        <v>1047</v>
      </c>
      <c r="H40" s="34">
        <v>57529213.366217181</v>
      </c>
      <c r="I40" s="21">
        <f t="shared" si="80"/>
        <v>6.5853889662974258E-2</v>
      </c>
      <c r="J40" s="38">
        <f t="shared" si="81"/>
        <v>55478920.556908816</v>
      </c>
      <c r="K40" s="2">
        <v>59255089.767203696</v>
      </c>
      <c r="L40" s="21">
        <f t="shared" ca="1" si="82"/>
        <v>6.5954247266394525E-2</v>
      </c>
      <c r="M40" s="38">
        <f t="shared" ca="1" si="83"/>
        <v>58156280.171980016</v>
      </c>
      <c r="N40" s="2">
        <v>60795722.101150997</v>
      </c>
      <c r="O40" s="21">
        <f t="shared" ca="1" si="84"/>
        <v>6.750904497432926E-2</v>
      </c>
      <c r="P40" s="38">
        <f t="shared" ca="1" si="85"/>
        <v>61074958.00341142</v>
      </c>
      <c r="Q40" s="2">
        <v>92835067.648457572</v>
      </c>
      <c r="R40" s="21">
        <f t="shared" ca="1" si="86"/>
        <v>6.8469778875606097E-2</v>
      </c>
      <c r="S40" s="38">
        <f t="shared" ca="1" si="87"/>
        <v>63368842.130339615</v>
      </c>
      <c r="T40" s="2">
        <v>62988928.645474747</v>
      </c>
      <c r="U40" s="21">
        <f t="shared" ca="1" si="88"/>
        <v>6.7605892970927312E-2</v>
      </c>
      <c r="V40" s="38">
        <f t="shared" ca="1" si="89"/>
        <v>63883270.559358582</v>
      </c>
      <c r="W40" s="2">
        <v>64248707.218384244</v>
      </c>
      <c r="X40" s="21">
        <f t="shared" ca="1" si="90"/>
        <v>6.7270642351901291E-2</v>
      </c>
      <c r="Y40" s="38">
        <f t="shared" ca="1" si="91"/>
        <v>64837809.640314527</v>
      </c>
      <c r="Z40" s="2">
        <v>65405183.948315158</v>
      </c>
      <c r="AA40" s="21">
        <f t="shared" ca="1" si="92"/>
        <v>6.7666953095184598E-2</v>
      </c>
      <c r="AB40" s="38">
        <f t="shared" ca="1" si="93"/>
        <v>66393744.046167843</v>
      </c>
      <c r="AC40" s="2">
        <v>66582477.259384833</v>
      </c>
      <c r="AD40" s="21">
        <f t="shared" ca="1" si="94"/>
        <v>6.7742766270887975E-2</v>
      </c>
      <c r="AE40" s="38">
        <f t="shared" ca="1" si="95"/>
        <v>67731025.219284594</v>
      </c>
      <c r="AF40" s="2">
        <v>67594530.913727492</v>
      </c>
      <c r="AG40" s="21">
        <f t="shared" ca="1" si="96"/>
        <v>6.7792910026117398E-2</v>
      </c>
      <c r="AH40" s="38">
        <f t="shared" ca="1" si="97"/>
        <v>69001221.168585539</v>
      </c>
      <c r="AI40" s="2">
        <v>102932951.67542423</v>
      </c>
      <c r="AJ40" s="21">
        <f t="shared" ca="1" si="98"/>
        <v>6.8655071770552883E-2</v>
      </c>
      <c r="AK40" s="38">
        <f t="shared" ca="1" si="99"/>
        <v>71136567.201276124</v>
      </c>
      <c r="AL40" s="2">
        <v>700167872.54374015</v>
      </c>
    </row>
    <row r="41" spans="1:38" ht="12.75" x14ac:dyDescent="0.2">
      <c r="A41" s="8" t="s">
        <v>16</v>
      </c>
      <c r="B41" s="8" t="s">
        <v>17</v>
      </c>
      <c r="C41" s="8" t="s">
        <v>36</v>
      </c>
      <c r="D41" s="8" t="s">
        <v>87</v>
      </c>
      <c r="E41" s="8" t="s">
        <v>89</v>
      </c>
      <c r="F41" s="8" t="s">
        <v>188</v>
      </c>
      <c r="G41" s="8" t="s">
        <v>1048</v>
      </c>
      <c r="H41" s="34">
        <v>10728789.394402623</v>
      </c>
      <c r="I41" s="21">
        <f>H41/H$195</f>
        <v>3.2599964161068397E-2</v>
      </c>
      <c r="J41" s="38">
        <f>I41*J$203</f>
        <v>12085947.205346251</v>
      </c>
      <c r="K41" s="2">
        <v>11050653.076234702</v>
      </c>
      <c r="L41" s="21">
        <f>K41/K$195</f>
        <v>3.2641967943864626E-2</v>
      </c>
      <c r="M41" s="38">
        <f>L41*M$203</f>
        <v>10747117.777801527</v>
      </c>
      <c r="N41" s="2">
        <v>11337970.056216804</v>
      </c>
      <c r="O41" s="21">
        <f>N41/N$195</f>
        <v>4.9842809229063575E-2</v>
      </c>
      <c r="P41" s="38">
        <f>O41*P$203</f>
        <v>19948059.739780486</v>
      </c>
      <c r="Q41" s="2">
        <v>17473798.144266274</v>
      </c>
      <c r="R41" s="21">
        <f>Q41/Q$195</f>
        <v>5.256263207329831E-2</v>
      </c>
      <c r="S41" s="38">
        <f>R41*S$203</f>
        <v>24801217.032052055</v>
      </c>
      <c r="T41" s="2">
        <v>11998674.725729506</v>
      </c>
      <c r="U41" s="21">
        <f>T41/T$195</f>
        <v>4.9778486160832705E-2</v>
      </c>
      <c r="V41" s="38">
        <f>U41*V$203</f>
        <v>23980780.583286006</v>
      </c>
      <c r="W41" s="2">
        <v>12334637.618049933</v>
      </c>
      <c r="X41" s="21">
        <f>W41/W$195</f>
        <v>4.727464896927195E-2</v>
      </c>
      <c r="Y41" s="38">
        <f>X41*Y$203</f>
        <v>23230048.419454809</v>
      </c>
      <c r="Z41" s="2">
        <v>12680007.47135533</v>
      </c>
      <c r="AA41" s="21">
        <f>Z41/Z$195</f>
        <v>5.1112970600269078E-2</v>
      </c>
      <c r="AB41" s="38">
        <f>AA41*AB$203</f>
        <v>25568232.241488103</v>
      </c>
      <c r="AC41" s="2">
        <v>12908247.605839726</v>
      </c>
      <c r="AD41" s="21">
        <f>AC41/AC$195</f>
        <v>4.9991577367984513E-2</v>
      </c>
      <c r="AE41" s="38">
        <f>AD41*AE$203</f>
        <v>25482416.18349411</v>
      </c>
      <c r="AF41" s="2">
        <v>13104452.96944849</v>
      </c>
      <c r="AG41" s="21">
        <f>AF41/AF$195</f>
        <v>5.0607421742315507E-2</v>
      </c>
      <c r="AH41" s="38">
        <f>AG41*AH$203</f>
        <v>26260667.112480115</v>
      </c>
      <c r="AI41" s="2">
        <v>19955460.981876161</v>
      </c>
      <c r="AJ41" s="21">
        <f>AI41/AI$195</f>
        <v>4.8090973837154279E-2</v>
      </c>
      <c r="AK41" s="38">
        <f>AJ41*AK$203</f>
        <v>25404046.082557596</v>
      </c>
      <c r="AL41" s="2">
        <v>133572692.04341957</v>
      </c>
    </row>
    <row r="42" spans="1:38" ht="12.75" x14ac:dyDescent="0.2">
      <c r="A42" s="8" t="s">
        <v>16</v>
      </c>
      <c r="B42" s="8" t="s">
        <v>17</v>
      </c>
      <c r="C42" s="8" t="s">
        <v>36</v>
      </c>
      <c r="D42" s="8" t="s">
        <v>87</v>
      </c>
      <c r="E42" s="8" t="s">
        <v>89</v>
      </c>
      <c r="F42" s="8" t="s">
        <v>189</v>
      </c>
      <c r="G42" s="8" t="s">
        <v>1049</v>
      </c>
      <c r="H42" s="34">
        <v>10275560.743027395</v>
      </c>
      <c r="I42" s="21">
        <f>H42/H$194</f>
        <v>6.639137139953305E-2</v>
      </c>
      <c r="J42" s="38">
        <f>I42*J$202</f>
        <v>12467201.618789542</v>
      </c>
      <c r="K42" s="2">
        <v>10583827.565318218</v>
      </c>
      <c r="L42" s="21">
        <f>K42/K$194</f>
        <v>6.6391371399533064E-2</v>
      </c>
      <c r="M42" s="38">
        <f>L42*M$202</f>
        <v>13772615.499052428</v>
      </c>
      <c r="N42" s="2">
        <v>10859007.082016492</v>
      </c>
      <c r="O42" s="21">
        <f>N42/N$194</f>
        <v>6.4610072263033308E-2</v>
      </c>
      <c r="P42" s="38">
        <f>O42*P$202</f>
        <v>13751572.75922044</v>
      </c>
      <c r="Q42" s="2">
        <v>16605851.189179093</v>
      </c>
      <c r="R42" s="21">
        <f>Q42/Q$194</f>
        <v>6.6604060416065203E-2</v>
      </c>
      <c r="S42" s="38">
        <f>R42*S$202</f>
        <v>14502019.47603979</v>
      </c>
      <c r="T42" s="2">
        <v>11291978.808641784</v>
      </c>
      <c r="U42" s="21">
        <f>T42/T$194</f>
        <v>6.5041993176916751E-2</v>
      </c>
      <c r="V42" s="38">
        <f>U42*V$202</f>
        <v>14459303.097443437</v>
      </c>
      <c r="W42" s="2">
        <v>11517818.38481462</v>
      </c>
      <c r="X42" s="21">
        <f>W42/W$194</f>
        <v>6.4789035887928711E-2</v>
      </c>
      <c r="Y42" s="38">
        <f>X42*Y$202</f>
        <v>14691130.249277402</v>
      </c>
      <c r="Z42" s="2">
        <v>11725139.115741283</v>
      </c>
      <c r="AA42" s="21">
        <f>Z42/Z$194</f>
        <v>6.5201225069402707E-2</v>
      </c>
      <c r="AB42" s="38">
        <f>AA42*AB$202</f>
        <v>15050718.242040565</v>
      </c>
      <c r="AC42" s="2">
        <v>11936191.619824626</v>
      </c>
      <c r="AD42" s="21">
        <f>AC42/AC$194</f>
        <v>6.5120509986808378E-2</v>
      </c>
      <c r="AE42" s="38">
        <f>AD42*AE$202</f>
        <v>15317696.025207624</v>
      </c>
      <c r="AF42" s="2">
        <v>12117621.732445961</v>
      </c>
      <c r="AG42" s="21">
        <f>AF42/AF$194</f>
        <v>6.5385221921212419E-2</v>
      </c>
      <c r="AH42" s="38">
        <f>AG42*AH$202</f>
        <v>15656801.080253273</v>
      </c>
      <c r="AI42" s="2">
        <v>18452714.374168713</v>
      </c>
      <c r="AJ42" s="21">
        <f>AI42/AI$194</f>
        <v>6.5865683568331196E-2</v>
      </c>
      <c r="AK42" s="38">
        <f>AJ42*AK$202</f>
        <v>16055743.195775259</v>
      </c>
      <c r="AL42" s="2">
        <v>125365710.61517818</v>
      </c>
    </row>
    <row r="43" spans="1:38" ht="12.75" x14ac:dyDescent="0.2">
      <c r="A43" s="8" t="s">
        <v>16</v>
      </c>
      <c r="B43" s="8" t="s">
        <v>17</v>
      </c>
      <c r="C43" s="8" t="s">
        <v>36</v>
      </c>
      <c r="D43" s="8" t="s">
        <v>87</v>
      </c>
      <c r="E43" s="8" t="s">
        <v>195</v>
      </c>
      <c r="F43" s="8" t="s">
        <v>192</v>
      </c>
      <c r="G43" s="8" t="s">
        <v>1050</v>
      </c>
      <c r="H43" s="34">
        <v>15794018.574577291</v>
      </c>
      <c r="I43" s="21">
        <f t="shared" ref="I43:I48" si="100">H43/H$193</f>
        <v>1.8079467729276381E-2</v>
      </c>
      <c r="J43" s="38">
        <f t="shared" ref="J43:J48" si="101">I43*J$201</f>
        <v>15231133.027935097</v>
      </c>
      <c r="K43" s="2">
        <v>16267839.13181461</v>
      </c>
      <c r="L43" s="21">
        <f t="shared" ref="L43:L48" ca="1" si="102">K43/K$193</f>
        <v>1.8107019815595201E-2</v>
      </c>
      <c r="M43" s="38">
        <f t="shared" ref="M43:M48" ca="1" si="103">L43*M$201</f>
        <v>15966172.932306351</v>
      </c>
      <c r="N43" s="2">
        <v>16690802.949241791</v>
      </c>
      <c r="O43" s="21">
        <f t="shared" ref="O43:O48" ca="1" si="104">N43/N$193</f>
        <v>1.8533872582075953E-2</v>
      </c>
      <c r="P43" s="38">
        <f t="shared" ref="P43:P48" ca="1" si="105">O43*P$201</f>
        <v>16767464.123086032</v>
      </c>
      <c r="Q43" s="2">
        <v>25486856.103492215</v>
      </c>
      <c r="R43" s="21">
        <f t="shared" ref="R43:R48" ca="1" si="106">Q43/Q$193</f>
        <v>1.8797631604564224E-2</v>
      </c>
      <c r="S43" s="38">
        <f t="shared" ref="S43:S48" ca="1" si="107">R43*S$201</f>
        <v>17397225.011315159</v>
      </c>
      <c r="T43" s="2">
        <v>17292923.90435423</v>
      </c>
      <c r="U43" s="21">
        <f t="shared" ref="U43:U48" ca="1" si="108">T43/T$193</f>
        <v>1.8560461144089536E-2</v>
      </c>
      <c r="V43" s="38">
        <f t="shared" ref="V43:V48" ca="1" si="109">U43*V$201</f>
        <v>17538455.730245646</v>
      </c>
      <c r="W43" s="2">
        <v>17638782.382441316</v>
      </c>
      <c r="X43" s="21">
        <f t="shared" ref="X43:X48" ca="1" si="110">W43/W$193</f>
        <v>1.8468421740207391E-2</v>
      </c>
      <c r="Y43" s="38">
        <f t="shared" ref="Y43:Y48" ca="1" si="111">X43*Y$201</f>
        <v>17800514.032326154</v>
      </c>
      <c r="Z43" s="2">
        <v>17956280.465325259</v>
      </c>
      <c r="AA43" s="21">
        <f t="shared" ref="AA43:AA48" ca="1" si="112">Z43/Z$193</f>
        <v>1.8577224535769286E-2</v>
      </c>
      <c r="AB43" s="38">
        <f t="shared" ref="AB43:AB48" ca="1" si="113">AA43*AB$201</f>
        <v>18227678.866832688</v>
      </c>
      <c r="AC43" s="2">
        <v>18279493.513701115</v>
      </c>
      <c r="AD43" s="21">
        <f t="shared" ref="AD43:AD48" ca="1" si="114">AC43/AC$193</f>
        <v>1.8598038216944352E-2</v>
      </c>
      <c r="AE43" s="38">
        <f t="shared" ref="AE43:AE48" ca="1" si="115">AD43*AE$201</f>
        <v>18594814.839180984</v>
      </c>
      <c r="AF43" s="2">
        <v>18557341.815109372</v>
      </c>
      <c r="AG43" s="21">
        <f t="shared" ref="AG43:AG48" ca="1" si="116">AF43/AF$193</f>
        <v>1.8611804638474415E-2</v>
      </c>
      <c r="AH43" s="38">
        <f t="shared" ref="AH43:AH48" ca="1" si="117">AG43*AH$201</f>
        <v>18943533.294427451</v>
      </c>
      <c r="AI43" s="2">
        <v>28259120.116048552</v>
      </c>
      <c r="AJ43" s="21">
        <f t="shared" ref="AJ43:AJ48" ca="1" si="118">AI43/AI$193</f>
        <v>1.8848501749544257E-2</v>
      </c>
      <c r="AK43" s="38">
        <f t="shared" ref="AK43:AK48" ca="1" si="119">AJ43*AK$201</f>
        <v>19529769.276636615</v>
      </c>
      <c r="AL43" s="2">
        <v>192223458.95610574</v>
      </c>
    </row>
    <row r="44" spans="1:38" ht="12.75" x14ac:dyDescent="0.2">
      <c r="A44" s="8" t="s">
        <v>16</v>
      </c>
      <c r="B44" s="8" t="s">
        <v>17</v>
      </c>
      <c r="C44" s="8" t="s">
        <v>36</v>
      </c>
      <c r="D44" s="8" t="s">
        <v>87</v>
      </c>
      <c r="E44" s="8" t="s">
        <v>90</v>
      </c>
      <c r="F44" s="8" t="s">
        <v>192</v>
      </c>
      <c r="G44" s="8" t="s">
        <v>1051</v>
      </c>
      <c r="H44" s="34">
        <v>14229190.142987948</v>
      </c>
      <c r="I44" s="21">
        <f t="shared" si="100"/>
        <v>1.6288203207382473E-2</v>
      </c>
      <c r="J44" s="38">
        <f t="shared" si="101"/>
        <v>13722073.766361436</v>
      </c>
      <c r="K44" s="2">
        <v>14656065.847277587</v>
      </c>
      <c r="L44" s="21">
        <f t="shared" ca="1" si="102"/>
        <v>1.6313025507876507E-2</v>
      </c>
      <c r="M44" s="38">
        <f t="shared" ca="1" si="103"/>
        <v>14384287.914875705</v>
      </c>
      <c r="N44" s="2">
        <v>15037123.559306804</v>
      </c>
      <c r="O44" s="21">
        <f t="shared" ca="1" si="104"/>
        <v>1.6697586862457387E-2</v>
      </c>
      <c r="P44" s="38">
        <f t="shared" ca="1" si="105"/>
        <v>15106189.35241472</v>
      </c>
      <c r="Q44" s="2">
        <v>22961687.67506149</v>
      </c>
      <c r="R44" s="21">
        <f t="shared" ca="1" si="106"/>
        <v>1.6935213357905186E-2</v>
      </c>
      <c r="S44" s="38">
        <f t="shared" ca="1" si="107"/>
        <v>15673555.243553614</v>
      </c>
      <c r="T44" s="2">
        <v>15579588.006775754</v>
      </c>
      <c r="U44" s="21">
        <f t="shared" ca="1" si="108"/>
        <v>1.6721541102015448E-2</v>
      </c>
      <c r="V44" s="38">
        <f t="shared" ca="1" si="109"/>
        <v>15800793.206723258</v>
      </c>
      <c r="W44" s="2">
        <v>15891179.766911268</v>
      </c>
      <c r="X44" s="21">
        <f t="shared" ca="1" si="110"/>
        <v>1.663862071210313E-2</v>
      </c>
      <c r="Y44" s="38">
        <f t="shared" ca="1" si="111"/>
        <v>16036887.484518668</v>
      </c>
      <c r="Z44" s="2">
        <v>16177221.002715671</v>
      </c>
      <c r="AA44" s="21">
        <f t="shared" ca="1" si="112"/>
        <v>1.6736643622411142E-2</v>
      </c>
      <c r="AB44" s="38">
        <f t="shared" ca="1" si="113"/>
        <v>16421729.988273552</v>
      </c>
      <c r="AC44" s="2">
        <v>16468410.980764553</v>
      </c>
      <c r="AD44" s="21">
        <f t="shared" ca="1" si="114"/>
        <v>1.6755395140627807E-2</v>
      </c>
      <c r="AE44" s="38">
        <f t="shared" ca="1" si="115"/>
        <v>16752491.126371961</v>
      </c>
      <c r="AF44" s="2">
        <v>16718730.827672176</v>
      </c>
      <c r="AG44" s="21">
        <f t="shared" ca="1" si="116"/>
        <v>1.6767797622530362E-2</v>
      </c>
      <c r="AH44" s="38">
        <f t="shared" ca="1" si="117"/>
        <v>17066659.504903443</v>
      </c>
      <c r="AI44" s="2">
        <v>25459283.304379195</v>
      </c>
      <c r="AJ44" s="21">
        <f t="shared" ca="1" si="118"/>
        <v>1.6981043427187707E-2</v>
      </c>
      <c r="AK44" s="38">
        <f t="shared" ca="1" si="119"/>
        <v>17594812.819408383</v>
      </c>
      <c r="AL44" s="2">
        <v>173178481.11385244</v>
      </c>
    </row>
    <row r="45" spans="1:38" ht="12.75" x14ac:dyDescent="0.2">
      <c r="A45" s="8" t="s">
        <v>16</v>
      </c>
      <c r="B45" s="8" t="s">
        <v>17</v>
      </c>
      <c r="C45" s="8" t="s">
        <v>36</v>
      </c>
      <c r="D45" s="8" t="s">
        <v>87</v>
      </c>
      <c r="E45" s="8" t="s">
        <v>196</v>
      </c>
      <c r="F45" s="8" t="s">
        <v>192</v>
      </c>
      <c r="G45" s="8" t="s">
        <v>1052</v>
      </c>
      <c r="H45" s="34">
        <v>13648332.622281725</v>
      </c>
      <c r="I45" s="21">
        <f t="shared" si="100"/>
        <v>1.562329359294024E-2</v>
      </c>
      <c r="J45" s="38">
        <f t="shared" si="101"/>
        <v>13161917.519464668</v>
      </c>
      <c r="K45" s="2">
        <v>14057782.600950176</v>
      </c>
      <c r="L45" s="21">
        <f t="shared" ca="1" si="102"/>
        <v>1.5647102608786424E-2</v>
      </c>
      <c r="M45" s="38">
        <f t="shared" ca="1" si="103"/>
        <v>13797099.063549783</v>
      </c>
      <c r="N45" s="2">
        <v>14423284.94857488</v>
      </c>
      <c r="O45" s="21">
        <f t="shared" ca="1" si="104"/>
        <v>1.6015965574861943E-2</v>
      </c>
      <c r="P45" s="38">
        <f t="shared" ca="1" si="105"/>
        <v>14489531.369325891</v>
      </c>
      <c r="Q45" s="2">
        <v>22024356.116473842</v>
      </c>
      <c r="R45" s="21">
        <f t="shared" ca="1" si="106"/>
        <v>1.6243891789716618E-2</v>
      </c>
      <c r="S45" s="38">
        <f t="shared" ca="1" si="107"/>
        <v>15033736.508408731</v>
      </c>
      <c r="T45" s="2">
        <v>14943605.15938231</v>
      </c>
      <c r="U45" s="21">
        <f t="shared" ca="1" si="108"/>
        <v>1.6038941965360414E-2</v>
      </c>
      <c r="V45" s="38">
        <f t="shared" ca="1" si="109"/>
        <v>15155780.421384111</v>
      </c>
      <c r="W45" s="2">
        <v>15242477.262569956</v>
      </c>
      <c r="X45" s="21">
        <f t="shared" ca="1" si="110"/>
        <v>1.5959406513847009E-2</v>
      </c>
      <c r="Y45" s="38">
        <f t="shared" ca="1" si="111"/>
        <v>15382236.966077698</v>
      </c>
      <c r="Z45" s="2">
        <v>15516841.853296217</v>
      </c>
      <c r="AA45" s="21">
        <f t="shared" ca="1" si="112"/>
        <v>1.6053427977545501E-2</v>
      </c>
      <c r="AB45" s="38">
        <f t="shared" ca="1" si="113"/>
        <v>15751369.604383666</v>
      </c>
      <c r="AC45" s="2">
        <v>15796145.00665555</v>
      </c>
      <c r="AD45" s="21">
        <f t="shared" ca="1" si="114"/>
        <v>1.6071414029824094E-2</v>
      </c>
      <c r="AE45" s="38">
        <f t="shared" ca="1" si="115"/>
        <v>16068628.561915847</v>
      </c>
      <c r="AF45" s="2">
        <v>16036246.410756717</v>
      </c>
      <c r="AG45" s="21">
        <f t="shared" ca="1" si="116"/>
        <v>1.6083310223257936E-2</v>
      </c>
      <c r="AH45" s="38">
        <f t="shared" ca="1" si="117"/>
        <v>16369972.101956572</v>
      </c>
      <c r="AI45" s="2">
        <v>24419996.034300331</v>
      </c>
      <c r="AJ45" s="21">
        <f t="shared" ca="1" si="118"/>
        <v>1.6287851004779769E-2</v>
      </c>
      <c r="AK45" s="38">
        <f t="shared" ca="1" si="119"/>
        <v>16876565.382353224</v>
      </c>
      <c r="AL45" s="2">
        <v>166109068.01524168</v>
      </c>
    </row>
    <row r="46" spans="1:38" ht="12.75" x14ac:dyDescent="0.2">
      <c r="A46" s="8" t="s">
        <v>16</v>
      </c>
      <c r="B46" s="8" t="s">
        <v>17</v>
      </c>
      <c r="C46" s="8" t="s">
        <v>36</v>
      </c>
      <c r="D46" s="8" t="s">
        <v>87</v>
      </c>
      <c r="E46" s="8" t="s">
        <v>91</v>
      </c>
      <c r="F46" s="8" t="s">
        <v>192</v>
      </c>
      <c r="G46" s="8" t="s">
        <v>1053</v>
      </c>
      <c r="H46" s="34">
        <v>20275783.438119084</v>
      </c>
      <c r="I46" s="21">
        <f t="shared" si="100"/>
        <v>2.3209759481056039E-2</v>
      </c>
      <c r="J46" s="38">
        <f t="shared" si="101"/>
        <v>19553171.558800723</v>
      </c>
      <c r="K46" s="2">
        <v>20884056.941262655</v>
      </c>
      <c r="L46" s="21">
        <f t="shared" ca="1" si="102"/>
        <v>2.3245129841856293E-2</v>
      </c>
      <c r="M46" s="38">
        <f t="shared" ca="1" si="103"/>
        <v>20496788.906661551</v>
      </c>
      <c r="N46" s="2">
        <v>21427042.421735484</v>
      </c>
      <c r="O46" s="21">
        <f t="shared" ca="1" si="104"/>
        <v>2.3793107812900144E-2</v>
      </c>
      <c r="P46" s="38">
        <f t="shared" ca="1" si="105"/>
        <v>21525457.233117294</v>
      </c>
      <c r="Q46" s="2">
        <v>32719093.77799008</v>
      </c>
      <c r="R46" s="21">
        <f t="shared" ca="1" si="106"/>
        <v>2.4131711999958044E-2</v>
      </c>
      <c r="S46" s="38">
        <f t="shared" ca="1" si="107"/>
        <v>22333921.230246224</v>
      </c>
      <c r="T46" s="2">
        <v>22200023.28355772</v>
      </c>
      <c r="U46" s="21">
        <f t="shared" ca="1" si="108"/>
        <v>2.382724123643468E-2</v>
      </c>
      <c r="V46" s="38">
        <f t="shared" ca="1" si="109"/>
        <v>22515228.062217012</v>
      </c>
      <c r="W46" s="2">
        <v>22644023.749228876</v>
      </c>
      <c r="X46" s="21">
        <f t="shared" ca="1" si="110"/>
        <v>2.3709084415732197E-2</v>
      </c>
      <c r="Y46" s="38">
        <f t="shared" ca="1" si="111"/>
        <v>22851648.926612996</v>
      </c>
      <c r="Z46" s="2">
        <v>23051616.176714998</v>
      </c>
      <c r="AA46" s="21">
        <f t="shared" ca="1" si="112"/>
        <v>2.3848761465613978E-2</v>
      </c>
      <c r="AB46" s="38">
        <f t="shared" ca="1" si="113"/>
        <v>23400027.519175615</v>
      </c>
      <c r="AC46" s="2">
        <v>23466545.26789587</v>
      </c>
      <c r="AD46" s="21">
        <f t="shared" ca="1" si="114"/>
        <v>2.3875481308322975E-2</v>
      </c>
      <c r="AE46" s="38">
        <f t="shared" ca="1" si="115"/>
        <v>23871343.253833503</v>
      </c>
      <c r="AF46" s="2">
        <v>23823236.755967889</v>
      </c>
      <c r="AG46" s="21">
        <f t="shared" ca="1" si="116"/>
        <v>2.3893154136827226E-2</v>
      </c>
      <c r="AH46" s="38">
        <f t="shared" ca="1" si="117"/>
        <v>24319015.25358877</v>
      </c>
      <c r="AI46" s="2">
        <v>36278024.931987911</v>
      </c>
      <c r="AJ46" s="21">
        <f t="shared" ca="1" si="118"/>
        <v>2.4197017231695664E-2</v>
      </c>
      <c r="AK46" s="38">
        <f t="shared" ca="1" si="119"/>
        <v>25071603.568132039</v>
      </c>
      <c r="AL46" s="2">
        <v>246769446.74446055</v>
      </c>
    </row>
    <row r="47" spans="1:38" ht="12.75" x14ac:dyDescent="0.2">
      <c r="A47" s="8" t="s">
        <v>16</v>
      </c>
      <c r="B47" s="8" t="s">
        <v>17</v>
      </c>
      <c r="C47" s="8" t="s">
        <v>36</v>
      </c>
      <c r="D47" s="8" t="s">
        <v>87</v>
      </c>
      <c r="E47" s="8" t="s">
        <v>94</v>
      </c>
      <c r="F47" s="8" t="s">
        <v>192</v>
      </c>
      <c r="G47" s="8" t="s">
        <v>1054</v>
      </c>
      <c r="H47" s="34">
        <v>14805168.927332027</v>
      </c>
      <c r="I47" s="21">
        <f t="shared" si="100"/>
        <v>1.6947528115424462E-2</v>
      </c>
      <c r="J47" s="38">
        <f t="shared" si="101"/>
        <v>14277525.150959279</v>
      </c>
      <c r="K47" s="2">
        <v>15249323.995151987</v>
      </c>
      <c r="L47" s="21">
        <f t="shared" ca="1" si="102"/>
        <v>1.6973355189789634E-2</v>
      </c>
      <c r="M47" s="38">
        <f t="shared" ca="1" si="103"/>
        <v>14966544.85175051</v>
      </c>
      <c r="N47" s="2">
        <v>15645806.419025939</v>
      </c>
      <c r="O47" s="21">
        <f t="shared" ca="1" si="104"/>
        <v>1.7373483079028591E-2</v>
      </c>
      <c r="P47" s="38">
        <f t="shared" ca="1" si="105"/>
        <v>15717667.904028775</v>
      </c>
      <c r="Q47" s="2">
        <v>23891146.401852611</v>
      </c>
      <c r="R47" s="21">
        <f t="shared" ca="1" si="106"/>
        <v>1.7620728380508262E-2</v>
      </c>
      <c r="S47" s="38">
        <f t="shared" ca="1" si="107"/>
        <v>16308000.01551982</v>
      </c>
      <c r="T47" s="2">
        <v>16210229.109364884</v>
      </c>
      <c r="U47" s="21">
        <f t="shared" ca="1" si="108"/>
        <v>1.7398406954500008E-2</v>
      </c>
      <c r="V47" s="38">
        <f t="shared" ca="1" si="109"/>
        <v>16440388.40303635</v>
      </c>
      <c r="W47" s="2">
        <v>16534433.691552183</v>
      </c>
      <c r="X47" s="21">
        <f t="shared" ca="1" si="110"/>
        <v>1.7312130056950988E-2</v>
      </c>
      <c r="Y47" s="38">
        <f t="shared" ca="1" si="111"/>
        <v>16686039.464720981</v>
      </c>
      <c r="Z47" s="2">
        <v>16832053.498000123</v>
      </c>
      <c r="AA47" s="21">
        <f t="shared" ca="1" si="112"/>
        <v>1.7414120804932806E-2</v>
      </c>
      <c r="AB47" s="38">
        <f t="shared" ca="1" si="113"/>
        <v>17086459.883680403</v>
      </c>
      <c r="AC47" s="2">
        <v>17135030.460964125</v>
      </c>
      <c r="AD47" s="21">
        <f t="shared" ca="1" si="114"/>
        <v>1.7433631359788836E-2</v>
      </c>
      <c r="AE47" s="38">
        <f t="shared" ca="1" si="115"/>
        <v>17430609.79487944</v>
      </c>
      <c r="AF47" s="2">
        <v>17395482.923970781</v>
      </c>
      <c r="AG47" s="21">
        <f t="shared" ca="1" si="116"/>
        <v>1.7446535877743852E-2</v>
      </c>
      <c r="AH47" s="38">
        <f t="shared" ca="1" si="117"/>
        <v>17757495.293565165</v>
      </c>
      <c r="AI47" s="2">
        <v>26489841.396622706</v>
      </c>
      <c r="AJ47" s="21">
        <f t="shared" ca="1" si="118"/>
        <v>1.7668413590338241E-2</v>
      </c>
      <c r="AK47" s="38">
        <f t="shared" ca="1" si="119"/>
        <v>18307027.555218808</v>
      </c>
      <c r="AL47" s="2">
        <v>180188516.82383737</v>
      </c>
    </row>
    <row r="48" spans="1:38" ht="12.75" x14ac:dyDescent="0.2">
      <c r="A48" s="8" t="s">
        <v>16</v>
      </c>
      <c r="B48" s="8" t="s">
        <v>17</v>
      </c>
      <c r="C48" s="8" t="s">
        <v>36</v>
      </c>
      <c r="D48" s="8" t="s">
        <v>96</v>
      </c>
      <c r="E48" s="8" t="s">
        <v>97</v>
      </c>
      <c r="F48" s="8" t="s">
        <v>192</v>
      </c>
      <c r="G48" s="8" t="s">
        <v>1055</v>
      </c>
      <c r="H48" s="34">
        <v>5724896.8437923929</v>
      </c>
      <c r="I48" s="21">
        <f t="shared" si="100"/>
        <v>6.5533092323560799E-3</v>
      </c>
      <c r="J48" s="38">
        <f t="shared" si="101"/>
        <v>5520866.3322305502</v>
      </c>
      <c r="K48" s="2">
        <v>5896643.749106165</v>
      </c>
      <c r="L48" s="21">
        <f t="shared" ca="1" si="102"/>
        <v>6.5632961049978782E-3</v>
      </c>
      <c r="M48" s="38">
        <f t="shared" ca="1" si="103"/>
        <v>5787298.0581859611</v>
      </c>
      <c r="N48" s="2">
        <v>6049956.4865829255</v>
      </c>
      <c r="O48" s="21">
        <f t="shared" ca="1" si="104"/>
        <v>6.7180184794240535E-3</v>
      </c>
      <c r="P48" s="38">
        <f t="shared" ca="1" si="105"/>
        <v>6077744.051230262</v>
      </c>
      <c r="Q48" s="2">
        <v>9238283.5550121274</v>
      </c>
      <c r="R48" s="21">
        <f t="shared" ca="1" si="106"/>
        <v>6.8136238624514874E-3</v>
      </c>
      <c r="S48" s="38">
        <f t="shared" ca="1" si="107"/>
        <v>6306015.0326997982</v>
      </c>
      <c r="T48" s="2">
        <v>6268208.7533653025</v>
      </c>
      <c r="U48" s="21">
        <f t="shared" ca="1" si="108"/>
        <v>6.7276561010359186E-3</v>
      </c>
      <c r="V48" s="38">
        <f t="shared" ca="1" si="109"/>
        <v>6357207.2795136096</v>
      </c>
      <c r="W48" s="2">
        <v>6393572.928432609</v>
      </c>
      <c r="X48" s="21">
        <f t="shared" ca="1" si="110"/>
        <v>6.6942943514405632E-3</v>
      </c>
      <c r="Y48" s="38">
        <f t="shared" ca="1" si="111"/>
        <v>6452196.1982226931</v>
      </c>
      <c r="Z48" s="2">
        <v>6508657.2411443964</v>
      </c>
      <c r="AA48" s="21">
        <f t="shared" ca="1" si="112"/>
        <v>6.7337323689385751E-3</v>
      </c>
      <c r="AB48" s="38">
        <f t="shared" ca="1" si="113"/>
        <v>6607031.6887153992</v>
      </c>
      <c r="AC48" s="2">
        <v>6625813.071484996</v>
      </c>
      <c r="AD48" s="21">
        <f t="shared" ca="1" si="114"/>
        <v>6.7412767552582561E-3</v>
      </c>
      <c r="AE48" s="38">
        <f t="shared" ca="1" si="115"/>
        <v>6740108.3695749845</v>
      </c>
      <c r="AF48" s="2">
        <v>6726525.4301715689</v>
      </c>
      <c r="AG48" s="21">
        <f t="shared" ca="1" si="116"/>
        <v>6.7462667040034509E-3</v>
      </c>
      <c r="AH48" s="38">
        <f t="shared" ca="1" si="117"/>
        <v>6866509.2076128814</v>
      </c>
      <c r="AI48" s="2">
        <v>10243152.925065266</v>
      </c>
      <c r="AJ48" s="21">
        <f t="shared" ca="1" si="118"/>
        <v>6.8320628892934755E-3</v>
      </c>
      <c r="AK48" s="38">
        <f t="shared" ca="1" si="119"/>
        <v>7079003.6091117486</v>
      </c>
      <c r="AL48" s="2">
        <v>69675710.984157756</v>
      </c>
    </row>
    <row r="49" spans="1:38" ht="12.75" x14ac:dyDescent="0.2">
      <c r="A49" s="8" t="s">
        <v>16</v>
      </c>
      <c r="B49" s="8" t="s">
        <v>17</v>
      </c>
      <c r="C49" s="8" t="s">
        <v>36</v>
      </c>
      <c r="D49" s="8" t="s">
        <v>96</v>
      </c>
      <c r="E49" s="8" t="s">
        <v>98</v>
      </c>
      <c r="F49" s="8" t="s">
        <v>188</v>
      </c>
      <c r="G49" s="8" t="s">
        <v>1056</v>
      </c>
      <c r="H49" s="34">
        <v>6438549.0920804925</v>
      </c>
      <c r="I49" s="21">
        <f>H49/H$195</f>
        <v>1.9563854031901286E-2</v>
      </c>
      <c r="J49" s="38">
        <f>I49*J$203</f>
        <v>7253005.119712078</v>
      </c>
      <c r="K49" s="2">
        <v>6631705.5648429077</v>
      </c>
      <c r="L49" s="21">
        <f>K49/K$195</f>
        <v>1.9589061295055107E-2</v>
      </c>
      <c r="M49" s="38">
        <f>L49*M$203</f>
        <v>6449548.3010270186</v>
      </c>
      <c r="N49" s="2">
        <v>6804129.9095288236</v>
      </c>
      <c r="O49" s="21">
        <f>N49/N$195</f>
        <v>2.9911610929370565E-2</v>
      </c>
      <c r="P49" s="38">
        <f>O49*P$203</f>
        <v>11971207.300735947</v>
      </c>
      <c r="Q49" s="2">
        <v>10486356.199298637</v>
      </c>
      <c r="R49" s="21">
        <f>Q49/Q$195</f>
        <v>3.1543827972749516E-2</v>
      </c>
      <c r="S49" s="38">
        <f>R49*S$203</f>
        <v>14883678.627107693</v>
      </c>
      <c r="T49" s="2">
        <v>7200631.2568517309</v>
      </c>
      <c r="U49" s="21">
        <f>T49/T$195</f>
        <v>2.9873009441604037E-2</v>
      </c>
      <c r="V49" s="38">
        <f>U49*V$203</f>
        <v>14391319.223066423</v>
      </c>
      <c r="W49" s="2">
        <v>7402248.9320435794</v>
      </c>
      <c r="X49" s="21">
        <f>W49/W$195</f>
        <v>2.8370409466545201E-2</v>
      </c>
      <c r="Y49" s="38">
        <f>X49*Y$203</f>
        <v>13940790.676541615</v>
      </c>
      <c r="Z49" s="2">
        <v>7609511.9021407999</v>
      </c>
      <c r="AA49" s="21">
        <f>Z49/Z$195</f>
        <v>3.0673858750885036E-2</v>
      </c>
      <c r="AB49" s="38">
        <f>AA49*AB$203</f>
        <v>15343978.936749609</v>
      </c>
      <c r="AC49" s="2">
        <v>7746483.1163793346</v>
      </c>
      <c r="AD49" s="21">
        <f>AC49/AC$195</f>
        <v>3.00008894985146E-2</v>
      </c>
      <c r="AE49" s="38">
        <f>AD49*AE$203</f>
        <v>15292479.100004615</v>
      </c>
      <c r="AF49" s="2">
        <v>7864229.6597483009</v>
      </c>
      <c r="AG49" s="21">
        <f>AF49/AF$195</f>
        <v>3.0370469335665697E-2</v>
      </c>
      <c r="AH49" s="38">
        <f>AG49*AH$203</f>
        <v>15759522.177096602</v>
      </c>
      <c r="AI49" s="2">
        <v>11975648.925864713</v>
      </c>
      <c r="AJ49" s="21">
        <f>AI49/AI$195</f>
        <v>2.8860301433265016E-2</v>
      </c>
      <c r="AK49" s="38">
        <f>AJ49*AK$203</f>
        <v>15245447.722681256</v>
      </c>
      <c r="AL49" s="2">
        <v>80159494.558779329</v>
      </c>
    </row>
    <row r="50" spans="1:38" ht="12.75" x14ac:dyDescent="0.2">
      <c r="A50" s="8" t="s">
        <v>16</v>
      </c>
      <c r="B50" s="8" t="s">
        <v>17</v>
      </c>
      <c r="C50" s="8" t="s">
        <v>36</v>
      </c>
      <c r="D50" s="8" t="s">
        <v>96</v>
      </c>
      <c r="E50" s="8" t="s">
        <v>98</v>
      </c>
      <c r="F50" s="8" t="s">
        <v>189</v>
      </c>
      <c r="G50" s="8" t="s">
        <v>1057</v>
      </c>
      <c r="H50" s="34">
        <v>9393563.0992074404</v>
      </c>
      <c r="I50" s="21">
        <f>H50/H$194</f>
        <v>6.0692701068174426E-2</v>
      </c>
      <c r="J50" s="38">
        <f>I50*J$202</f>
        <v>11397085.570839344</v>
      </c>
      <c r="K50" s="2">
        <v>9675369.992183663</v>
      </c>
      <c r="L50" s="21">
        <f>K50/K$194</f>
        <v>6.0692701068174426E-2</v>
      </c>
      <c r="M50" s="38">
        <f>L50*M$202</f>
        <v>12590449.90019251</v>
      </c>
      <c r="N50" s="2">
        <v>9926929.6119804382</v>
      </c>
      <c r="O50" s="21">
        <f>N50/N$194</f>
        <v>5.9064298856778961E-2</v>
      </c>
      <c r="P50" s="38">
        <f>O50*P$202</f>
        <v>12571213.353464283</v>
      </c>
      <c r="Q50" s="2">
        <v>15180496.214520486</v>
      </c>
      <c r="R50" s="21">
        <f>Q50/Q$194</f>
        <v>6.0887134028794962E-2</v>
      </c>
      <c r="S50" s="38">
        <f>R50*S$202</f>
        <v>13257245.849726742</v>
      </c>
      <c r="T50" s="2">
        <v>10322737.42587393</v>
      </c>
      <c r="U50" s="21">
        <f>T50/T$194</f>
        <v>5.9459146053919457E-2</v>
      </c>
      <c r="V50" s="38">
        <f>U50*V$202</f>
        <v>13218196.010233866</v>
      </c>
      <c r="W50" s="2">
        <v>10529192.174391408</v>
      </c>
      <c r="X50" s="21">
        <f>W50/W$194</f>
        <v>5.9227901227973972E-2</v>
      </c>
      <c r="Y50" s="38">
        <f>X50*Y$202</f>
        <v>13430124.39383469</v>
      </c>
      <c r="Z50" s="2">
        <v>10718717.633530453</v>
      </c>
      <c r="AA50" s="21">
        <f>Z50/Z$194</f>
        <v>5.9604710356138978E-2</v>
      </c>
      <c r="AB50" s="38">
        <f>AA50*AB$202</f>
        <v>13758847.330150375</v>
      </c>
      <c r="AC50" s="2">
        <v>10911654.550934002</v>
      </c>
      <c r="AD50" s="21">
        <f>AC50/AC$194</f>
        <v>5.9530923412499721E-2</v>
      </c>
      <c r="AE50" s="38">
        <f>AD50*AE$202</f>
        <v>14002909.208132854</v>
      </c>
      <c r="AF50" s="2">
        <v>11077511.7001082</v>
      </c>
      <c r="AG50" s="21">
        <f>AF50/AF$194</f>
        <v>5.9772913929720388E-2</v>
      </c>
      <c r="AH50" s="38">
        <f>AG50*AH$202</f>
        <v>14312907.349498812</v>
      </c>
      <c r="AI50" s="2">
        <v>16868834.816924769</v>
      </c>
      <c r="AJ50" s="21">
        <f>AI50/AI$194</f>
        <v>6.0212135390410197E-2</v>
      </c>
      <c r="AK50" s="38">
        <f>AJ50*AK$202</f>
        <v>14677606.467026776</v>
      </c>
      <c r="AL50" s="2">
        <v>114605007.21965478</v>
      </c>
    </row>
    <row r="51" spans="1:38" ht="12.75" x14ac:dyDescent="0.2">
      <c r="A51" s="8" t="s">
        <v>16</v>
      </c>
      <c r="B51" s="8" t="s">
        <v>17</v>
      </c>
      <c r="C51" s="8" t="s">
        <v>36</v>
      </c>
      <c r="D51" s="8" t="s">
        <v>96</v>
      </c>
      <c r="E51" s="8" t="s">
        <v>197</v>
      </c>
      <c r="F51" s="8" t="s">
        <v>192</v>
      </c>
      <c r="G51" s="8" t="s">
        <v>1058</v>
      </c>
      <c r="H51" s="34">
        <v>9352206.3829782065</v>
      </c>
      <c r="I51" s="21">
        <f>H51/H$193</f>
        <v>1.0705503016866775E-2</v>
      </c>
      <c r="J51" s="38">
        <f>I51*J$201</f>
        <v>9018901.6083044074</v>
      </c>
      <c r="K51" s="2">
        <v>9632772.5744675528</v>
      </c>
      <c r="L51" s="21">
        <f ca="1">K51/K$193</f>
        <v>1.0721817598005105E-2</v>
      </c>
      <c r="M51" s="38">
        <f ca="1">L51*M$201</f>
        <v>9454145.1692097746</v>
      </c>
      <c r="N51" s="2">
        <v>9883224.66140371</v>
      </c>
      <c r="O51" s="21">
        <f ca="1">N51/N$193</f>
        <v>1.0974572471530384E-2</v>
      </c>
      <c r="P51" s="38">
        <f ca="1">O51*P$201</f>
        <v>9928618.4993283227</v>
      </c>
      <c r="Q51" s="2">
        <v>15091684.057963466</v>
      </c>
      <c r="R51" s="21">
        <f ca="1">Q51/Q$193</f>
        <v>1.1130753674055589E-2</v>
      </c>
      <c r="S51" s="38">
        <f ca="1">R51*S$201</f>
        <v>10301522.568728795</v>
      </c>
      <c r="T51" s="2">
        <v>10239762.132417683</v>
      </c>
      <c r="U51" s="21">
        <f ca="1">T51/T$193</f>
        <v>1.0990316515277295E-2</v>
      </c>
      <c r="V51" s="38">
        <f ca="1">U51*V$201</f>
        <v>10385150.356350899</v>
      </c>
      <c r="W51" s="2">
        <v>10444557.375066036</v>
      </c>
      <c r="X51" s="21">
        <f ca="1">W51/W$193</f>
        <v>1.0935816674314865E-2</v>
      </c>
      <c r="Y51" s="38">
        <f ca="1">X51*Y$201</f>
        <v>10540324.501161307</v>
      </c>
      <c r="Z51" s="2">
        <v>10632559.407817226</v>
      </c>
      <c r="AA51" s="21">
        <f ca="1">Z51/Z$193</f>
        <v>1.1000242722336471E-2</v>
      </c>
      <c r="AB51" s="38">
        <f ca="1">AA51*AB$201</f>
        <v>10793264.161387254</v>
      </c>
      <c r="AC51" s="2">
        <v>10823945.477157936</v>
      </c>
      <c r="AD51" s="21">
        <f ca="1">AC51/AC$193</f>
        <v>1.1012567251462454E-2</v>
      </c>
      <c r="AE51" s="38">
        <f ca="1">AD51*AE$201</f>
        <v>11010658.573569555</v>
      </c>
      <c r="AF51" s="2">
        <v>10988469.448410736</v>
      </c>
      <c r="AG51" s="21">
        <f ca="1">AF51/AF$193</f>
        <v>1.1020718844718872E-2</v>
      </c>
      <c r="AH51" s="38">
        <f ca="1">AG51*AH$201</f>
        <v>11217147.311544565</v>
      </c>
      <c r="AI51" s="2">
        <v>16733241.27603987</v>
      </c>
      <c r="AJ51" s="21">
        <f ca="1">AI51/AI$193</f>
        <v>1.1160875716291952E-2</v>
      </c>
      <c r="AK51" s="38">
        <f ca="1">AJ51*AK$201</f>
        <v>11564278.718846636</v>
      </c>
      <c r="AL51" s="2">
        <v>113822422.79372242</v>
      </c>
    </row>
    <row r="52" spans="1:38" ht="12.75" x14ac:dyDescent="0.2">
      <c r="A52" s="8" t="s">
        <v>16</v>
      </c>
      <c r="B52" s="8" t="s">
        <v>17</v>
      </c>
      <c r="C52" s="8" t="s">
        <v>36</v>
      </c>
      <c r="D52" s="8" t="s">
        <v>96</v>
      </c>
      <c r="E52" s="8" t="s">
        <v>99</v>
      </c>
      <c r="F52" s="8" t="s">
        <v>188</v>
      </c>
      <c r="G52" s="8" t="s">
        <v>1059</v>
      </c>
      <c r="H52" s="34">
        <v>1144866.2733562593</v>
      </c>
      <c r="I52" s="21">
        <f>H52/H$195</f>
        <v>3.4787335372713879E-3</v>
      </c>
      <c r="J52" s="38">
        <f>I52*J$203</f>
        <v>1289688.2237416396</v>
      </c>
      <c r="K52" s="2">
        <v>1179212.2615569471</v>
      </c>
      <c r="L52" s="21">
        <f>K52/K$195</f>
        <v>3.4832157498033887E-3</v>
      </c>
      <c r="M52" s="38">
        <f>L52*M$203</f>
        <v>1146822.0902920912</v>
      </c>
      <c r="N52" s="2">
        <v>1209871.7803574279</v>
      </c>
      <c r="O52" s="21">
        <f>N52/N$195</f>
        <v>5.3187129654586971E-3</v>
      </c>
      <c r="P52" s="38">
        <f>O52*P$203</f>
        <v>2128652.1689842651</v>
      </c>
      <c r="Q52" s="2">
        <v>1864624.3697581254</v>
      </c>
      <c r="R52" s="21">
        <f>Q52/Q$195</f>
        <v>5.6089445404668503E-3</v>
      </c>
      <c r="S52" s="38">
        <f>R52*S$203</f>
        <v>2646531.2976503074</v>
      </c>
      <c r="T52" s="2">
        <v>1280375.4005672461</v>
      </c>
      <c r="U52" s="21">
        <f>T52/T$195</f>
        <v>5.3118490678921429E-3</v>
      </c>
      <c r="V52" s="38">
        <f>U52*V$203</f>
        <v>2558982.7416021782</v>
      </c>
      <c r="W52" s="2">
        <v>1316225.911783129</v>
      </c>
      <c r="X52" s="21">
        <f>W52/W$195</f>
        <v>5.0446652646488344E-3</v>
      </c>
      <c r="Y52" s="38">
        <f>X52*Y$203</f>
        <v>2478872.3113291683</v>
      </c>
      <c r="Z52" s="2">
        <v>1353080.2373130566</v>
      </c>
      <c r="AA52" s="21">
        <f>Z52/Z$195</f>
        <v>5.4542515488119865E-3</v>
      </c>
      <c r="AB52" s="38">
        <f>AA52*AB$203</f>
        <v>2728379.2874051211</v>
      </c>
      <c r="AC52" s="2">
        <v>1377435.6815846916</v>
      </c>
      <c r="AD52" s="21">
        <f>AC52/AC$195</f>
        <v>5.3345879741422885E-3</v>
      </c>
      <c r="AE52" s="38">
        <f>AD52*AE$203</f>
        <v>2719221.8785961675</v>
      </c>
      <c r="AF52" s="2">
        <v>1398372.703944779</v>
      </c>
      <c r="AG52" s="21">
        <f>AF52/AF$195</f>
        <v>5.4003045641403723E-3</v>
      </c>
      <c r="AH52" s="38">
        <f>AG52*AH$203</f>
        <v>2802268.8290069103</v>
      </c>
      <c r="AI52" s="2">
        <v>2129441.95356711</v>
      </c>
      <c r="AJ52" s="21">
        <f>AI52/AI$195</f>
        <v>5.1317750749903523E-3</v>
      </c>
      <c r="AK52" s="38">
        <f>AJ52*AK$203</f>
        <v>2710859.0258917855</v>
      </c>
      <c r="AL52" s="2">
        <v>14253506.573788773</v>
      </c>
    </row>
    <row r="53" spans="1:38" ht="12.75" x14ac:dyDescent="0.2">
      <c r="A53" s="8" t="s">
        <v>16</v>
      </c>
      <c r="B53" s="8" t="s">
        <v>17</v>
      </c>
      <c r="C53" s="8" t="s">
        <v>36</v>
      </c>
      <c r="D53" s="8" t="s">
        <v>96</v>
      </c>
      <c r="E53" s="8" t="s">
        <v>99</v>
      </c>
      <c r="F53" s="8" t="s">
        <v>192</v>
      </c>
      <c r="G53" s="8" t="s">
        <v>1060</v>
      </c>
      <c r="H53" s="34">
        <v>8272835.7981136674</v>
      </c>
      <c r="I53" s="21">
        <f t="shared" ref="I53:I65" si="120">H53/H$193</f>
        <v>9.4699437724069854E-3</v>
      </c>
      <c r="J53" s="38">
        <f t="shared" ref="J53:J65" si="121">I53*J$201</f>
        <v>7977998.8838404464</v>
      </c>
      <c r="K53" s="2">
        <v>8521020.8720570784</v>
      </c>
      <c r="L53" s="21">
        <f t="shared" ref="L53:L65" ca="1" si="122">K53/K$193</f>
        <v>9.4843754311349261E-3</v>
      </c>
      <c r="M53" s="38">
        <f t="shared" ref="M53:M65" ca="1" si="123">L53*M$201</f>
        <v>8363009.4753635293</v>
      </c>
      <c r="N53" s="2">
        <v>8742567.4147305619</v>
      </c>
      <c r="O53" s="21">
        <f t="shared" ref="O53:O65" ca="1" si="124">N53/N$193</f>
        <v>9.7079589878080758E-3</v>
      </c>
      <c r="P53" s="38">
        <f t="shared" ref="P53:P65" ca="1" si="125">O53*P$201</f>
        <v>8782722.1923325621</v>
      </c>
      <c r="Q53" s="2">
        <v>13349900.442293569</v>
      </c>
      <c r="R53" s="21">
        <f t="shared" ref="R53:R65" ca="1" si="126">Q53/Q$193</f>
        <v>9.8461147759004598E-3</v>
      </c>
      <c r="S53" s="38">
        <f t="shared" ref="S53:S65" ca="1" si="127">R53*S$201</f>
        <v>9112588.1093436982</v>
      </c>
      <c r="T53" s="2">
        <v>9057955.6592566632</v>
      </c>
      <c r="U53" s="21">
        <f t="shared" ref="U53:U65" ca="1" si="128">T53/T$193</f>
        <v>9.7218859568443429E-3</v>
      </c>
      <c r="V53" s="38">
        <f t="shared" ref="V53:V65" ca="1" si="129">U53*V$201</f>
        <v>9186564.1238611247</v>
      </c>
      <c r="W53" s="2">
        <v>9239114.772441797</v>
      </c>
      <c r="X53" s="21">
        <f t="shared" ref="X53:X65" ca="1" si="130">W53/W$193</f>
        <v>9.6736761316071548E-3</v>
      </c>
      <c r="Y53" s="38">
        <f t="shared" ref="Y53:Y65" ca="1" si="131">X53*Y$201</f>
        <v>9323829.082263425</v>
      </c>
      <c r="Z53" s="2">
        <v>9405418.8383457493</v>
      </c>
      <c r="AA53" s="21">
        <f t="shared" ref="AA53:AA65" ca="1" si="132">Z53/Z$193</f>
        <v>9.730666545909197E-3</v>
      </c>
      <c r="AB53" s="38">
        <f t="shared" ref="AB53:AB65" ca="1" si="133">AA53*AB$201</f>
        <v>9547576.0987630282</v>
      </c>
      <c r="AC53" s="2">
        <v>9574716.3774359729</v>
      </c>
      <c r="AD53" s="21">
        <f t="shared" ref="AD53:AD65" ca="1" si="134">AC53/AC$193</f>
        <v>9.741568658370477E-3</v>
      </c>
      <c r="AE53" s="38">
        <f t="shared" ref="AE53:AE65" ca="1" si="135">AD53*AE$201</f>
        <v>9739880.2676150948</v>
      </c>
      <c r="AF53" s="2">
        <v>9720252.0663729999</v>
      </c>
      <c r="AG53" s="21">
        <f t="shared" ref="AG53:AG65" ca="1" si="136">AF53/AF$193</f>
        <v>9.7487794479683282E-3</v>
      </c>
      <c r="AH53" s="38">
        <f t="shared" ref="AH53:AH65" ca="1" si="137">AG53*AH$201</f>
        <v>9922537.4239558838</v>
      </c>
      <c r="AI53" s="2">
        <v>14801999.846672807</v>
      </c>
      <c r="AJ53" s="21">
        <f t="shared" ref="AJ53:AJ65" ca="1" si="138">AI53/AI$193</f>
        <v>9.8727603287380034E-3</v>
      </c>
      <c r="AK53" s="38">
        <f t="shared" ref="AK53:AK65" ca="1" si="139">AJ53*AK$201</f>
        <v>10229605.191216132</v>
      </c>
      <c r="AL53" s="2">
        <v>100685782.08772087</v>
      </c>
    </row>
    <row r="54" spans="1:38" ht="12.75" x14ac:dyDescent="0.2">
      <c r="A54" s="8" t="s">
        <v>16</v>
      </c>
      <c r="B54" s="8" t="s">
        <v>17</v>
      </c>
      <c r="C54" s="8" t="s">
        <v>36</v>
      </c>
      <c r="D54" s="8" t="s">
        <v>96</v>
      </c>
      <c r="E54" s="8" t="s">
        <v>198</v>
      </c>
      <c r="F54" s="8" t="s">
        <v>192</v>
      </c>
      <c r="G54" s="8" t="s">
        <v>1061</v>
      </c>
      <c r="H54" s="34">
        <v>1083598.172740327</v>
      </c>
      <c r="I54" s="21">
        <f t="shared" si="120"/>
        <v>1.2403985789339192E-3</v>
      </c>
      <c r="J54" s="38">
        <f t="shared" si="121"/>
        <v>1044979.6446612726</v>
      </c>
      <c r="K54" s="2">
        <v>1116106.1179225368</v>
      </c>
      <c r="L54" s="21">
        <f t="shared" ca="1" si="122"/>
        <v>1.2422888762163545E-3</v>
      </c>
      <c r="M54" s="38">
        <f t="shared" ca="1" si="123"/>
        <v>1095409.3623108375</v>
      </c>
      <c r="N54" s="2">
        <v>1145124.8769885227</v>
      </c>
      <c r="O54" s="21">
        <f t="shared" ca="1" si="124"/>
        <v>1.2715744488275081E-3</v>
      </c>
      <c r="P54" s="38">
        <f t="shared" ca="1" si="125"/>
        <v>1150384.4572217292</v>
      </c>
      <c r="Q54" s="2">
        <v>1748605.687161474</v>
      </c>
      <c r="R54" s="21">
        <f t="shared" ca="1" si="126"/>
        <v>1.2896704636867103E-3</v>
      </c>
      <c r="S54" s="38">
        <f t="shared" ca="1" si="127"/>
        <v>1193591.1778246064</v>
      </c>
      <c r="T54" s="2">
        <v>1186435.2733039176</v>
      </c>
      <c r="U54" s="21">
        <f t="shared" ca="1" si="128"/>
        <v>1.2733986405034686E-3</v>
      </c>
      <c r="V54" s="38">
        <f t="shared" ca="1" si="129"/>
        <v>1203280.7541819629</v>
      </c>
      <c r="W54" s="2">
        <v>1210163.978769996</v>
      </c>
      <c r="X54" s="21">
        <f t="shared" ca="1" si="130"/>
        <v>1.2670839885739504E-3</v>
      </c>
      <c r="Y54" s="38">
        <f t="shared" ca="1" si="131"/>
        <v>1221260.0857843049</v>
      </c>
      <c r="Z54" s="2">
        <v>1231946.930387856</v>
      </c>
      <c r="AA54" s="21">
        <f t="shared" ca="1" si="132"/>
        <v>1.2745487455579447E-3</v>
      </c>
      <c r="AB54" s="38">
        <f t="shared" ca="1" si="133"/>
        <v>1250567.0688009812</v>
      </c>
      <c r="AC54" s="2">
        <v>1254121.9751348374</v>
      </c>
      <c r="AD54" s="21">
        <f t="shared" ca="1" si="134"/>
        <v>1.2759767334245414E-3</v>
      </c>
      <c r="AE54" s="38">
        <f t="shared" ca="1" si="135"/>
        <v>1275755.5834849016</v>
      </c>
      <c r="AF54" s="2">
        <v>1273184.6291568871</v>
      </c>
      <c r="AG54" s="21">
        <f t="shared" ca="1" si="136"/>
        <v>1.2769212219437055E-3</v>
      </c>
      <c r="AH54" s="38">
        <f t="shared" ca="1" si="137"/>
        <v>1299680.5066525962</v>
      </c>
      <c r="AI54" s="2">
        <v>1938805.5532801077</v>
      </c>
      <c r="AJ54" s="21">
        <f t="shared" ca="1" si="138"/>
        <v>1.2931605695066519E-3</v>
      </c>
      <c r="AK54" s="38">
        <f t="shared" ca="1" si="139"/>
        <v>1339901.0645883072</v>
      </c>
      <c r="AL54" s="2">
        <v>13188093.194846462</v>
      </c>
    </row>
    <row r="55" spans="1:38" ht="12.75" x14ac:dyDescent="0.2">
      <c r="A55" s="8" t="s">
        <v>16</v>
      </c>
      <c r="B55" s="8" t="s">
        <v>17</v>
      </c>
      <c r="C55" s="8" t="s">
        <v>36</v>
      </c>
      <c r="D55" s="8" t="s">
        <v>96</v>
      </c>
      <c r="E55" s="8" t="s">
        <v>199</v>
      </c>
      <c r="F55" s="8" t="s">
        <v>192</v>
      </c>
      <c r="G55" s="8" t="s">
        <v>1062</v>
      </c>
      <c r="H55" s="34">
        <v>0</v>
      </c>
      <c r="I55" s="21">
        <f t="shared" si="120"/>
        <v>0</v>
      </c>
      <c r="J55" s="38">
        <f t="shared" si="121"/>
        <v>0</v>
      </c>
      <c r="K55" s="2">
        <v>0</v>
      </c>
      <c r="L55" s="21">
        <f t="shared" ca="1" si="122"/>
        <v>0</v>
      </c>
      <c r="M55" s="38">
        <f t="shared" ca="1" si="123"/>
        <v>0</v>
      </c>
      <c r="N55" s="2">
        <v>0</v>
      </c>
      <c r="O55" s="21">
        <f t="shared" ca="1" si="124"/>
        <v>0</v>
      </c>
      <c r="P55" s="38">
        <f t="shared" ca="1" si="125"/>
        <v>0</v>
      </c>
      <c r="Q55" s="2">
        <v>0</v>
      </c>
      <c r="R55" s="21">
        <f t="shared" ca="1" si="126"/>
        <v>0</v>
      </c>
      <c r="S55" s="38">
        <f t="shared" ca="1" si="127"/>
        <v>0</v>
      </c>
      <c r="T55" s="2">
        <v>0</v>
      </c>
      <c r="U55" s="21">
        <f t="shared" ca="1" si="128"/>
        <v>0</v>
      </c>
      <c r="V55" s="38">
        <f t="shared" ca="1" si="129"/>
        <v>0</v>
      </c>
      <c r="W55" s="2">
        <v>0</v>
      </c>
      <c r="X55" s="21">
        <f t="shared" ca="1" si="130"/>
        <v>0</v>
      </c>
      <c r="Y55" s="38">
        <f t="shared" ca="1" si="131"/>
        <v>0</v>
      </c>
      <c r="Z55" s="2">
        <v>0</v>
      </c>
      <c r="AA55" s="21">
        <f t="shared" ca="1" si="132"/>
        <v>0</v>
      </c>
      <c r="AB55" s="38">
        <f t="shared" ca="1" si="133"/>
        <v>0</v>
      </c>
      <c r="AC55" s="2">
        <v>0</v>
      </c>
      <c r="AD55" s="21">
        <f t="shared" ca="1" si="134"/>
        <v>0</v>
      </c>
      <c r="AE55" s="38">
        <f t="shared" ca="1" si="135"/>
        <v>0</v>
      </c>
      <c r="AF55" s="2">
        <v>0</v>
      </c>
      <c r="AG55" s="21">
        <f t="shared" ca="1" si="136"/>
        <v>0</v>
      </c>
      <c r="AH55" s="38">
        <f t="shared" ca="1" si="137"/>
        <v>0</v>
      </c>
      <c r="AI55" s="2">
        <v>0</v>
      </c>
      <c r="AJ55" s="21">
        <f t="shared" ca="1" si="138"/>
        <v>0</v>
      </c>
      <c r="AK55" s="38">
        <f t="shared" ca="1" si="139"/>
        <v>0</v>
      </c>
      <c r="AL55" s="2">
        <v>0</v>
      </c>
    </row>
    <row r="56" spans="1:38" ht="12.75" x14ac:dyDescent="0.2">
      <c r="A56" s="8" t="s">
        <v>16</v>
      </c>
      <c r="B56" s="8" t="s">
        <v>17</v>
      </c>
      <c r="C56" s="8" t="s">
        <v>36</v>
      </c>
      <c r="D56" s="8" t="s">
        <v>96</v>
      </c>
      <c r="E56" s="8" t="s">
        <v>199</v>
      </c>
      <c r="F56" s="8" t="s">
        <v>192</v>
      </c>
      <c r="G56" s="8" t="s">
        <v>1063</v>
      </c>
      <c r="H56" s="34">
        <v>2995800.7086174167</v>
      </c>
      <c r="I56" s="21">
        <f t="shared" si="120"/>
        <v>3.4293034403526713E-3</v>
      </c>
      <c r="J56" s="38">
        <f t="shared" si="121"/>
        <v>2889032.8894244274</v>
      </c>
      <c r="K56" s="2">
        <v>3085674.7298759394</v>
      </c>
      <c r="L56" s="21">
        <f t="shared" ca="1" si="122"/>
        <v>3.4345295048484213E-3</v>
      </c>
      <c r="M56" s="38">
        <f t="shared" ca="1" si="123"/>
        <v>3028454.8519844795</v>
      </c>
      <c r="N56" s="2">
        <v>3165902.2728527137</v>
      </c>
      <c r="O56" s="21">
        <f t="shared" ca="1" si="124"/>
        <v>3.5154947015309606E-3</v>
      </c>
      <c r="P56" s="38">
        <f t="shared" ca="1" si="125"/>
        <v>3180443.3219113545</v>
      </c>
      <c r="Q56" s="2">
        <v>4834332.7706460934</v>
      </c>
      <c r="R56" s="21">
        <f t="shared" ca="1" si="126"/>
        <v>3.5655243670491767E-3</v>
      </c>
      <c r="S56" s="38">
        <f t="shared" ca="1" si="127"/>
        <v>3299896.0189123047</v>
      </c>
      <c r="T56" s="2">
        <v>3280112.2426258759</v>
      </c>
      <c r="U56" s="21">
        <f t="shared" ca="1" si="128"/>
        <v>3.5205380052693537E-3</v>
      </c>
      <c r="V56" s="38">
        <f t="shared" ca="1" si="129"/>
        <v>3326684.5835738368</v>
      </c>
      <c r="W56" s="2">
        <v>3345714.4874783936</v>
      </c>
      <c r="X56" s="21">
        <f t="shared" ca="1" si="130"/>
        <v>3.5030800220417859E-3</v>
      </c>
      <c r="Y56" s="38">
        <f t="shared" ca="1" si="131"/>
        <v>3376391.6573856622</v>
      </c>
      <c r="Z56" s="2">
        <v>3405937.3482530047</v>
      </c>
      <c r="AA56" s="21">
        <f t="shared" ca="1" si="132"/>
        <v>3.5237176761324651E-3</v>
      </c>
      <c r="AB56" s="38">
        <f t="shared" ca="1" si="133"/>
        <v>3457416.0469587492</v>
      </c>
      <c r="AC56" s="2">
        <v>3467244.220521559</v>
      </c>
      <c r="AD56" s="21">
        <f t="shared" ca="1" si="134"/>
        <v>3.5276656036671056E-3</v>
      </c>
      <c r="AE56" s="38">
        <f t="shared" ca="1" si="135"/>
        <v>3527054.1951555829</v>
      </c>
      <c r="AF56" s="2">
        <v>3519946.3326734873</v>
      </c>
      <c r="AG56" s="21">
        <f t="shared" ca="1" si="136"/>
        <v>3.5302768108896477E-3</v>
      </c>
      <c r="AH56" s="38">
        <f t="shared" ca="1" si="137"/>
        <v>3593198.918894032</v>
      </c>
      <c r="AI56" s="2">
        <v>5360174.2753951866</v>
      </c>
      <c r="AJ56" s="21">
        <f t="shared" ca="1" si="138"/>
        <v>3.5751733880161379E-3</v>
      </c>
      <c r="AK56" s="38">
        <f t="shared" ca="1" si="139"/>
        <v>3704395.8357918109</v>
      </c>
      <c r="AL56" s="2">
        <v>36460839.388939671</v>
      </c>
    </row>
    <row r="57" spans="1:38" ht="12.75" x14ac:dyDescent="0.2">
      <c r="A57" s="8" t="s">
        <v>16</v>
      </c>
      <c r="B57" s="8" t="s">
        <v>17</v>
      </c>
      <c r="C57" s="8" t="s">
        <v>36</v>
      </c>
      <c r="D57" s="8" t="s">
        <v>96</v>
      </c>
      <c r="E57" s="8" t="s">
        <v>100</v>
      </c>
      <c r="F57" s="8" t="s">
        <v>192</v>
      </c>
      <c r="G57" s="8" t="s">
        <v>1064</v>
      </c>
      <c r="H57" s="34">
        <v>5693593.8902382143</v>
      </c>
      <c r="I57" s="21">
        <f t="shared" si="120"/>
        <v>6.5174766330754405E-3</v>
      </c>
      <c r="J57" s="38">
        <f t="shared" si="121"/>
        <v>5490678.9896299532</v>
      </c>
      <c r="K57" s="2">
        <v>5864401.7069453606</v>
      </c>
      <c r="L57" s="21">
        <f t="shared" ca="1" si="122"/>
        <v>6.5274088988624794E-3</v>
      </c>
      <c r="M57" s="38">
        <f t="shared" ca="1" si="123"/>
        <v>5755653.9033194818</v>
      </c>
      <c r="N57" s="2">
        <v>6016876.1513259402</v>
      </c>
      <c r="O57" s="21">
        <f t="shared" ca="1" si="124"/>
        <v>6.6812852724902807E-3</v>
      </c>
      <c r="P57" s="38">
        <f t="shared" ca="1" si="125"/>
        <v>6044511.7773673469</v>
      </c>
      <c r="Q57" s="2">
        <v>9187769.883074712</v>
      </c>
      <c r="R57" s="21">
        <f t="shared" ca="1" si="126"/>
        <v>6.7763678983491418E-3</v>
      </c>
      <c r="S57" s="38">
        <f t="shared" ca="1" si="127"/>
        <v>6271534.6043066485</v>
      </c>
      <c r="T57" s="2">
        <v>6233935.0445407936</v>
      </c>
      <c r="U57" s="21">
        <f t="shared" ca="1" si="128"/>
        <v>6.6908701969042896E-3</v>
      </c>
      <c r="V57" s="38">
        <f t="shared" ca="1" si="129"/>
        <v>6322446.9389110226</v>
      </c>
      <c r="W57" s="2">
        <v>6358613.7454316095</v>
      </c>
      <c r="X57" s="21">
        <f t="shared" ca="1" si="130"/>
        <v>6.657690864796369E-3</v>
      </c>
      <c r="Y57" s="38">
        <f t="shared" ca="1" si="131"/>
        <v>6416916.4711941769</v>
      </c>
      <c r="Z57" s="2">
        <v>6473068.7928493787</v>
      </c>
      <c r="AA57" s="21">
        <f t="shared" ca="1" si="132"/>
        <v>6.6969132406044605E-3</v>
      </c>
      <c r="AB57" s="38">
        <f t="shared" ca="1" si="133"/>
        <v>6570905.3423853144</v>
      </c>
      <c r="AC57" s="2">
        <v>6589584.0311206672</v>
      </c>
      <c r="AD57" s="21">
        <f t="shared" ca="1" si="134"/>
        <v>6.7044163752507917E-3</v>
      </c>
      <c r="AE57" s="38">
        <f t="shared" ca="1" si="135"/>
        <v>6703254.3781407597</v>
      </c>
      <c r="AF57" s="2">
        <v>6689745.7083937023</v>
      </c>
      <c r="AG57" s="21">
        <f t="shared" ca="1" si="136"/>
        <v>6.7093790396381943E-3</v>
      </c>
      <c r="AH57" s="38">
        <f t="shared" ca="1" si="137"/>
        <v>6828964.0736707179</v>
      </c>
      <c r="AI57" s="2">
        <v>10187144.764741931</v>
      </c>
      <c r="AJ57" s="21">
        <f t="shared" ca="1" si="138"/>
        <v>6.7947061031123088E-3</v>
      </c>
      <c r="AK57" s="38">
        <f t="shared" ca="1" si="139"/>
        <v>7040296.5848225383</v>
      </c>
      <c r="AL57" s="2">
        <v>69294733.718662307</v>
      </c>
    </row>
    <row r="58" spans="1:38" ht="12.75" x14ac:dyDescent="0.2">
      <c r="A58" s="8" t="s">
        <v>16</v>
      </c>
      <c r="B58" s="8" t="s">
        <v>17</v>
      </c>
      <c r="C58" s="8" t="s">
        <v>36</v>
      </c>
      <c r="D58" s="8" t="s">
        <v>96</v>
      </c>
      <c r="E58" s="8" t="s">
        <v>200</v>
      </c>
      <c r="F58" s="8" t="s">
        <v>192</v>
      </c>
      <c r="G58" s="8" t="s">
        <v>1065</v>
      </c>
      <c r="H58" s="34">
        <v>1237920.4669029438</v>
      </c>
      <c r="I58" s="21">
        <f t="shared" si="120"/>
        <v>1.4170518432090374E-3</v>
      </c>
      <c r="J58" s="38">
        <f t="shared" si="121"/>
        <v>1193802.0219725426</v>
      </c>
      <c r="K58" s="2">
        <v>1275058.0809100321</v>
      </c>
      <c r="L58" s="21">
        <f t="shared" ca="1" si="122"/>
        <v>1.4192113500754433E-3</v>
      </c>
      <c r="M58" s="38">
        <f t="shared" ca="1" si="123"/>
        <v>1251413.7651343623</v>
      </c>
      <c r="N58" s="2">
        <v>1308209.591013693</v>
      </c>
      <c r="O58" s="21">
        <f t="shared" ca="1" si="124"/>
        <v>1.452667672384144E-3</v>
      </c>
      <c r="P58" s="38">
        <f t="shared" ca="1" si="125"/>
        <v>1314218.2224250389</v>
      </c>
      <c r="Q58" s="2">
        <v>1997636.045477909</v>
      </c>
      <c r="R58" s="21">
        <f t="shared" ca="1" si="126"/>
        <v>1.4733408589279481E-3</v>
      </c>
      <c r="S58" s="38">
        <f t="shared" ca="1" si="127"/>
        <v>1363578.2943480064</v>
      </c>
      <c r="T58" s="2">
        <v>1355403.2707200488</v>
      </c>
      <c r="U58" s="21">
        <f t="shared" ca="1" si="128"/>
        <v>1.4547516591128359E-3</v>
      </c>
      <c r="V58" s="38">
        <f t="shared" ca="1" si="129"/>
        <v>1374647.826569583</v>
      </c>
      <c r="W58" s="2">
        <v>1382511.3361344498</v>
      </c>
      <c r="X58" s="21">
        <f t="shared" ca="1" si="130"/>
        <v>1.4475376963528671E-3</v>
      </c>
      <c r="Y58" s="38">
        <f t="shared" ca="1" si="131"/>
        <v>1395187.712231708</v>
      </c>
      <c r="Z58" s="2">
        <v>1407396.5401848699</v>
      </c>
      <c r="AA58" s="21">
        <f t="shared" ca="1" si="132"/>
        <v>1.456065558140945E-3</v>
      </c>
      <c r="AB58" s="38">
        <f t="shared" ca="1" si="133"/>
        <v>1428668.4941416408</v>
      </c>
      <c r="AC58" s="2">
        <v>1432729.6779081975</v>
      </c>
      <c r="AD58" s="21">
        <f t="shared" ca="1" si="134"/>
        <v>1.4576969150876613E-3</v>
      </c>
      <c r="AE58" s="38">
        <f t="shared" ca="1" si="135"/>
        <v>1457444.2697405007</v>
      </c>
      <c r="AF58" s="2">
        <v>1454507.1690124022</v>
      </c>
      <c r="AG58" s="21">
        <f t="shared" ca="1" si="136"/>
        <v>1.4587759143865169E-3</v>
      </c>
      <c r="AH58" s="38">
        <f t="shared" ca="1" si="137"/>
        <v>1484776.497501157</v>
      </c>
      <c r="AI58" s="2">
        <v>2214923.5169720864</v>
      </c>
      <c r="AJ58" s="21">
        <f t="shared" ca="1" si="138"/>
        <v>1.4773280135161079E-3</v>
      </c>
      <c r="AK58" s="38">
        <f t="shared" ca="1" si="139"/>
        <v>1530725.1278250329</v>
      </c>
      <c r="AL58" s="2">
        <v>15066295.695236634</v>
      </c>
    </row>
    <row r="59" spans="1:38" ht="12.75" x14ac:dyDescent="0.2">
      <c r="A59" s="8" t="s">
        <v>16</v>
      </c>
      <c r="B59" s="8" t="s">
        <v>17</v>
      </c>
      <c r="C59" s="8" t="s">
        <v>36</v>
      </c>
      <c r="D59" s="8" t="s">
        <v>96</v>
      </c>
      <c r="E59" s="8" t="s">
        <v>101</v>
      </c>
      <c r="F59" s="8" t="s">
        <v>192</v>
      </c>
      <c r="G59" s="8" t="s">
        <v>1066</v>
      </c>
      <c r="H59" s="34">
        <v>0</v>
      </c>
      <c r="I59" s="21">
        <f t="shared" si="120"/>
        <v>0</v>
      </c>
      <c r="J59" s="38">
        <f t="shared" si="121"/>
        <v>0</v>
      </c>
      <c r="K59" s="2">
        <v>0</v>
      </c>
      <c r="L59" s="21">
        <f t="shared" ca="1" si="122"/>
        <v>0</v>
      </c>
      <c r="M59" s="38">
        <f t="shared" ca="1" si="123"/>
        <v>0</v>
      </c>
      <c r="N59" s="2">
        <v>0</v>
      </c>
      <c r="O59" s="21">
        <f t="shared" ca="1" si="124"/>
        <v>0</v>
      </c>
      <c r="P59" s="38">
        <f t="shared" ca="1" si="125"/>
        <v>0</v>
      </c>
      <c r="Q59" s="2">
        <v>0</v>
      </c>
      <c r="R59" s="21">
        <f t="shared" ca="1" si="126"/>
        <v>0</v>
      </c>
      <c r="S59" s="38">
        <f t="shared" ca="1" si="127"/>
        <v>0</v>
      </c>
      <c r="T59" s="2">
        <v>0</v>
      </c>
      <c r="U59" s="21">
        <f t="shared" ca="1" si="128"/>
        <v>0</v>
      </c>
      <c r="V59" s="38">
        <f t="shared" ca="1" si="129"/>
        <v>0</v>
      </c>
      <c r="W59" s="2">
        <v>0</v>
      </c>
      <c r="X59" s="21">
        <f t="shared" ca="1" si="130"/>
        <v>0</v>
      </c>
      <c r="Y59" s="38">
        <f t="shared" ca="1" si="131"/>
        <v>0</v>
      </c>
      <c r="Z59" s="2">
        <v>0</v>
      </c>
      <c r="AA59" s="21">
        <f t="shared" ca="1" si="132"/>
        <v>0</v>
      </c>
      <c r="AB59" s="38">
        <f t="shared" ca="1" si="133"/>
        <v>0</v>
      </c>
      <c r="AC59" s="2">
        <v>0</v>
      </c>
      <c r="AD59" s="21">
        <f t="shared" ca="1" si="134"/>
        <v>0</v>
      </c>
      <c r="AE59" s="38">
        <f t="shared" ca="1" si="135"/>
        <v>0</v>
      </c>
      <c r="AF59" s="2">
        <v>0</v>
      </c>
      <c r="AG59" s="21">
        <f t="shared" ca="1" si="136"/>
        <v>0</v>
      </c>
      <c r="AH59" s="38">
        <f t="shared" ca="1" si="137"/>
        <v>0</v>
      </c>
      <c r="AI59" s="2">
        <v>0</v>
      </c>
      <c r="AJ59" s="21">
        <f t="shared" ca="1" si="138"/>
        <v>0</v>
      </c>
      <c r="AK59" s="38">
        <f t="shared" ca="1" si="139"/>
        <v>0</v>
      </c>
      <c r="AL59" s="2">
        <v>0</v>
      </c>
    </row>
    <row r="60" spans="1:38" ht="12.75" x14ac:dyDescent="0.2">
      <c r="A60" s="8" t="s">
        <v>16</v>
      </c>
      <c r="B60" s="8" t="s">
        <v>17</v>
      </c>
      <c r="C60" s="8" t="s">
        <v>36</v>
      </c>
      <c r="D60" s="8" t="s">
        <v>96</v>
      </c>
      <c r="E60" s="8" t="s">
        <v>102</v>
      </c>
      <c r="F60" s="8" t="s">
        <v>192</v>
      </c>
      <c r="G60" s="8" t="s">
        <v>1067</v>
      </c>
      <c r="H60" s="34">
        <v>-314161.72226187377</v>
      </c>
      <c r="I60" s="21">
        <f t="shared" si="120"/>
        <v>-3.5962201086365707E-4</v>
      </c>
      <c r="J60" s="38">
        <f t="shared" si="121"/>
        <v>-302965.26254299819</v>
      </c>
      <c r="K60" s="2">
        <v>-323586.57392972999</v>
      </c>
      <c r="L60" s="21">
        <f t="shared" ca="1" si="122"/>
        <v>-3.601700544694662E-4</v>
      </c>
      <c r="M60" s="38">
        <f t="shared" ca="1" si="123"/>
        <v>-317586.0761882459</v>
      </c>
      <c r="N60" s="2">
        <v>-331999.82485190296</v>
      </c>
      <c r="O60" s="21">
        <f t="shared" ca="1" si="124"/>
        <v>-3.6866066119103181E-4</v>
      </c>
      <c r="P60" s="38">
        <f t="shared" ca="1" si="125"/>
        <v>-333524.70633104024</v>
      </c>
      <c r="Q60" s="2">
        <v>-506963.73254885583</v>
      </c>
      <c r="R60" s="21">
        <f t="shared" ca="1" si="126"/>
        <v>-3.7390714031702214E-4</v>
      </c>
      <c r="S60" s="38">
        <f t="shared" ca="1" si="127"/>
        <v>-346051.39574355574</v>
      </c>
      <c r="T60" s="2">
        <v>-343976.72328182962</v>
      </c>
      <c r="U60" s="21">
        <f t="shared" ca="1" si="128"/>
        <v>-3.6918953915804261E-4</v>
      </c>
      <c r="V60" s="38">
        <f t="shared" ca="1" si="129"/>
        <v>-348860.64189493755</v>
      </c>
      <c r="W60" s="2">
        <v>-350856.25774746621</v>
      </c>
      <c r="X60" s="21">
        <f t="shared" ca="1" si="130"/>
        <v>-3.6735876648273918E-4</v>
      </c>
      <c r="Y60" s="38">
        <f t="shared" ca="1" si="131"/>
        <v>-354073.29167915107</v>
      </c>
      <c r="Z60" s="2">
        <v>-357171.67038692062</v>
      </c>
      <c r="AA60" s="21">
        <f t="shared" ca="1" si="132"/>
        <v>-3.6952298285865585E-4</v>
      </c>
      <c r="AB60" s="38">
        <f t="shared" ca="1" si="133"/>
        <v>-362570.10580309376</v>
      </c>
      <c r="AC60" s="2">
        <v>-363600.76045388519</v>
      </c>
      <c r="AD60" s="21">
        <f t="shared" ca="1" si="134"/>
        <v>-3.6993699161100041E-4</v>
      </c>
      <c r="AE60" s="38">
        <f t="shared" ca="1" si="135"/>
        <v>-369872.87481229845</v>
      </c>
      <c r="AF60" s="2">
        <v>-369127.49201278429</v>
      </c>
      <c r="AG60" s="21">
        <f t="shared" ca="1" si="136"/>
        <v>-3.7021082202830978E-4</v>
      </c>
      <c r="AH60" s="38">
        <f t="shared" ca="1" si="137"/>
        <v>-376809.29760852555</v>
      </c>
      <c r="AI60" s="2">
        <v>-562107.344837068</v>
      </c>
      <c r="AJ60" s="21">
        <f t="shared" ca="1" si="138"/>
        <v>-3.7491900770740013E-4</v>
      </c>
      <c r="AK60" s="38">
        <f t="shared" ca="1" si="139"/>
        <v>-388470.22512694477</v>
      </c>
      <c r="AL60" s="2">
        <v>-3823552.1023123171</v>
      </c>
    </row>
    <row r="61" spans="1:38" ht="12.75" x14ac:dyDescent="0.2">
      <c r="A61" s="8" t="s">
        <v>16</v>
      </c>
      <c r="B61" s="8" t="s">
        <v>17</v>
      </c>
      <c r="C61" s="8" t="s">
        <v>36</v>
      </c>
      <c r="D61" s="8" t="s">
        <v>96</v>
      </c>
      <c r="E61" s="8" t="s">
        <v>201</v>
      </c>
      <c r="F61" s="8" t="s">
        <v>192</v>
      </c>
      <c r="G61" s="8" t="s">
        <v>1068</v>
      </c>
      <c r="H61" s="34">
        <v>630450.6756919492</v>
      </c>
      <c r="I61" s="21">
        <f t="shared" si="120"/>
        <v>7.2167907060842148E-4</v>
      </c>
      <c r="J61" s="38">
        <f t="shared" si="121"/>
        <v>607981.94352336612</v>
      </c>
      <c r="K61" s="2">
        <v>649364.19596270774</v>
      </c>
      <c r="L61" s="21">
        <f t="shared" ca="1" si="122"/>
        <v>7.2277886869681824E-4</v>
      </c>
      <c r="M61" s="38">
        <f t="shared" ca="1" si="123"/>
        <v>637322.57030452753</v>
      </c>
      <c r="N61" s="2">
        <v>666247.6650577382</v>
      </c>
      <c r="O61" s="21">
        <f t="shared" ca="1" si="124"/>
        <v>7.3981757317712938E-4</v>
      </c>
      <c r="P61" s="38">
        <f t="shared" ca="1" si="125"/>
        <v>669307.75319308031</v>
      </c>
      <c r="Q61" s="2">
        <v>1017360.1845431663</v>
      </c>
      <c r="R61" s="21">
        <f t="shared" ca="1" si="126"/>
        <v>7.5034605604312038E-4</v>
      </c>
      <c r="S61" s="38">
        <f t="shared" ca="1" si="127"/>
        <v>694445.95191265771</v>
      </c>
      <c r="T61" s="2">
        <v>690282.55910363677</v>
      </c>
      <c r="U61" s="21">
        <f t="shared" ca="1" si="128"/>
        <v>7.4087891021481817E-4</v>
      </c>
      <c r="V61" s="38">
        <f t="shared" ca="1" si="129"/>
        <v>700083.46599799034</v>
      </c>
      <c r="W61" s="2">
        <v>704088.21028570947</v>
      </c>
      <c r="X61" s="21">
        <f t="shared" ca="1" si="130"/>
        <v>7.37204968456817E-4</v>
      </c>
      <c r="Y61" s="38">
        <f t="shared" ca="1" si="131"/>
        <v>710544.0611174159</v>
      </c>
      <c r="Z61" s="2">
        <v>716761.7980708523</v>
      </c>
      <c r="AA61" s="21">
        <f t="shared" ca="1" si="132"/>
        <v>7.4154805540807491E-4</v>
      </c>
      <c r="AB61" s="38">
        <f t="shared" ca="1" si="133"/>
        <v>727595.22243363538</v>
      </c>
      <c r="AC61" s="2">
        <v>729663.51043612766</v>
      </c>
      <c r="AD61" s="21">
        <f t="shared" ca="1" si="134"/>
        <v>7.4237887622156809E-4</v>
      </c>
      <c r="AE61" s="38">
        <f t="shared" ca="1" si="135"/>
        <v>742250.20848071855</v>
      </c>
      <c r="AF61" s="2">
        <v>740754.39579475683</v>
      </c>
      <c r="AG61" s="21">
        <f t="shared" ca="1" si="136"/>
        <v>7.4292839119867839E-4</v>
      </c>
      <c r="AH61" s="38">
        <f t="shared" ca="1" si="137"/>
        <v>756170.02152249042</v>
      </c>
      <c r="AI61" s="2">
        <v>1128020.7939162557</v>
      </c>
      <c r="AJ61" s="21">
        <f t="shared" ca="1" si="138"/>
        <v>7.523766423137248E-4</v>
      </c>
      <c r="AK61" s="38">
        <f t="shared" ca="1" si="139"/>
        <v>779570.83426394267</v>
      </c>
      <c r="AL61" s="2">
        <v>7672993.9888629001</v>
      </c>
    </row>
    <row r="62" spans="1:38" ht="12.75" x14ac:dyDescent="0.2">
      <c r="A62" s="8" t="s">
        <v>16</v>
      </c>
      <c r="B62" s="8" t="s">
        <v>17</v>
      </c>
      <c r="C62" s="8" t="s">
        <v>36</v>
      </c>
      <c r="D62" s="8" t="s">
        <v>96</v>
      </c>
      <c r="E62" s="8" t="s">
        <v>104</v>
      </c>
      <c r="F62" s="8" t="s">
        <v>192</v>
      </c>
      <c r="G62" s="8" t="s">
        <v>1069</v>
      </c>
      <c r="H62" s="34">
        <v>591055.79097178578</v>
      </c>
      <c r="I62" s="21">
        <f t="shared" si="120"/>
        <v>6.7658360971392781E-4</v>
      </c>
      <c r="J62" s="38">
        <f t="shared" si="121"/>
        <v>569991.05938202376</v>
      </c>
      <c r="K62" s="2">
        <v>608787.46470093937</v>
      </c>
      <c r="L62" s="21">
        <f t="shared" ca="1" si="122"/>
        <v>6.7761468487033568E-4</v>
      </c>
      <c r="M62" s="38">
        <f t="shared" ca="1" si="123"/>
        <v>597498.28245021007</v>
      </c>
      <c r="N62" s="2">
        <v>624615.93878316379</v>
      </c>
      <c r="O62" s="21">
        <f t="shared" ca="1" si="124"/>
        <v>6.93588694165657E-4</v>
      </c>
      <c r="P62" s="38">
        <f t="shared" ca="1" si="125"/>
        <v>627484.81161178427</v>
      </c>
      <c r="Q62" s="2">
        <v>953788.53852189111</v>
      </c>
      <c r="R62" s="21">
        <f t="shared" ca="1" si="126"/>
        <v>7.0345928516987982E-4</v>
      </c>
      <c r="S62" s="38">
        <f t="shared" ca="1" si="127"/>
        <v>651052.2031630713</v>
      </c>
      <c r="T62" s="2">
        <v>647148.96770827344</v>
      </c>
      <c r="U62" s="21">
        <f t="shared" ca="1" si="128"/>
        <v>6.9458371158174625E-4</v>
      </c>
      <c r="V62" s="38">
        <f t="shared" ca="1" si="129"/>
        <v>656337.4466805975</v>
      </c>
      <c r="W62" s="2">
        <v>660091.94706243894</v>
      </c>
      <c r="X62" s="21">
        <f t="shared" ca="1" si="130"/>
        <v>6.9113934291741539E-4</v>
      </c>
      <c r="Y62" s="38">
        <f t="shared" ca="1" si="131"/>
        <v>666144.39203054388</v>
      </c>
      <c r="Z62" s="2">
        <v>671973.60210956284</v>
      </c>
      <c r="AA62" s="21">
        <f t="shared" ca="1" si="132"/>
        <v>6.9521104399128213E-4</v>
      </c>
      <c r="AB62" s="38">
        <f t="shared" ca="1" si="133"/>
        <v>682130.0797731803</v>
      </c>
      <c r="AC62" s="2">
        <v>684069.12694753497</v>
      </c>
      <c r="AD62" s="21">
        <f t="shared" ca="1" si="134"/>
        <v>6.9598994941879406E-4</v>
      </c>
      <c r="AE62" s="38">
        <f t="shared" ca="1" si="135"/>
        <v>695869.32172138232</v>
      </c>
      <c r="AF62" s="2">
        <v>694466.97767713759</v>
      </c>
      <c r="AG62" s="21">
        <f t="shared" ca="1" si="136"/>
        <v>6.9650512692905747E-4</v>
      </c>
      <c r="AH62" s="38">
        <f t="shared" ca="1" si="137"/>
        <v>708919.32931881095</v>
      </c>
      <c r="AI62" s="2">
        <v>1057534.3136067453</v>
      </c>
      <c r="AJ62" s="21">
        <f t="shared" ca="1" si="138"/>
        <v>7.0536298647528553E-4</v>
      </c>
      <c r="AK62" s="38">
        <f t="shared" ca="1" si="139"/>
        <v>730857.89869079448</v>
      </c>
      <c r="AL62" s="2">
        <v>7193532.6680894736</v>
      </c>
    </row>
    <row r="63" spans="1:38" ht="12.75" x14ac:dyDescent="0.2">
      <c r="A63" s="8" t="s">
        <v>16</v>
      </c>
      <c r="B63" s="8" t="s">
        <v>17</v>
      </c>
      <c r="C63" s="8" t="s">
        <v>36</v>
      </c>
      <c r="D63" s="8" t="s">
        <v>96</v>
      </c>
      <c r="E63" s="8" t="s">
        <v>105</v>
      </c>
      <c r="F63" s="8" t="s">
        <v>192</v>
      </c>
      <c r="G63" s="8" t="s">
        <v>1070</v>
      </c>
      <c r="H63" s="34">
        <v>5804427.3741233554</v>
      </c>
      <c r="I63" s="21">
        <f t="shared" si="120"/>
        <v>6.6443481057005321E-3</v>
      </c>
      <c r="J63" s="38">
        <f t="shared" si="121"/>
        <v>5597562.461308361</v>
      </c>
      <c r="K63" s="2">
        <v>5978560.1953470558</v>
      </c>
      <c r="L63" s="21">
        <f t="shared" ca="1" si="122"/>
        <v>6.6544737164365222E-3</v>
      </c>
      <c r="M63" s="38">
        <f t="shared" ca="1" si="123"/>
        <v>5867695.4690580815</v>
      </c>
      <c r="N63" s="2">
        <v>6134002.7604260789</v>
      </c>
      <c r="O63" s="21">
        <f t="shared" ca="1" si="124"/>
        <v>6.8113455012063116E-3</v>
      </c>
      <c r="P63" s="38">
        <f t="shared" ca="1" si="125"/>
        <v>6162176.3511998784</v>
      </c>
      <c r="Q63" s="2">
        <v>9366622.2151706219</v>
      </c>
      <c r="R63" s="21">
        <f t="shared" ca="1" si="126"/>
        <v>6.9082790386131394E-3</v>
      </c>
      <c r="S63" s="38">
        <f t="shared" ca="1" si="127"/>
        <v>6393618.4836457195</v>
      </c>
      <c r="T63" s="2">
        <v>6355286.99773941</v>
      </c>
      <c r="U63" s="21">
        <f t="shared" ca="1" si="128"/>
        <v>6.8211170091009915E-3</v>
      </c>
      <c r="V63" s="38">
        <f t="shared" ca="1" si="129"/>
        <v>6445521.8955073943</v>
      </c>
      <c r="W63" s="2">
        <v>6482392.7376941983</v>
      </c>
      <c r="X63" s="21">
        <f t="shared" ca="1" si="130"/>
        <v>6.787291796545432E-3</v>
      </c>
      <c r="Y63" s="38">
        <f t="shared" ca="1" si="131"/>
        <v>6541830.4046452027</v>
      </c>
      <c r="Z63" s="2">
        <v>6599075.8069726937</v>
      </c>
      <c r="AA63" s="21">
        <f t="shared" ca="1" si="132"/>
        <v>6.8272776887968924E-3</v>
      </c>
      <c r="AB63" s="38">
        <f t="shared" ca="1" si="133"/>
        <v>6698816.8768951222</v>
      </c>
      <c r="AC63" s="2">
        <v>6717859.1714982018</v>
      </c>
      <c r="AD63" s="21">
        <f t="shared" ca="1" si="134"/>
        <v>6.8349268820784102E-3</v>
      </c>
      <c r="AE63" s="38">
        <f t="shared" ca="1" si="135"/>
        <v>6833742.2651274744</v>
      </c>
      <c r="AF63" s="2">
        <v>6819970.6309049753</v>
      </c>
      <c r="AG63" s="21">
        <f t="shared" ca="1" si="136"/>
        <v>6.8399861514211379E-3</v>
      </c>
      <c r="AH63" s="38">
        <f t="shared" ca="1" si="137"/>
        <v>6961899.0694225328</v>
      </c>
      <c r="AI63" s="2">
        <v>10385451.276742097</v>
      </c>
      <c r="AJ63" s="21">
        <f t="shared" ca="1" si="138"/>
        <v>6.9269742212643114E-3</v>
      </c>
      <c r="AK63" s="38">
        <f t="shared" ca="1" si="139"/>
        <v>7177345.4529229421</v>
      </c>
      <c r="AL63" s="2">
        <v>70643649.166618675</v>
      </c>
    </row>
    <row r="64" spans="1:38" ht="12.75" x14ac:dyDescent="0.2">
      <c r="A64" s="8" t="s">
        <v>16</v>
      </c>
      <c r="B64" s="8" t="s">
        <v>17</v>
      </c>
      <c r="C64" s="8" t="s">
        <v>36</v>
      </c>
      <c r="D64" s="8" t="s">
        <v>96</v>
      </c>
      <c r="E64" s="8" t="s">
        <v>202</v>
      </c>
      <c r="F64" s="8" t="s">
        <v>192</v>
      </c>
      <c r="G64" s="8" t="s">
        <v>1071</v>
      </c>
      <c r="H64" s="34">
        <v>1561887.5313146638</v>
      </c>
      <c r="I64" s="21">
        <f t="shared" si="120"/>
        <v>1.7878980631703086E-3</v>
      </c>
      <c r="J64" s="38">
        <f t="shared" si="121"/>
        <v>1506223.1725128565</v>
      </c>
      <c r="K64" s="2">
        <v>1608744.1572541038</v>
      </c>
      <c r="L64" s="21">
        <f t="shared" ca="1" si="122"/>
        <v>1.7906227187023933E-3</v>
      </c>
      <c r="M64" s="38">
        <f t="shared" ca="1" si="123"/>
        <v>1578912.0614257853</v>
      </c>
      <c r="N64" s="2">
        <v>1650571.5053427105</v>
      </c>
      <c r="O64" s="21">
        <f t="shared" ca="1" si="124"/>
        <v>1.8328346491572932E-3</v>
      </c>
      <c r="P64" s="38">
        <f t="shared" ca="1" si="125"/>
        <v>1658152.6115062803</v>
      </c>
      <c r="Q64" s="2">
        <v>2520422.6886583189</v>
      </c>
      <c r="R64" s="21">
        <f t="shared" ca="1" si="126"/>
        <v>1.8589180633657128E-3</v>
      </c>
      <c r="S64" s="38">
        <f t="shared" ca="1" si="127"/>
        <v>1720430.344965325</v>
      </c>
      <c r="T64" s="2">
        <v>1710115.8960050829</v>
      </c>
      <c r="U64" s="21">
        <f t="shared" ca="1" si="128"/>
        <v>1.8354640207316343E-3</v>
      </c>
      <c r="V64" s="38">
        <f t="shared" ca="1" si="129"/>
        <v>1734396.8030832864</v>
      </c>
      <c r="W64" s="2">
        <v>1744318.2139251844</v>
      </c>
      <c r="X64" s="21">
        <f t="shared" ca="1" si="130"/>
        <v>1.8263621448135852E-3</v>
      </c>
      <c r="Y64" s="38">
        <f t="shared" ca="1" si="131"/>
        <v>1760312.0312162875</v>
      </c>
      <c r="Z64" s="2">
        <v>1775715.9417758379</v>
      </c>
      <c r="AA64" s="21">
        <f t="shared" ca="1" si="132"/>
        <v>1.8371217706148267E-3</v>
      </c>
      <c r="AB64" s="38">
        <f t="shared" ca="1" si="133"/>
        <v>1802554.8224148354</v>
      </c>
      <c r="AC64" s="2">
        <v>1807678.828727803</v>
      </c>
      <c r="AD64" s="21">
        <f t="shared" ca="1" si="134"/>
        <v>1.8391800579946084E-3</v>
      </c>
      <c r="AE64" s="38">
        <f t="shared" ca="1" si="135"/>
        <v>1838861.2946910481</v>
      </c>
      <c r="AF64" s="2">
        <v>1835155.5469244658</v>
      </c>
      <c r="AG64" s="21">
        <f t="shared" ca="1" si="136"/>
        <v>1.8405414342673476E-3</v>
      </c>
      <c r="AH64" s="38">
        <f t="shared" ca="1" si="137"/>
        <v>1873346.4388370402</v>
      </c>
      <c r="AI64" s="2">
        <v>2794574.8668565769</v>
      </c>
      <c r="AJ64" s="21">
        <f t="shared" ca="1" si="138"/>
        <v>1.8639486668682555E-3</v>
      </c>
      <c r="AK64" s="38">
        <f t="shared" ca="1" si="139"/>
        <v>1931319.9473964353</v>
      </c>
      <c r="AL64" s="2">
        <v>19009185.176784746</v>
      </c>
    </row>
    <row r="65" spans="1:38" ht="12.75" x14ac:dyDescent="0.2">
      <c r="A65" s="8" t="s">
        <v>16</v>
      </c>
      <c r="B65" s="8" t="s">
        <v>17</v>
      </c>
      <c r="C65" s="8" t="s">
        <v>36</v>
      </c>
      <c r="D65" s="8" t="s">
        <v>96</v>
      </c>
      <c r="E65" s="8" t="s">
        <v>110</v>
      </c>
      <c r="F65" s="8" t="s">
        <v>192</v>
      </c>
      <c r="G65" s="8" t="s">
        <v>1072</v>
      </c>
      <c r="H65" s="34">
        <v>441030.41622474784</v>
      </c>
      <c r="I65" s="21">
        <f t="shared" si="120"/>
        <v>5.048490439665108E-4</v>
      </c>
      <c r="J65" s="38">
        <f t="shared" si="121"/>
        <v>425312.46289005352</v>
      </c>
      <c r="K65" s="2">
        <v>454261.32871149026</v>
      </c>
      <c r="L65" s="21">
        <f t="shared" ca="1" si="122"/>
        <v>5.056184053573229E-4</v>
      </c>
      <c r="M65" s="38">
        <f t="shared" ca="1" si="123"/>
        <v>445837.63534289959</v>
      </c>
      <c r="N65" s="2">
        <v>466072.12325798901</v>
      </c>
      <c r="O65" s="21">
        <f t="shared" ca="1" si="124"/>
        <v>5.1753779448421126E-4</v>
      </c>
      <c r="P65" s="38">
        <f t="shared" ca="1" si="125"/>
        <v>468212.80134122382</v>
      </c>
      <c r="Q65" s="2">
        <v>711692.13221494923</v>
      </c>
      <c r="R65" s="21">
        <f t="shared" ca="1" si="126"/>
        <v>5.2490297206215066E-4</v>
      </c>
      <c r="S65" s="38">
        <f t="shared" ca="1" si="127"/>
        <v>485798.17426872114</v>
      </c>
      <c r="T65" s="2">
        <v>482885.68177047092</v>
      </c>
      <c r="U65" s="21">
        <f t="shared" ca="1" si="128"/>
        <v>5.1828025052959954E-4</v>
      </c>
      <c r="V65" s="38">
        <f t="shared" ca="1" si="129"/>
        <v>489741.88513999322</v>
      </c>
      <c r="W65" s="2">
        <v>492543.39540588035</v>
      </c>
      <c r="X65" s="21">
        <f t="shared" ca="1" si="130"/>
        <v>5.1571015246294533E-4</v>
      </c>
      <c r="Y65" s="38">
        <f t="shared" ca="1" si="131"/>
        <v>497059.57199061848</v>
      </c>
      <c r="Z65" s="2">
        <v>501409.17652318621</v>
      </c>
      <c r="AA65" s="21">
        <f t="shared" ca="1" si="132"/>
        <v>5.187483496124864E-4</v>
      </c>
      <c r="AB65" s="38">
        <f t="shared" ca="1" si="133"/>
        <v>508987.67527031439</v>
      </c>
      <c r="AC65" s="2">
        <v>510434.54170060356</v>
      </c>
      <c r="AD65" s="21">
        <f t="shared" ca="1" si="134"/>
        <v>5.1932954852829517E-4</v>
      </c>
      <c r="AE65" s="38">
        <f t="shared" ca="1" si="135"/>
        <v>519239.53928651061</v>
      </c>
      <c r="AF65" s="2">
        <v>518193.14673445281</v>
      </c>
      <c r="AG65" s="21">
        <f t="shared" ca="1" si="136"/>
        <v>5.1971396055039475E-4</v>
      </c>
      <c r="AH65" s="38">
        <f t="shared" ca="1" si="137"/>
        <v>528977.11460569885</v>
      </c>
      <c r="AI65" s="2">
        <v>789104.52384722489</v>
      </c>
      <c r="AJ65" s="21">
        <f t="shared" ca="1" si="138"/>
        <v>5.2632346432686622E-4</v>
      </c>
      <c r="AK65" s="38">
        <f t="shared" ca="1" si="139"/>
        <v>545347.10290340811</v>
      </c>
      <c r="AL65" s="2">
        <v>5367626.4663909953</v>
      </c>
    </row>
    <row r="66" spans="1:38" ht="12.75" x14ac:dyDescent="0.2">
      <c r="A66" s="8" t="s">
        <v>16</v>
      </c>
      <c r="B66" s="8" t="s">
        <v>17</v>
      </c>
      <c r="C66" s="8" t="s">
        <v>36</v>
      </c>
      <c r="D66" s="8" t="s">
        <v>112</v>
      </c>
      <c r="E66" s="8" t="s">
        <v>113</v>
      </c>
      <c r="F66" s="8" t="s">
        <v>188</v>
      </c>
      <c r="G66" s="8" t="s">
        <v>1073</v>
      </c>
      <c r="H66" s="34">
        <v>8165427.2696570195</v>
      </c>
      <c r="I66" s="21">
        <f>H66/H$195</f>
        <v>2.4811059902947321E-2</v>
      </c>
      <c r="J66" s="38">
        <f>I66*J$203</f>
        <v>9198327.9065628629</v>
      </c>
      <c r="K66" s="2">
        <v>8410390.0877467301</v>
      </c>
      <c r="L66" s="21">
        <f>K66/K$195</f>
        <v>2.484302798628504E-2</v>
      </c>
      <c r="M66" s="38">
        <f>L66*M$203</f>
        <v>8179376.567766293</v>
      </c>
      <c r="N66" s="2">
        <v>8629060.230028145</v>
      </c>
      <c r="O66" s="21">
        <f>N66/N$195</f>
        <v>3.7934180522514516E-2</v>
      </c>
      <c r="P66" s="38">
        <f>O66*P$203</f>
        <v>15181995.376004886</v>
      </c>
      <c r="Q66" s="2">
        <v>13298893.53090601</v>
      </c>
      <c r="R66" s="21">
        <f>Q66/Q$195</f>
        <v>4.0004173212699765E-2</v>
      </c>
      <c r="S66" s="38">
        <f>R66*S$203</f>
        <v>18875618.341418274</v>
      </c>
      <c r="T66" s="2">
        <v>9131906.8912221268</v>
      </c>
      <c r="U66" s="21">
        <f>T66/T$195</f>
        <v>3.7885225760137094E-2</v>
      </c>
      <c r="V66" s="38">
        <f>U66*V$203</f>
        <v>18251203.609662052</v>
      </c>
      <c r="W66" s="2">
        <v>9387600.2841763459</v>
      </c>
      <c r="X66" s="21">
        <f>W66/W$195</f>
        <v>3.5979614630011078E-2</v>
      </c>
      <c r="Y66" s="38">
        <f>X66*Y$203</f>
        <v>17679839.15674866</v>
      </c>
      <c r="Z66" s="2">
        <v>9650453.0921332836</v>
      </c>
      <c r="AA66" s="21">
        <f>Z66/Z$195</f>
        <v>3.8900870231487396E-2</v>
      </c>
      <c r="AB66" s="38">
        <f>AA66*AB$203</f>
        <v>19459375.434332997</v>
      </c>
      <c r="AC66" s="2">
        <v>9824161.2477916833</v>
      </c>
      <c r="AD66" s="21">
        <f>AC66/AC$195</f>
        <v>3.80474044263256E-2</v>
      </c>
      <c r="AE66" s="38">
        <f>AD66*AE$203</f>
        <v>19394062.86696317</v>
      </c>
      <c r="AF66" s="2">
        <v>9973488.4987581186</v>
      </c>
      <c r="AG66" s="21">
        <f>AF66/AF$195</f>
        <v>3.8516108980322226E-2</v>
      </c>
      <c r="AH66" s="38">
        <f>AG66*AH$203</f>
        <v>19986371.199671578</v>
      </c>
      <c r="AI66" s="2">
        <v>15187628.285908863</v>
      </c>
      <c r="AJ66" s="21">
        <f>AI66/AI$195</f>
        <v>3.660090013502651E-2</v>
      </c>
      <c r="AK66" s="38">
        <f>AJ66*AK$203</f>
        <v>19334417.240994729</v>
      </c>
      <c r="AL66" s="2">
        <v>101659009.41832832</v>
      </c>
    </row>
    <row r="67" spans="1:38" ht="12.75" x14ac:dyDescent="0.2">
      <c r="A67" s="8" t="s">
        <v>16</v>
      </c>
      <c r="B67" s="8" t="s">
        <v>17</v>
      </c>
      <c r="C67" s="8" t="s">
        <v>36</v>
      </c>
      <c r="D67" s="8" t="s">
        <v>112</v>
      </c>
      <c r="E67" s="8" t="s">
        <v>113</v>
      </c>
      <c r="F67" s="8" t="s">
        <v>189</v>
      </c>
      <c r="G67" s="8" t="s">
        <v>1074</v>
      </c>
      <c r="H67" s="34">
        <v>10275560.743027395</v>
      </c>
      <c r="I67" s="21">
        <f>H67/H$194</f>
        <v>6.639137139953305E-2</v>
      </c>
      <c r="J67" s="38">
        <f>I67*J$202</f>
        <v>12467201.618789542</v>
      </c>
      <c r="K67" s="2">
        <v>10583827.565318218</v>
      </c>
      <c r="L67" s="21">
        <f>K67/K$194</f>
        <v>6.6391371399533064E-2</v>
      </c>
      <c r="M67" s="38">
        <f>L67*M$202</f>
        <v>13772615.499052428</v>
      </c>
      <c r="N67" s="2">
        <v>10859007.082016492</v>
      </c>
      <c r="O67" s="21">
        <f>N67/N$194</f>
        <v>6.4610072263033308E-2</v>
      </c>
      <c r="P67" s="38">
        <f>O67*P$202</f>
        <v>13751572.75922044</v>
      </c>
      <c r="Q67" s="2">
        <v>16605851.189179093</v>
      </c>
      <c r="R67" s="21">
        <f>Q67/Q$194</f>
        <v>6.6604060416065203E-2</v>
      </c>
      <c r="S67" s="38">
        <f>R67*S$202</f>
        <v>14502019.47603979</v>
      </c>
      <c r="T67" s="2">
        <v>11291978.808641784</v>
      </c>
      <c r="U67" s="21">
        <f>T67/T$194</f>
        <v>6.5041993176916751E-2</v>
      </c>
      <c r="V67" s="38">
        <f>U67*V$202</f>
        <v>14459303.097443437</v>
      </c>
      <c r="W67" s="2">
        <v>11517818.38481462</v>
      </c>
      <c r="X67" s="21">
        <f>W67/W$194</f>
        <v>6.4789035887928711E-2</v>
      </c>
      <c r="Y67" s="38">
        <f>X67*Y$202</f>
        <v>14691130.249277402</v>
      </c>
      <c r="Z67" s="2">
        <v>11725139.115741283</v>
      </c>
      <c r="AA67" s="21">
        <f>Z67/Z$194</f>
        <v>6.5201225069402707E-2</v>
      </c>
      <c r="AB67" s="38">
        <f>AA67*AB$202</f>
        <v>15050718.242040565</v>
      </c>
      <c r="AC67" s="2">
        <v>11936191.619824626</v>
      </c>
      <c r="AD67" s="21">
        <f>AC67/AC$194</f>
        <v>6.5120509986808378E-2</v>
      </c>
      <c r="AE67" s="38">
        <f>AD67*AE$202</f>
        <v>15317696.025207624</v>
      </c>
      <c r="AF67" s="2">
        <v>12117621.732445961</v>
      </c>
      <c r="AG67" s="21">
        <f>AF67/AF$194</f>
        <v>6.5385221921212419E-2</v>
      </c>
      <c r="AH67" s="38">
        <f>AG67*AH$202</f>
        <v>15656801.080253273</v>
      </c>
      <c r="AI67" s="2">
        <v>18452714.374168713</v>
      </c>
      <c r="AJ67" s="21">
        <f>AI67/AI$194</f>
        <v>6.5865683568331196E-2</v>
      </c>
      <c r="AK67" s="38">
        <f>AJ67*AK$202</f>
        <v>16055743.195775259</v>
      </c>
      <c r="AL67" s="2">
        <v>125365710.61517818</v>
      </c>
    </row>
    <row r="68" spans="1:38" ht="12.75" x14ac:dyDescent="0.2">
      <c r="A68" s="8" t="s">
        <v>16</v>
      </c>
      <c r="B68" s="8" t="s">
        <v>17</v>
      </c>
      <c r="C68" s="8" t="s">
        <v>36</v>
      </c>
      <c r="D68" s="8" t="s">
        <v>112</v>
      </c>
      <c r="E68" s="8" t="s">
        <v>113</v>
      </c>
      <c r="F68" s="8" t="s">
        <v>192</v>
      </c>
      <c r="G68" s="8" t="s">
        <v>1075</v>
      </c>
      <c r="H68" s="34">
        <v>794014.5</v>
      </c>
      <c r="I68" s="21">
        <f t="shared" ref="I68:I82" si="140">H68/H$193</f>
        <v>9.089111464282121E-4</v>
      </c>
      <c r="J68" s="38">
        <f t="shared" ref="J68:J82" si="141">I68*J$201</f>
        <v>765716.49061347567</v>
      </c>
      <c r="K68" s="2">
        <v>794014.5</v>
      </c>
      <c r="L68" s="21">
        <f t="shared" ref="L68:L82" ca="1" si="142">K68/K$193</f>
        <v>8.8378279185541669E-4</v>
      </c>
      <c r="M68" s="38">
        <f t="shared" ref="M68:M82" ca="1" si="143">L68*M$201</f>
        <v>779290.52008917008</v>
      </c>
      <c r="N68" s="2">
        <v>794014.5</v>
      </c>
      <c r="O68" s="21">
        <f t="shared" ref="O68:O82" ca="1" si="144">N68/N$193</f>
        <v>8.8169296684371035E-4</v>
      </c>
      <c r="P68" s="38">
        <f t="shared" ref="P68:P82" ca="1" si="145">O68*P$201</f>
        <v>797661.42362641008</v>
      </c>
      <c r="Q68" s="2">
        <v>794014.5</v>
      </c>
      <c r="R68" s="21">
        <f t="shared" ref="R68:R82" ca="1" si="146">Q68/Q$193</f>
        <v>5.8561919128335136E-4</v>
      </c>
      <c r="S68" s="38">
        <f t="shared" ref="S68:S82" ca="1" si="147">R68*S$201</f>
        <v>541991.08994279418</v>
      </c>
      <c r="T68" s="2">
        <v>794014.5</v>
      </c>
      <c r="U68" s="21">
        <f t="shared" ref="U68:U82" ca="1" si="148">T68/T$193</f>
        <v>8.5221419793462139E-4</v>
      </c>
      <c r="V68" s="38">
        <f t="shared" ref="V68:V82" ca="1" si="149">U68*V$201</f>
        <v>805288.23433478025</v>
      </c>
      <c r="W68" s="2">
        <v>794014.5</v>
      </c>
      <c r="X68" s="21">
        <f t="shared" ref="X68:X82" ca="1" si="150">W68/W$193</f>
        <v>8.3136093727407764E-4</v>
      </c>
      <c r="Y68" s="38">
        <f t="shared" ref="Y68:Y82" ca="1" si="151">X68*Y$201</f>
        <v>801294.89341566572</v>
      </c>
      <c r="Z68" s="2">
        <v>794014.5</v>
      </c>
      <c r="AA68" s="21">
        <f t="shared" ref="AA68:AA82" ca="1" si="152">Z68/Z$193</f>
        <v>8.2147222414134813E-4</v>
      </c>
      <c r="AB68" s="38">
        <f t="shared" ref="AB68:AB82" ca="1" si="153">AA68*AB$201</f>
        <v>806015.55258379399</v>
      </c>
      <c r="AC68" s="2">
        <v>794014.5</v>
      </c>
      <c r="AD68" s="21">
        <f t="shared" ref="AD68:AD82" ca="1" si="154">AC68/AC$193</f>
        <v>8.0785126812947517E-4</v>
      </c>
      <c r="AE68" s="38">
        <f t="shared" ref="AE68:AE82" ca="1" si="155">AD68*AE$201</f>
        <v>807711.25283412938</v>
      </c>
      <c r="AF68" s="2">
        <v>794014.5</v>
      </c>
      <c r="AG68" s="21">
        <f t="shared" ref="AG68:AG82" ca="1" si="156">AF68/AF$193</f>
        <v>7.9634480527182366E-4</v>
      </c>
      <c r="AH68" s="38">
        <f t="shared" ref="AH68:AH82" ca="1" si="157">AG68*AH$201</f>
        <v>810538.50636956189</v>
      </c>
      <c r="AI68" s="2">
        <v>794014.5</v>
      </c>
      <c r="AJ68" s="21">
        <f t="shared" ref="AJ68:AJ82" ca="1" si="158">AI68/AI$193</f>
        <v>5.2959836084614045E-4</v>
      </c>
      <c r="AK68" s="38">
        <f t="shared" ref="AK68:AK82" ca="1" si="159">AJ68*AK$201</f>
        <v>548740.36854733829</v>
      </c>
      <c r="AL68" s="2">
        <v>7940145</v>
      </c>
    </row>
    <row r="69" spans="1:38" ht="12.75" x14ac:dyDescent="0.2">
      <c r="A69" s="8" t="s">
        <v>16</v>
      </c>
      <c r="B69" s="8" t="s">
        <v>17</v>
      </c>
      <c r="C69" s="8" t="s">
        <v>36</v>
      </c>
      <c r="D69" s="8" t="s">
        <v>112</v>
      </c>
      <c r="E69" s="8" t="s">
        <v>114</v>
      </c>
      <c r="F69" s="8" t="s">
        <v>192</v>
      </c>
      <c r="G69" s="8" t="s">
        <v>1076</v>
      </c>
      <c r="H69" s="34">
        <v>23449735.948366143</v>
      </c>
      <c r="I69" s="21">
        <f t="shared" si="140"/>
        <v>2.6842993905361084E-2</v>
      </c>
      <c r="J69" s="38">
        <f t="shared" si="141"/>
        <v>22614007.069386754</v>
      </c>
      <c r="K69" s="2">
        <v>24153228.026817128</v>
      </c>
      <c r="L69" s="21">
        <f t="shared" ca="1" si="142"/>
        <v>2.6883901109943129E-2</v>
      </c>
      <c r="M69" s="38">
        <f t="shared" ca="1" si="143"/>
        <v>23705337.40989697</v>
      </c>
      <c r="N69" s="2">
        <v>24781211.955514375</v>
      </c>
      <c r="O69" s="21">
        <f t="shared" ca="1" si="144"/>
        <v>2.751765904909834E-2</v>
      </c>
      <c r="P69" s="38">
        <f t="shared" ca="1" si="145"/>
        <v>24895032.531047493</v>
      </c>
      <c r="Q69" s="2">
        <v>37840910.656070456</v>
      </c>
      <c r="R69" s="21">
        <f t="shared" ca="1" si="146"/>
        <v>2.7909268024492669E-2</v>
      </c>
      <c r="S69" s="38">
        <f t="shared" ca="1" si="147"/>
        <v>25830052.739479594</v>
      </c>
      <c r="T69" s="2">
        <v>25675194.531240366</v>
      </c>
      <c r="U69" s="21">
        <f t="shared" ca="1" si="148"/>
        <v>2.7557135687391585E-2</v>
      </c>
      <c r="V69" s="38">
        <f t="shared" ca="1" si="149"/>
        <v>26039741.176344462</v>
      </c>
      <c r="W69" s="2">
        <v>26188698.421865173</v>
      </c>
      <c r="X69" s="21">
        <f t="shared" ca="1" si="150"/>
        <v>2.742048270653746E-2</v>
      </c>
      <c r="Y69" s="38">
        <f t="shared" ca="1" si="151"/>
        <v>26428825.053753383</v>
      </c>
      <c r="Z69" s="2">
        <v>26660094.993458748</v>
      </c>
      <c r="AA69" s="21">
        <f t="shared" ca="1" si="152"/>
        <v>2.7582024673474072E-2</v>
      </c>
      <c r="AB69" s="38">
        <f t="shared" ca="1" si="153"/>
        <v>27063046.327351823</v>
      </c>
      <c r="AC69" s="2">
        <v>27139976.703341007</v>
      </c>
      <c r="AD69" s="21">
        <f t="shared" ca="1" si="154"/>
        <v>2.7612927215810851E-2</v>
      </c>
      <c r="AE69" s="38">
        <f t="shared" ca="1" si="155"/>
        <v>27608141.394073594</v>
      </c>
      <c r="AF69" s="2">
        <v>27552504.349231794</v>
      </c>
      <c r="AG69" s="21">
        <f t="shared" ca="1" si="156"/>
        <v>2.7633366532651568E-2</v>
      </c>
      <c r="AH69" s="38">
        <f t="shared" ca="1" si="157"/>
        <v>28125891.557354677</v>
      </c>
      <c r="AI69" s="2">
        <v>41956953.623010181</v>
      </c>
      <c r="AJ69" s="21">
        <f t="shared" ca="1" si="158"/>
        <v>2.7984796077204797E-2</v>
      </c>
      <c r="AK69" s="38">
        <f t="shared" ca="1" si="159"/>
        <v>28996289.355187077</v>
      </c>
      <c r="AL69" s="2">
        <v>285398509.20891535</v>
      </c>
    </row>
    <row r="70" spans="1:38" ht="12.75" x14ac:dyDescent="0.2">
      <c r="A70" s="8" t="s">
        <v>16</v>
      </c>
      <c r="B70" s="8" t="s">
        <v>17</v>
      </c>
      <c r="C70" s="8" t="s">
        <v>36</v>
      </c>
      <c r="D70" s="8" t="s">
        <v>112</v>
      </c>
      <c r="E70" s="8" t="s">
        <v>203</v>
      </c>
      <c r="F70" s="8" t="s">
        <v>192</v>
      </c>
      <c r="G70" s="8" t="s">
        <v>1077</v>
      </c>
      <c r="H70" s="34">
        <v>24333219.876342531</v>
      </c>
      <c r="I70" s="21">
        <f t="shared" si="140"/>
        <v>2.7854321015669418E-2</v>
      </c>
      <c r="J70" s="38">
        <f t="shared" si="141"/>
        <v>23466004.372765329</v>
      </c>
      <c r="K70" s="2">
        <v>25061259.092632808</v>
      </c>
      <c r="L70" s="21">
        <f t="shared" ca="1" si="142"/>
        <v>2.789459075155299E-2</v>
      </c>
      <c r="M70" s="38">
        <f t="shared" ca="1" si="143"/>
        <v>24596530.204910949</v>
      </c>
      <c r="N70" s="2">
        <v>25711155.43304126</v>
      </c>
      <c r="O70" s="21">
        <f t="shared" ca="1" si="144"/>
        <v>2.8550290850781607E-2</v>
      </c>
      <c r="P70" s="38">
        <f t="shared" ca="1" si="145"/>
        <v>25829247.256567232</v>
      </c>
      <c r="Q70" s="2">
        <v>39226549.704254001</v>
      </c>
      <c r="R70" s="21">
        <f t="shared" ca="1" si="146"/>
        <v>2.8931235279256756E-2</v>
      </c>
      <c r="S70" s="38">
        <f t="shared" ca="1" si="147"/>
        <v>26775884.355895031</v>
      </c>
      <c r="T70" s="2">
        <v>26636331.982636277</v>
      </c>
      <c r="U70" s="21">
        <f t="shared" ca="1" si="148"/>
        <v>2.8588722619678455E-2</v>
      </c>
      <c r="V70" s="38">
        <f t="shared" ca="1" si="149"/>
        <v>27014525.240347885</v>
      </c>
      <c r="W70" s="2">
        <v>27167753.702289004</v>
      </c>
      <c r="X70" s="21">
        <f t="shared" ca="1" si="150"/>
        <v>2.844558780924817E-2</v>
      </c>
      <c r="Y70" s="38">
        <f t="shared" ca="1" si="151"/>
        <v>27416857.383862291</v>
      </c>
      <c r="Z70" s="2">
        <v>27655598.840930205</v>
      </c>
      <c r="AA70" s="21">
        <f t="shared" ca="1" si="152"/>
        <v>2.8611953925047749E-2</v>
      </c>
      <c r="AB70" s="38">
        <f t="shared" ca="1" si="153"/>
        <v>28073596.617956087</v>
      </c>
      <c r="AC70" s="2">
        <v>28152225.192066949</v>
      </c>
      <c r="AD70" s="21">
        <f t="shared" ca="1" si="154"/>
        <v>2.8642815492762212E-2</v>
      </c>
      <c r="AE70" s="38">
        <f t="shared" ca="1" si="155"/>
        <v>28637851.172683787</v>
      </c>
      <c r="AF70" s="2">
        <v>28579147.27578637</v>
      </c>
      <c r="AG70" s="21">
        <f t="shared" ca="1" si="156"/>
        <v>2.8663022491618059E-2</v>
      </c>
      <c r="AH70" s="38">
        <f t="shared" ca="1" si="157"/>
        <v>29173899.653257739</v>
      </c>
      <c r="AI70" s="2">
        <v>43486214.862767488</v>
      </c>
      <c r="AJ70" s="21">
        <f t="shared" ca="1" si="158"/>
        <v>2.9004795391928906E-2</v>
      </c>
      <c r="AK70" s="38">
        <f t="shared" ca="1" si="159"/>
        <v>30053155.919096909</v>
      </c>
      <c r="AL70" s="2">
        <v>296009455.96274686</v>
      </c>
    </row>
    <row r="71" spans="1:38" ht="12.75" x14ac:dyDescent="0.2">
      <c r="A71" s="8" t="s">
        <v>16</v>
      </c>
      <c r="B71" s="8" t="s">
        <v>17</v>
      </c>
      <c r="C71" s="8" t="s">
        <v>36</v>
      </c>
      <c r="D71" s="8" t="s">
        <v>112</v>
      </c>
      <c r="E71" s="8" t="s">
        <v>115</v>
      </c>
      <c r="F71" s="8" t="s">
        <v>192</v>
      </c>
      <c r="G71" s="8" t="s">
        <v>1078</v>
      </c>
      <c r="H71" s="34">
        <v>2818255.5281210179</v>
      </c>
      <c r="I71" s="21">
        <f t="shared" si="140"/>
        <v>3.2260668577111886E-3</v>
      </c>
      <c r="J71" s="38">
        <f t="shared" si="141"/>
        <v>2717815.269928765</v>
      </c>
      <c r="K71" s="2">
        <v>2902803.1939646485</v>
      </c>
      <c r="L71" s="21">
        <f t="shared" ca="1" si="142"/>
        <v>3.2309832011492207E-3</v>
      </c>
      <c r="M71" s="38">
        <f t="shared" ca="1" si="143"/>
        <v>2848974.4340200527</v>
      </c>
      <c r="N71" s="2">
        <v>2978276.0770077296</v>
      </c>
      <c r="O71" s="21">
        <f t="shared" ca="1" si="144"/>
        <v>3.3071500210847433E-3</v>
      </c>
      <c r="P71" s="38">
        <f t="shared" ca="1" si="145"/>
        <v>2991955.3553977483</v>
      </c>
      <c r="Q71" s="2">
        <v>4547827.5695908032</v>
      </c>
      <c r="R71" s="21">
        <f t="shared" ca="1" si="146"/>
        <v>3.3542146943159041E-3</v>
      </c>
      <c r="S71" s="38">
        <f t="shared" ca="1" si="147"/>
        <v>3104328.7261308301</v>
      </c>
      <c r="T71" s="2">
        <v>3085717.4290822791</v>
      </c>
      <c r="U71" s="21">
        <f t="shared" ca="1" si="148"/>
        <v>3.3118944350238396E-3</v>
      </c>
      <c r="V71" s="38">
        <f t="shared" ca="1" si="149"/>
        <v>3129529.6749892174</v>
      </c>
      <c r="W71" s="2">
        <v>3147431.7776639247</v>
      </c>
      <c r="X71" s="21">
        <f t="shared" ca="1" si="150"/>
        <v>3.2954710936448856E-3</v>
      </c>
      <c r="Y71" s="38">
        <f t="shared" ca="1" si="151"/>
        <v>3176290.8748093313</v>
      </c>
      <c r="Z71" s="2">
        <v>3204085.5496618752</v>
      </c>
      <c r="AA71" s="21">
        <f t="shared" ca="1" si="152"/>
        <v>3.3148856636999635E-3</v>
      </c>
      <c r="AB71" s="38">
        <f t="shared" ca="1" si="153"/>
        <v>3252513.3795874836</v>
      </c>
      <c r="AC71" s="2">
        <v>3261759.0895557893</v>
      </c>
      <c r="AD71" s="21">
        <f t="shared" ca="1" si="154"/>
        <v>3.3185996185592162E-3</v>
      </c>
      <c r="AE71" s="38">
        <f t="shared" ca="1" si="155"/>
        <v>3318024.4449795508</v>
      </c>
      <c r="AF71" s="2">
        <v>3311337.8277170374</v>
      </c>
      <c r="AG71" s="21">
        <f t="shared" ca="1" si="156"/>
        <v>3.3210560734124477E-3</v>
      </c>
      <c r="AH71" s="38">
        <f t="shared" ca="1" si="157"/>
        <v>3380249.122607707</v>
      </c>
      <c r="AI71" s="2">
        <v>5042505.2440475058</v>
      </c>
      <c r="AJ71" s="21">
        <f t="shared" ca="1" si="158"/>
        <v>3.3632918691102326E-3</v>
      </c>
      <c r="AK71" s="38">
        <f t="shared" ca="1" si="159"/>
        <v>3484855.9894315717</v>
      </c>
      <c r="AL71" s="2">
        <v>34299999.286412604</v>
      </c>
    </row>
    <row r="72" spans="1:38" ht="12.75" x14ac:dyDescent="0.2">
      <c r="A72" s="8" t="s">
        <v>16</v>
      </c>
      <c r="B72" s="8" t="s">
        <v>17</v>
      </c>
      <c r="C72" s="8" t="s">
        <v>36</v>
      </c>
      <c r="D72" s="8" t="s">
        <v>112</v>
      </c>
      <c r="E72" s="8" t="s">
        <v>116</v>
      </c>
      <c r="F72" s="8" t="s">
        <v>192</v>
      </c>
      <c r="G72" s="8" t="s">
        <v>1079</v>
      </c>
      <c r="H72" s="34">
        <v>30211409.233776517</v>
      </c>
      <c r="I72" s="21">
        <f t="shared" si="140"/>
        <v>3.4583104718973877E-2</v>
      </c>
      <c r="J72" s="38">
        <f t="shared" si="141"/>
        <v>29134700.002298329</v>
      </c>
      <c r="K72" s="2">
        <v>31117751.510789815</v>
      </c>
      <c r="L72" s="21">
        <f t="shared" ca="1" si="142"/>
        <v>3.4635807414686928E-2</v>
      </c>
      <c r="M72" s="38">
        <f t="shared" ca="1" si="143"/>
        <v>30540712.743720617</v>
      </c>
      <c r="N72" s="2">
        <v>31926813.050070353</v>
      </c>
      <c r="O72" s="21">
        <f t="shared" ca="1" si="144"/>
        <v>3.5452307886041146E-2</v>
      </c>
      <c r="P72" s="38">
        <f t="shared" ca="1" si="145"/>
        <v>32073453.506671939</v>
      </c>
      <c r="Q72" s="2">
        <v>48752243.527457431</v>
      </c>
      <c r="R72" s="21">
        <f t="shared" ca="1" si="146"/>
        <v>3.5956836339636901E-2</v>
      </c>
      <c r="S72" s="38">
        <f t="shared" ca="1" si="147"/>
        <v>33278084.476546947</v>
      </c>
      <c r="T72" s="2">
        <v>33078573.287481695</v>
      </c>
      <c r="U72" s="21">
        <f t="shared" ca="1" si="148"/>
        <v>3.5503167515218939E-2</v>
      </c>
      <c r="V72" s="38">
        <f t="shared" ca="1" si="149"/>
        <v>33548236.05487024</v>
      </c>
      <c r="W72" s="2">
        <v>33740144.753231332</v>
      </c>
      <c r="X72" s="21">
        <f t="shared" ca="1" si="150"/>
        <v>3.5327110985768462E-2</v>
      </c>
      <c r="Y72" s="38">
        <f t="shared" ca="1" si="151"/>
        <v>34049511.304730117</v>
      </c>
      <c r="Z72" s="2">
        <v>34347467.358789496</v>
      </c>
      <c r="AA72" s="21">
        <f t="shared" ca="1" si="152"/>
        <v>3.553523317879858E-2</v>
      </c>
      <c r="AB72" s="38">
        <f t="shared" ca="1" si="153"/>
        <v>34866608.711866781</v>
      </c>
      <c r="AC72" s="2">
        <v>34965721.771247707</v>
      </c>
      <c r="AD72" s="21">
        <f t="shared" ca="1" si="154"/>
        <v>3.5575046392685349E-2</v>
      </c>
      <c r="AE72" s="38">
        <f t="shared" ca="1" si="155"/>
        <v>35568880.591102652</v>
      </c>
      <c r="AF72" s="2">
        <v>35497200.742170677</v>
      </c>
      <c r="AG72" s="21">
        <f t="shared" ca="1" si="156"/>
        <v>3.5601379335917345E-2</v>
      </c>
      <c r="AH72" s="38">
        <f t="shared" ca="1" si="157"/>
        <v>36235922.731712736</v>
      </c>
      <c r="AI72" s="2">
        <v>54055137.290177509</v>
      </c>
      <c r="AJ72" s="21">
        <f t="shared" ca="1" si="158"/>
        <v>3.6054142719296807E-2</v>
      </c>
      <c r="AK72" s="38">
        <f t="shared" ca="1" si="159"/>
        <v>37357297.578934617</v>
      </c>
      <c r="AL72" s="2">
        <v>367692462.52519256</v>
      </c>
    </row>
    <row r="73" spans="1:38" ht="12.75" x14ac:dyDescent="0.2">
      <c r="A73" s="8" t="s">
        <v>16</v>
      </c>
      <c r="B73" s="8" t="s">
        <v>17</v>
      </c>
      <c r="C73" s="8" t="s">
        <v>36</v>
      </c>
      <c r="D73" s="8" t="s">
        <v>112</v>
      </c>
      <c r="E73" s="8" t="s">
        <v>204</v>
      </c>
      <c r="F73" s="8" t="s">
        <v>192</v>
      </c>
      <c r="G73" s="8" t="s">
        <v>1080</v>
      </c>
      <c r="H73" s="34">
        <v>4636258.6267029196</v>
      </c>
      <c r="I73" s="21">
        <f t="shared" si="140"/>
        <v>5.3071412972108684E-3</v>
      </c>
      <c r="J73" s="38">
        <f t="shared" si="141"/>
        <v>4471026.2661644239</v>
      </c>
      <c r="K73" s="2">
        <v>4775346.3855040073</v>
      </c>
      <c r="L73" s="21">
        <f t="shared" ca="1" si="142"/>
        <v>5.3152290803976559E-3</v>
      </c>
      <c r="M73" s="38">
        <f t="shared" ca="1" si="143"/>
        <v>4686793.7151844911</v>
      </c>
      <c r="N73" s="2">
        <v>4899505.3915271116</v>
      </c>
      <c r="O73" s="21">
        <f t="shared" ca="1" si="144"/>
        <v>5.4405296688187603E-3</v>
      </c>
      <c r="P73" s="38">
        <f t="shared" ca="1" si="145"/>
        <v>4922008.912520851</v>
      </c>
      <c r="Q73" s="2">
        <v>7481544.7328618998</v>
      </c>
      <c r="R73" s="21">
        <f t="shared" ca="1" si="146"/>
        <v>5.5179548685934613E-3</v>
      </c>
      <c r="S73" s="38">
        <f t="shared" ca="1" si="147"/>
        <v>5106872.2097891057</v>
      </c>
      <c r="T73" s="2">
        <v>5076255.1186011378</v>
      </c>
      <c r="U73" s="21">
        <f t="shared" ca="1" si="148"/>
        <v>5.4483346140532509E-3</v>
      </c>
      <c r="V73" s="38">
        <f t="shared" ca="1" si="149"/>
        <v>5148329.8119759792</v>
      </c>
      <c r="W73" s="2">
        <v>5177780.220973161</v>
      </c>
      <c r="X73" s="21">
        <f t="shared" ca="1" si="150"/>
        <v>5.4213168871694766E-3</v>
      </c>
      <c r="Y73" s="38">
        <f t="shared" ca="1" si="151"/>
        <v>5225255.7734077042</v>
      </c>
      <c r="Z73" s="2">
        <v>5270980.2649506778</v>
      </c>
      <c r="AA73" s="21">
        <f t="shared" ca="1" si="152"/>
        <v>5.4532554275195048E-3</v>
      </c>
      <c r="AB73" s="38">
        <f t="shared" ca="1" si="153"/>
        <v>5350647.9679054897</v>
      </c>
      <c r="AC73" s="2">
        <v>5365857.9097197903</v>
      </c>
      <c r="AD73" s="21">
        <f t="shared" ca="1" si="154"/>
        <v>5.4593651840989148E-3</v>
      </c>
      <c r="AE73" s="38">
        <f t="shared" ca="1" si="155"/>
        <v>5458418.9769704388</v>
      </c>
      <c r="AF73" s="2">
        <v>5447418.9499475313</v>
      </c>
      <c r="AG73" s="21">
        <f t="shared" ca="1" si="156"/>
        <v>5.4634062513090245E-3</v>
      </c>
      <c r="AH73" s="38">
        <f t="shared" ca="1" si="157"/>
        <v>5560783.6119613936</v>
      </c>
      <c r="AI73" s="2">
        <v>8295329.5769801019</v>
      </c>
      <c r="AJ73" s="21">
        <f t="shared" ca="1" si="158"/>
        <v>5.532887556394965E-3</v>
      </c>
      <c r="AK73" s="38">
        <f t="shared" ca="1" si="159"/>
        <v>5732870.3812004654</v>
      </c>
      <c r="AL73" s="2">
        <v>56426277.177768335</v>
      </c>
    </row>
    <row r="74" spans="1:38" ht="12.75" x14ac:dyDescent="0.2">
      <c r="A74" s="8" t="s">
        <v>16</v>
      </c>
      <c r="B74" s="8" t="s">
        <v>17</v>
      </c>
      <c r="C74" s="8" t="s">
        <v>36</v>
      </c>
      <c r="D74" s="8" t="s">
        <v>112</v>
      </c>
      <c r="E74" s="8" t="s">
        <v>117</v>
      </c>
      <c r="F74" s="8" t="s">
        <v>192</v>
      </c>
      <c r="G74" s="8" t="s">
        <v>1081</v>
      </c>
      <c r="H74" s="34">
        <v>4299739.103989902</v>
      </c>
      <c r="I74" s="21">
        <f t="shared" si="140"/>
        <v>4.9219262347849754E-3</v>
      </c>
      <c r="J74" s="38">
        <f t="shared" si="141"/>
        <v>4146500.016385945</v>
      </c>
      <c r="K74" s="2">
        <v>4428731.2771095987</v>
      </c>
      <c r="L74" s="21">
        <f t="shared" ca="1" si="142"/>
        <v>4.9294269720028113E-3</v>
      </c>
      <c r="M74" s="38">
        <f t="shared" ca="1" si="143"/>
        <v>4346606.1391497431</v>
      </c>
      <c r="N74" s="2">
        <v>4543878.2903144481</v>
      </c>
      <c r="O74" s="21">
        <f t="shared" ca="1" si="144"/>
        <v>5.0456327066622491E-3</v>
      </c>
      <c r="P74" s="38">
        <f t="shared" ca="1" si="145"/>
        <v>4564748.4093015445</v>
      </c>
      <c r="Q74" s="2">
        <v>6938502.1493101623</v>
      </c>
      <c r="R74" s="21">
        <f t="shared" ca="1" si="146"/>
        <v>5.1174380535831685E-3</v>
      </c>
      <c r="S74" s="38">
        <f t="shared" ca="1" si="147"/>
        <v>4736193.5361067522</v>
      </c>
      <c r="T74" s="2">
        <v>4707798.7646259069</v>
      </c>
      <c r="U74" s="21">
        <f t="shared" ca="1" si="148"/>
        <v>5.0528711355186445E-3</v>
      </c>
      <c r="V74" s="38">
        <f t="shared" ca="1" si="149"/>
        <v>4774641.9678344121</v>
      </c>
      <c r="W74" s="2">
        <v>4801954.7399184247</v>
      </c>
      <c r="X74" s="21">
        <f t="shared" ca="1" si="150"/>
        <v>5.0278144710534647E-3</v>
      </c>
      <c r="Y74" s="38">
        <f t="shared" ca="1" si="151"/>
        <v>4845984.3132710857</v>
      </c>
      <c r="Z74" s="2">
        <v>4888389.9252369562</v>
      </c>
      <c r="AA74" s="21">
        <f t="shared" ca="1" si="152"/>
        <v>5.0574347752522916E-3</v>
      </c>
      <c r="AB74" s="38">
        <f t="shared" ca="1" si="153"/>
        <v>4962275.0048455242</v>
      </c>
      <c r="AC74" s="2">
        <v>4976380.9438912217</v>
      </c>
      <c r="AD74" s="21">
        <f t="shared" ca="1" si="154"/>
        <v>5.0631010595119834E-3</v>
      </c>
      <c r="AE74" s="38">
        <f t="shared" ca="1" si="155"/>
        <v>5062223.5321524553</v>
      </c>
      <c r="AF74" s="2">
        <v>5052021.9342383686</v>
      </c>
      <c r="AG74" s="21">
        <f t="shared" ca="1" si="156"/>
        <v>5.0668488087434625E-3</v>
      </c>
      <c r="AH74" s="38">
        <f t="shared" ca="1" si="157"/>
        <v>5157158.1031880807</v>
      </c>
      <c r="AI74" s="2">
        <v>7693219.0014581885</v>
      </c>
      <c r="AJ74" s="21">
        <f t="shared" ca="1" si="158"/>
        <v>5.1312868629006629E-3</v>
      </c>
      <c r="AK74" s="38">
        <f t="shared" ca="1" si="159"/>
        <v>5316754.0771302693</v>
      </c>
      <c r="AL74" s="2">
        <v>52330616.130093172</v>
      </c>
    </row>
    <row r="75" spans="1:38" ht="12.75" x14ac:dyDescent="0.2">
      <c r="A75" s="8" t="s">
        <v>16</v>
      </c>
      <c r="B75" s="8" t="s">
        <v>17</v>
      </c>
      <c r="C75" s="8" t="s">
        <v>36</v>
      </c>
      <c r="D75" s="8" t="s">
        <v>112</v>
      </c>
      <c r="E75" s="8" t="s">
        <v>118</v>
      </c>
      <c r="F75" s="8" t="s">
        <v>192</v>
      </c>
      <c r="G75" s="8" t="s">
        <v>1082</v>
      </c>
      <c r="H75" s="34">
        <v>9627895.2764930539</v>
      </c>
      <c r="I75" s="21">
        <f t="shared" si="140"/>
        <v>1.1021085047499849E-2</v>
      </c>
      <c r="J75" s="38">
        <f t="shared" si="141"/>
        <v>9284765.1813793331</v>
      </c>
      <c r="K75" s="2">
        <v>9916732.1347878464</v>
      </c>
      <c r="L75" s="21">
        <f t="shared" ca="1" si="142"/>
        <v>1.1037880557804839E-2</v>
      </c>
      <c r="M75" s="38">
        <f t="shared" ca="1" si="143"/>
        <v>9732839.063900983</v>
      </c>
      <c r="N75" s="2">
        <v>10174567.170292331</v>
      </c>
      <c r="O75" s="21">
        <f t="shared" ca="1" si="144"/>
        <v>1.1298086262562788E-2</v>
      </c>
      <c r="P75" s="38">
        <f t="shared" ca="1" si="145"/>
        <v>10221299.149874361</v>
      </c>
      <c r="Q75" s="2">
        <v>15536564.069036391</v>
      </c>
      <c r="R75" s="21">
        <f t="shared" ca="1" si="146"/>
        <v>1.1458871450623466E-2</v>
      </c>
      <c r="S75" s="38">
        <f t="shared" ca="1" si="147"/>
        <v>10605195.867006317</v>
      </c>
      <c r="T75" s="2">
        <v>10541614.826481357</v>
      </c>
      <c r="U75" s="21">
        <f t="shared" ca="1" si="148"/>
        <v>1.1314294416897328E-2</v>
      </c>
      <c r="V75" s="38">
        <f t="shared" ca="1" si="149"/>
        <v>10691288.875271818</v>
      </c>
      <c r="W75" s="2">
        <v>10752447.123010984</v>
      </c>
      <c r="X75" s="21">
        <f t="shared" ca="1" si="150"/>
        <v>1.1258188003086055E-2</v>
      </c>
      <c r="Y75" s="38">
        <f t="shared" ca="1" si="151"/>
        <v>10851037.319080027</v>
      </c>
      <c r="Z75" s="2">
        <v>10945991.171225181</v>
      </c>
      <c r="AA75" s="21">
        <f t="shared" ca="1" si="152"/>
        <v>1.132451323352144E-2</v>
      </c>
      <c r="AB75" s="38">
        <f t="shared" ca="1" si="153"/>
        <v>11111433.257770978</v>
      </c>
      <c r="AC75" s="2">
        <v>11143019.012307234</v>
      </c>
      <c r="AD75" s="21">
        <f t="shared" ca="1" si="154"/>
        <v>1.1337201071118035E-2</v>
      </c>
      <c r="AE75" s="38">
        <f t="shared" ca="1" si="155"/>
        <v>11335236.128288839</v>
      </c>
      <c r="AF75" s="2">
        <v>11312392.901294306</v>
      </c>
      <c r="AG75" s="21">
        <f t="shared" ca="1" si="156"/>
        <v>1.1345592961009622E-2</v>
      </c>
      <c r="AH75" s="38">
        <f t="shared" ca="1" si="157"/>
        <v>11547811.841824956</v>
      </c>
      <c r="AI75" s="2">
        <v>17226511.910090972</v>
      </c>
      <c r="AJ75" s="21">
        <f t="shared" ca="1" si="158"/>
        <v>1.1489881445087837E-2</v>
      </c>
      <c r="AK75" s="38">
        <f t="shared" ca="1" si="159"/>
        <v>11905176.157776002</v>
      </c>
      <c r="AL75" s="2">
        <v>117177735.59501967</v>
      </c>
    </row>
    <row r="76" spans="1:38" ht="12.75" x14ac:dyDescent="0.2">
      <c r="A76" s="8" t="s">
        <v>16</v>
      </c>
      <c r="B76" s="8" t="s">
        <v>17</v>
      </c>
      <c r="C76" s="8" t="s">
        <v>36</v>
      </c>
      <c r="D76" s="8" t="s">
        <v>112</v>
      </c>
      <c r="E76" s="8" t="s">
        <v>119</v>
      </c>
      <c r="F76" s="8" t="s">
        <v>192</v>
      </c>
      <c r="G76" s="8" t="s">
        <v>1083</v>
      </c>
      <c r="H76" s="34">
        <v>4222871.0673631039</v>
      </c>
      <c r="I76" s="21">
        <f t="shared" si="140"/>
        <v>4.8339351271992218E-3</v>
      </c>
      <c r="J76" s="38">
        <f t="shared" si="141"/>
        <v>4072371.4919745903</v>
      </c>
      <c r="K76" s="2">
        <v>4349557.1993839974</v>
      </c>
      <c r="L76" s="21">
        <f t="shared" ca="1" si="142"/>
        <v>4.8413017709455141E-3</v>
      </c>
      <c r="M76" s="38">
        <f t="shared" ca="1" si="143"/>
        <v>4268900.2430881923</v>
      </c>
      <c r="N76" s="2">
        <v>4462645.6865679817</v>
      </c>
      <c r="O76" s="21">
        <f t="shared" ca="1" si="144"/>
        <v>4.9554300524265122E-3</v>
      </c>
      <c r="P76" s="38">
        <f t="shared" ca="1" si="145"/>
        <v>4483142.7026686221</v>
      </c>
      <c r="Q76" s="2">
        <v>6814459.9633893073</v>
      </c>
      <c r="R76" s="21">
        <f t="shared" ca="1" si="146"/>
        <v>5.0259517084295345E-3</v>
      </c>
      <c r="S76" s="38">
        <f t="shared" ca="1" si="147"/>
        <v>4651522.84111802</v>
      </c>
      <c r="T76" s="2">
        <v>4623635.6935374644</v>
      </c>
      <c r="U76" s="21">
        <f t="shared" ca="1" si="148"/>
        <v>4.9625390771955895E-3</v>
      </c>
      <c r="V76" s="38">
        <f t="shared" ca="1" si="149"/>
        <v>4689283.9159184778</v>
      </c>
      <c r="W76" s="2">
        <v>4716108.4074082142</v>
      </c>
      <c r="X76" s="21">
        <f t="shared" ca="1" si="150"/>
        <v>4.937930360048904E-3</v>
      </c>
      <c r="Y76" s="38">
        <f t="shared" ca="1" si="151"/>
        <v>4759350.8476871513</v>
      </c>
      <c r="Z76" s="2">
        <v>4800998.3587415619</v>
      </c>
      <c r="AA76" s="21">
        <f t="shared" ca="1" si="152"/>
        <v>4.9670211310428123E-3</v>
      </c>
      <c r="AB76" s="38">
        <f t="shared" ca="1" si="153"/>
        <v>4873562.5672767544</v>
      </c>
      <c r="AC76" s="2">
        <v>4887416.3291989099</v>
      </c>
      <c r="AD76" s="21">
        <f t="shared" ca="1" si="154"/>
        <v>4.9725861170294046E-3</v>
      </c>
      <c r="AE76" s="38">
        <f t="shared" ca="1" si="155"/>
        <v>4971724.2775531597</v>
      </c>
      <c r="AF76" s="2">
        <v>4961705.0574027337</v>
      </c>
      <c r="AG76" s="21">
        <f t="shared" ca="1" si="156"/>
        <v>4.9762668663526962E-3</v>
      </c>
      <c r="AH76" s="38">
        <f t="shared" ca="1" si="157"/>
        <v>5064961.6679210691</v>
      </c>
      <c r="AI76" s="2">
        <v>7555684.4614128834</v>
      </c>
      <c r="AJ76" s="21">
        <f t="shared" ca="1" si="158"/>
        <v>5.0395529374273607E-3</v>
      </c>
      <c r="AK76" s="38">
        <f t="shared" ca="1" si="159"/>
        <v>5221704.4852242665</v>
      </c>
      <c r="AL76" s="2">
        <v>51395082.22440616</v>
      </c>
    </row>
    <row r="77" spans="1:38" ht="12.75" x14ac:dyDescent="0.2">
      <c r="A77" s="8" t="s">
        <v>16</v>
      </c>
      <c r="B77" s="8" t="s">
        <v>17</v>
      </c>
      <c r="C77" s="8" t="s">
        <v>36</v>
      </c>
      <c r="D77" s="8" t="s">
        <v>112</v>
      </c>
      <c r="E77" s="8" t="s">
        <v>120</v>
      </c>
      <c r="F77" s="8" t="s">
        <v>192</v>
      </c>
      <c r="G77" s="8" t="s">
        <v>1084</v>
      </c>
      <c r="H77" s="34">
        <v>10017480.663184594</v>
      </c>
      <c r="I77" s="21">
        <f t="shared" si="140"/>
        <v>1.1467044788095879E-2</v>
      </c>
      <c r="J77" s="38">
        <f t="shared" si="141"/>
        <v>9660466.0723476224</v>
      </c>
      <c r="K77" s="2">
        <v>10318005.083080132</v>
      </c>
      <c r="L77" s="21">
        <f t="shared" ca="1" si="142"/>
        <v>1.1484519915823879E-2</v>
      </c>
      <c r="M77" s="38">
        <f t="shared" ca="1" si="143"/>
        <v>10126670.92033737</v>
      </c>
      <c r="N77" s="2">
        <v>10586273.215240216</v>
      </c>
      <c r="O77" s="21">
        <f t="shared" ca="1" si="144"/>
        <v>1.175525464454774E-2</v>
      </c>
      <c r="P77" s="38">
        <f t="shared" ca="1" si="145"/>
        <v>10634896.168478845</v>
      </c>
      <c r="Q77" s="2">
        <v>16165239.199671809</v>
      </c>
      <c r="R77" s="21">
        <f t="shared" ca="1" si="146"/>
        <v>1.1922545881736083E-2</v>
      </c>
      <c r="S77" s="38">
        <f t="shared" ca="1" si="147"/>
        <v>11034326.971379118</v>
      </c>
      <c r="T77" s="2">
        <v>10968173.172889121</v>
      </c>
      <c r="U77" s="21">
        <f t="shared" ca="1" si="148"/>
        <v>1.1772118649397126E-2</v>
      </c>
      <c r="V77" s="38">
        <f t="shared" ca="1" si="149"/>
        <v>11123903.667091703</v>
      </c>
      <c r="W77" s="2">
        <v>11187536.636346903</v>
      </c>
      <c r="X77" s="21">
        <f t="shared" ca="1" si="150"/>
        <v>1.1713741932649143E-2</v>
      </c>
      <c r="Y77" s="38">
        <f t="shared" ca="1" si="151"/>
        <v>11290116.208967779</v>
      </c>
      <c r="Z77" s="2">
        <v>11388912.295801148</v>
      </c>
      <c r="AA77" s="21">
        <f t="shared" ca="1" si="152"/>
        <v>1.1782750962586346E-2</v>
      </c>
      <c r="AB77" s="38">
        <f t="shared" ca="1" si="153"/>
        <v>11561048.869294614</v>
      </c>
      <c r="AC77" s="2">
        <v>11593912.717125569</v>
      </c>
      <c r="AD77" s="21">
        <f t="shared" ca="1" si="154"/>
        <v>1.1795952203785119E-2</v>
      </c>
      <c r="AE77" s="38">
        <f t="shared" ca="1" si="155"/>
        <v>11793907.751053711</v>
      </c>
      <c r="AF77" s="2">
        <v>11770140.190425878</v>
      </c>
      <c r="AG77" s="21">
        <f t="shared" ca="1" si="156"/>
        <v>1.1804683665054936E-2</v>
      </c>
      <c r="AH77" s="38">
        <f t="shared" ca="1" si="157"/>
        <v>12015085.177547945</v>
      </c>
      <c r="AI77" s="2">
        <v>17923569.481980529</v>
      </c>
      <c r="AJ77" s="21">
        <f t="shared" ca="1" si="158"/>
        <v>1.1954810671806114E-2</v>
      </c>
      <c r="AK77" s="38">
        <f t="shared" ca="1" si="159"/>
        <v>12386909.966034399</v>
      </c>
      <c r="AL77" s="2">
        <v>121919242.65574589</v>
      </c>
    </row>
    <row r="78" spans="1:38" ht="12.75" x14ac:dyDescent="0.2">
      <c r="A78" s="8" t="s">
        <v>16</v>
      </c>
      <c r="B78" s="8" t="s">
        <v>17</v>
      </c>
      <c r="C78" s="8" t="s">
        <v>36</v>
      </c>
      <c r="D78" s="8" t="s">
        <v>112</v>
      </c>
      <c r="E78" s="8" t="s">
        <v>205</v>
      </c>
      <c r="F78" s="8" t="s">
        <v>192</v>
      </c>
      <c r="G78" s="8" t="s">
        <v>1085</v>
      </c>
      <c r="H78" s="34">
        <v>32102443.784549501</v>
      </c>
      <c r="I78" s="21">
        <f t="shared" si="140"/>
        <v>3.674777851457639E-2</v>
      </c>
      <c r="J78" s="38">
        <f t="shared" si="141"/>
        <v>30958339.671154149</v>
      </c>
      <c r="K78" s="2">
        <v>33065517.098085988</v>
      </c>
      <c r="L78" s="21">
        <f t="shared" ca="1" si="142"/>
        <v>3.680378005072886E-2</v>
      </c>
      <c r="M78" s="38">
        <f t="shared" ca="1" si="143"/>
        <v>32452359.517848574</v>
      </c>
      <c r="N78" s="2">
        <v>33925220.542636223</v>
      </c>
      <c r="O78" s="21">
        <f t="shared" ca="1" si="144"/>
        <v>3.7671388055336673E-2</v>
      </c>
      <c r="P78" s="38">
        <f t="shared" ca="1" si="145"/>
        <v>34081039.722674012</v>
      </c>
      <c r="Q78" s="2">
        <v>51803811.768605515</v>
      </c>
      <c r="R78" s="21">
        <f t="shared" ca="1" si="146"/>
        <v>3.8207496655698003E-2</v>
      </c>
      <c r="S78" s="38">
        <f t="shared" ca="1" si="147"/>
        <v>35361072.629854806</v>
      </c>
      <c r="T78" s="2">
        <v>35149073.358923897</v>
      </c>
      <c r="U78" s="21">
        <f t="shared" ca="1" si="148"/>
        <v>3.7725431161169595E-2</v>
      </c>
      <c r="V78" s="38">
        <f t="shared" ca="1" si="149"/>
        <v>35648133.911548831</v>
      </c>
      <c r="W78" s="2">
        <v>35852054.826102376</v>
      </c>
      <c r="X78" s="21">
        <f t="shared" ca="1" si="150"/>
        <v>3.7538354656533462E-2</v>
      </c>
      <c r="Y78" s="38">
        <f t="shared" ca="1" si="151"/>
        <v>36180785.679120854</v>
      </c>
      <c r="Z78" s="2">
        <v>36497391.812972218</v>
      </c>
      <c r="AA78" s="21">
        <f t="shared" ca="1" si="152"/>
        <v>3.7759503923367292E-2</v>
      </c>
      <c r="AB78" s="38">
        <f t="shared" ca="1" si="153"/>
        <v>37049027.983745947</v>
      </c>
      <c r="AC78" s="2">
        <v>37154344.865605719</v>
      </c>
      <c r="AD78" s="21">
        <f t="shared" ca="1" si="154"/>
        <v>3.7801809181317765E-2</v>
      </c>
      <c r="AE78" s="38">
        <f t="shared" ca="1" si="155"/>
        <v>37795257.441305786</v>
      </c>
      <c r="AF78" s="2">
        <v>37719090.907562926</v>
      </c>
      <c r="AG78" s="21">
        <f t="shared" ca="1" si="156"/>
        <v>3.782979039276161E-2</v>
      </c>
      <c r="AH78" s="38">
        <f t="shared" ca="1" si="157"/>
        <v>38504052.011435278</v>
      </c>
      <c r="AI78" s="2">
        <v>57438631.634036839</v>
      </c>
      <c r="AJ78" s="21">
        <f t="shared" ca="1" si="158"/>
        <v>3.8310893771626567E-2</v>
      </c>
      <c r="AK78" s="38">
        <f t="shared" ca="1" si="159"/>
        <v>39695617.512924738</v>
      </c>
      <c r="AL78" s="2">
        <v>390707580.59908122</v>
      </c>
    </row>
    <row r="79" spans="1:38" ht="12.75" x14ac:dyDescent="0.2">
      <c r="A79" s="8" t="s">
        <v>16</v>
      </c>
      <c r="B79" s="8" t="s">
        <v>17</v>
      </c>
      <c r="C79" s="8" t="s">
        <v>36</v>
      </c>
      <c r="D79" s="8" t="s">
        <v>112</v>
      </c>
      <c r="E79" s="8" t="s">
        <v>121</v>
      </c>
      <c r="F79" s="8" t="s">
        <v>192</v>
      </c>
      <c r="G79" s="8" t="s">
        <v>1086</v>
      </c>
      <c r="H79" s="34">
        <v>11761973.518494392</v>
      </c>
      <c r="I79" s="21">
        <f t="shared" si="140"/>
        <v>1.3463971797685065E-2</v>
      </c>
      <c r="J79" s="38">
        <f t="shared" si="141"/>
        <v>11342786.668593785</v>
      </c>
      <c r="K79" s="2">
        <v>12114832.724049224</v>
      </c>
      <c r="L79" s="21">
        <f t="shared" ca="1" si="142"/>
        <v>1.3484490129237673E-2</v>
      </c>
      <c r="M79" s="38">
        <f t="shared" ca="1" si="143"/>
        <v>11890178.698647968</v>
      </c>
      <c r="N79" s="2">
        <v>12429818.374874504</v>
      </c>
      <c r="O79" s="21">
        <f t="shared" ca="1" si="144"/>
        <v>1.380237192176159E-2</v>
      </c>
      <c r="P79" s="38">
        <f t="shared" ca="1" si="145"/>
        <v>12486908.765923178</v>
      </c>
      <c r="Q79" s="2">
        <v>18980332.658433367</v>
      </c>
      <c r="R79" s="21">
        <f t="shared" ca="1" si="146"/>
        <v>1.3998796069493355E-2</v>
      </c>
      <c r="S79" s="38">
        <f t="shared" ca="1" si="147"/>
        <v>12955898.393569781</v>
      </c>
      <c r="T79" s="2">
        <v>12878224.250524335</v>
      </c>
      <c r="U79" s="21">
        <f t="shared" ca="1" si="148"/>
        <v>1.3822172706522093E-2</v>
      </c>
      <c r="V79" s="38">
        <f t="shared" ca="1" si="149"/>
        <v>13061074.411200413</v>
      </c>
      <c r="W79" s="2">
        <v>13135788.735534821</v>
      </c>
      <c r="X79" s="21">
        <f t="shared" ca="1" si="150"/>
        <v>1.3753629984097899E-2</v>
      </c>
      <c r="Y79" s="38">
        <f t="shared" ca="1" si="151"/>
        <v>13256232.014366332</v>
      </c>
      <c r="Z79" s="2">
        <v>13372232.932774447</v>
      </c>
      <c r="AA79" s="21">
        <f t="shared" ca="1" si="152"/>
        <v>1.3834656582496174E-2</v>
      </c>
      <c r="AB79" s="38">
        <f t="shared" ca="1" si="153"/>
        <v>13574346.207266247</v>
      </c>
      <c r="AC79" s="2">
        <v>13612933.125564387</v>
      </c>
      <c r="AD79" s="21">
        <f t="shared" ca="1" si="154"/>
        <v>1.3850156752110862E-2</v>
      </c>
      <c r="AE79" s="38">
        <f t="shared" ca="1" si="155"/>
        <v>13847756.268426875</v>
      </c>
      <c r="AF79" s="2">
        <v>13819849.709072968</v>
      </c>
      <c r="AG79" s="21">
        <f t="shared" ca="1" si="156"/>
        <v>1.3860408752557519E-2</v>
      </c>
      <c r="AH79" s="38">
        <f t="shared" ca="1" si="157"/>
        <v>14107450.608828716</v>
      </c>
      <c r="AI79" s="2">
        <v>21044867.136976317</v>
      </c>
      <c r="AJ79" s="21">
        <f t="shared" ca="1" si="158"/>
        <v>1.4036679607195419E-2</v>
      </c>
      <c r="AK79" s="38">
        <f t="shared" ca="1" si="159"/>
        <v>14544026.776304655</v>
      </c>
      <c r="AL79" s="2">
        <v>143150853.16629875</v>
      </c>
    </row>
    <row r="80" spans="1:38" ht="12.75" x14ac:dyDescent="0.2">
      <c r="A80" s="8" t="s">
        <v>16</v>
      </c>
      <c r="B80" s="8" t="s">
        <v>17</v>
      </c>
      <c r="C80" s="8" t="s">
        <v>36</v>
      </c>
      <c r="D80" s="8" t="s">
        <v>112</v>
      </c>
      <c r="E80" s="8" t="s">
        <v>123</v>
      </c>
      <c r="F80" s="8" t="s">
        <v>192</v>
      </c>
      <c r="G80" s="8" t="s">
        <v>1087</v>
      </c>
      <c r="H80" s="34">
        <v>5240891.0974985547</v>
      </c>
      <c r="I80" s="21">
        <f t="shared" si="140"/>
        <v>5.9992661793113623E-3</v>
      </c>
      <c r="J80" s="38">
        <f t="shared" si="141"/>
        <v>5054110.1439129896</v>
      </c>
      <c r="K80" s="2">
        <v>5398117.8304235116</v>
      </c>
      <c r="L80" s="21">
        <f t="shared" ca="1" si="142"/>
        <v>6.008408721674725E-3</v>
      </c>
      <c r="M80" s="38">
        <f t="shared" ca="1" si="143"/>
        <v>5298016.6628863337</v>
      </c>
      <c r="N80" s="2">
        <v>5538468.8940145234</v>
      </c>
      <c r="O80" s="21">
        <f t="shared" ca="1" si="144"/>
        <v>6.1500502458522715E-3</v>
      </c>
      <c r="P80" s="38">
        <f t="shared" ca="1" si="145"/>
        <v>5563907.1864685267</v>
      </c>
      <c r="Q80" s="2">
        <v>8457242.0011601783</v>
      </c>
      <c r="R80" s="21">
        <f t="shared" ca="1" si="146"/>
        <v>6.2375727662492509E-3</v>
      </c>
      <c r="S80" s="38">
        <f t="shared" ca="1" si="147"/>
        <v>5772879.2233879641</v>
      </c>
      <c r="T80" s="2">
        <v>5738269.2385794949</v>
      </c>
      <c r="U80" s="21">
        <f t="shared" ca="1" si="148"/>
        <v>6.1588730642688954E-3</v>
      </c>
      <c r="V80" s="38">
        <f t="shared" ca="1" si="149"/>
        <v>5819743.4722832711</v>
      </c>
      <c r="W80" s="2">
        <v>5853034.623351085</v>
      </c>
      <c r="X80" s="21">
        <f t="shared" ca="1" si="150"/>
        <v>6.1283318508248731E-3</v>
      </c>
      <c r="Y80" s="38">
        <f t="shared" ca="1" si="151"/>
        <v>5906701.6467285026</v>
      </c>
      <c r="Z80" s="2">
        <v>5958389.2465714049</v>
      </c>
      <c r="AA80" s="21">
        <f t="shared" ca="1" si="152"/>
        <v>6.164435620106312E-3</v>
      </c>
      <c r="AB80" s="38">
        <f t="shared" ca="1" si="153"/>
        <v>6048446.7236865154</v>
      </c>
      <c r="AC80" s="2">
        <v>6065640.25300969</v>
      </c>
      <c r="AD80" s="21">
        <f t="shared" ca="1" si="154"/>
        <v>6.1713421737399866E-3</v>
      </c>
      <c r="AE80" s="38">
        <f t="shared" ca="1" si="155"/>
        <v>6170272.5680697039</v>
      </c>
      <c r="AF80" s="2">
        <v>6157837.9848554377</v>
      </c>
      <c r="AG80" s="21">
        <f t="shared" ca="1" si="156"/>
        <v>6.1759102521996047E-3</v>
      </c>
      <c r="AH80" s="38">
        <f t="shared" ca="1" si="157"/>
        <v>6285986.97216547</v>
      </c>
      <c r="AI80" s="2">
        <v>9377155.6833378617</v>
      </c>
      <c r="AJ80" s="21">
        <f t="shared" ca="1" si="158"/>
        <v>6.2544528837883973E-3</v>
      </c>
      <c r="AK80" s="38">
        <f t="shared" ca="1" si="159"/>
        <v>6480516.2444773829</v>
      </c>
      <c r="AL80" s="2">
        <v>63785046.85280174</v>
      </c>
    </row>
    <row r="81" spans="1:38" ht="12.75" x14ac:dyDescent="0.2">
      <c r="A81" s="8" t="s">
        <v>16</v>
      </c>
      <c r="B81" s="8" t="s">
        <v>17</v>
      </c>
      <c r="C81" s="8" t="s">
        <v>36</v>
      </c>
      <c r="D81" s="8" t="s">
        <v>112</v>
      </c>
      <c r="E81" s="8" t="s">
        <v>124</v>
      </c>
      <c r="F81" s="8" t="s">
        <v>192</v>
      </c>
      <c r="G81" s="8" t="s">
        <v>1088</v>
      </c>
      <c r="H81" s="34">
        <v>5718879.1565119317</v>
      </c>
      <c r="I81" s="21">
        <f t="shared" si="140"/>
        <v>6.5464207648974499E-3</v>
      </c>
      <c r="J81" s="38">
        <f t="shared" si="141"/>
        <v>5515063.1102667144</v>
      </c>
      <c r="K81" s="2">
        <v>5890445.5312072895</v>
      </c>
      <c r="L81" s="21">
        <f t="shared" ca="1" si="142"/>
        <v>6.5563971399044242E-3</v>
      </c>
      <c r="M81" s="38">
        <f t="shared" ca="1" si="143"/>
        <v>5781214.7782835914</v>
      </c>
      <c r="N81" s="2">
        <v>6043597.1150186788</v>
      </c>
      <c r="O81" s="21">
        <f t="shared" ca="1" si="144"/>
        <v>6.7109568789347146E-3</v>
      </c>
      <c r="P81" s="38">
        <f t="shared" ca="1" si="145"/>
        <v>6071355.4709520601</v>
      </c>
      <c r="Q81" s="2">
        <v>9228572.7946335226</v>
      </c>
      <c r="R81" s="21">
        <f t="shared" ca="1" si="146"/>
        <v>6.8064617669989927E-3</v>
      </c>
      <c r="S81" s="38">
        <f t="shared" ca="1" si="147"/>
        <v>6299386.5068960842</v>
      </c>
      <c r="T81" s="2">
        <v>6261619.9673809204</v>
      </c>
      <c r="U81" s="21">
        <f t="shared" ca="1" si="148"/>
        <v>6.7205843700246549E-3</v>
      </c>
      <c r="V81" s="38">
        <f t="shared" ca="1" si="149"/>
        <v>6350524.9433197835</v>
      </c>
      <c r="W81" s="2">
        <v>6386852.3667285386</v>
      </c>
      <c r="X81" s="21">
        <f t="shared" ca="1" si="150"/>
        <v>6.6872576884107271E-3</v>
      </c>
      <c r="Y81" s="38">
        <f t="shared" ca="1" si="151"/>
        <v>6445414.0150580835</v>
      </c>
      <c r="Z81" s="2">
        <v>6501815.7093296526</v>
      </c>
      <c r="AA81" s="21">
        <f t="shared" ca="1" si="152"/>
        <v>6.7266542508986763E-3</v>
      </c>
      <c r="AB81" s="38">
        <f t="shared" ca="1" si="153"/>
        <v>6600086.7512537027</v>
      </c>
      <c r="AC81" s="2">
        <v>6618848.3920975868</v>
      </c>
      <c r="AD81" s="21">
        <f t="shared" ca="1" si="154"/>
        <v>6.7341907069868034E-3</v>
      </c>
      <c r="AE81" s="38">
        <f t="shared" ca="1" si="155"/>
        <v>6733023.5494443793</v>
      </c>
      <c r="AF81" s="2">
        <v>6719454.887657471</v>
      </c>
      <c r="AG81" s="21">
        <f t="shared" ca="1" si="156"/>
        <v>6.7391754105805279E-3</v>
      </c>
      <c r="AH81" s="38">
        <f t="shared" ca="1" si="157"/>
        <v>6859291.5220811944</v>
      </c>
      <c r="AI81" s="2">
        <v>10232385.902924798</v>
      </c>
      <c r="AJ81" s="21">
        <f t="shared" ca="1" si="158"/>
        <v>6.8248814117804254E-3</v>
      </c>
      <c r="AK81" s="38">
        <f t="shared" ca="1" si="159"/>
        <v>7071562.5615017647</v>
      </c>
      <c r="AL81" s="2">
        <v>69602471.823490381</v>
      </c>
    </row>
    <row r="82" spans="1:38" ht="12.75" x14ac:dyDescent="0.2">
      <c r="A82" s="8" t="s">
        <v>16</v>
      </c>
      <c r="B82" s="8" t="s">
        <v>17</v>
      </c>
      <c r="C82" s="8" t="s">
        <v>36</v>
      </c>
      <c r="D82" s="8" t="s">
        <v>112</v>
      </c>
      <c r="E82" s="8" t="s">
        <v>206</v>
      </c>
      <c r="F82" s="8" t="s">
        <v>192</v>
      </c>
      <c r="G82" s="8" t="s">
        <v>1089</v>
      </c>
      <c r="H82" s="34">
        <v>1748181.1009134676</v>
      </c>
      <c r="I82" s="21">
        <f t="shared" si="140"/>
        <v>2.0011489570976267E-3</v>
      </c>
      <c r="J82" s="38">
        <f t="shared" si="141"/>
        <v>1685877.3958766025</v>
      </c>
      <c r="K82" s="2">
        <v>1800626.5339408717</v>
      </c>
      <c r="L82" s="21">
        <f t="shared" ca="1" si="142"/>
        <v>2.00419859493146E-3</v>
      </c>
      <c r="M82" s="38">
        <f t="shared" ca="1" si="143"/>
        <v>1767236.2256874924</v>
      </c>
      <c r="N82" s="2">
        <v>1847442.8238233344</v>
      </c>
      <c r="O82" s="21">
        <f t="shared" ca="1" si="144"/>
        <v>2.0514453381026642E-3</v>
      </c>
      <c r="P82" s="38">
        <f t="shared" ca="1" si="145"/>
        <v>1855928.1636787693</v>
      </c>
      <c r="Q82" s="2">
        <v>2821045.1919782315</v>
      </c>
      <c r="R82" s="21">
        <f t="shared" ca="1" si="146"/>
        <v>2.080639842093663E-3</v>
      </c>
      <c r="S82" s="38">
        <f t="shared" ca="1" si="147"/>
        <v>1925634.0512398209</v>
      </c>
      <c r="T82" s="2">
        <v>1914089.3501156273</v>
      </c>
      <c r="U82" s="21">
        <f t="shared" ca="1" si="148"/>
        <v>2.0543883270192046E-3</v>
      </c>
      <c r="V82" s="38">
        <f t="shared" ca="1" si="149"/>
        <v>1941266.3535913019</v>
      </c>
      <c r="W82" s="2">
        <v>1952371.1371179398</v>
      </c>
      <c r="X82" s="21">
        <f t="shared" ca="1" si="150"/>
        <v>2.0442008281476311E-3</v>
      </c>
      <c r="Y82" s="38">
        <f t="shared" ca="1" si="151"/>
        <v>1970272.6111736519</v>
      </c>
      <c r="Z82" s="2">
        <v>1987513.8175860627</v>
      </c>
      <c r="AA82" s="21">
        <f t="shared" ca="1" si="152"/>
        <v>2.0562438044192952E-3</v>
      </c>
      <c r="AB82" s="38">
        <f t="shared" ca="1" si="153"/>
        <v>2017553.8959925245</v>
      </c>
      <c r="AC82" s="2">
        <v>2023289.066302612</v>
      </c>
      <c r="AD82" s="21">
        <f t="shared" ca="1" si="154"/>
        <v>2.0585475932808116E-3</v>
      </c>
      <c r="AE82" s="38">
        <f t="shared" ca="1" si="155"/>
        <v>2058190.8095996717</v>
      </c>
      <c r="AF82" s="2">
        <v>2054043.0601104118</v>
      </c>
      <c r="AG82" s="21">
        <f t="shared" ca="1" si="156"/>
        <v>2.0600713472154059E-3</v>
      </c>
      <c r="AH82" s="38">
        <f t="shared" ca="1" si="157"/>
        <v>2096789.156823531</v>
      </c>
      <c r="AI82" s="2">
        <v>3127896.7719361354</v>
      </c>
      <c r="AJ82" s="21">
        <f t="shared" ca="1" si="158"/>
        <v>2.0862704690069408E-3</v>
      </c>
      <c r="AK82" s="38">
        <f t="shared" ca="1" si="159"/>
        <v>2161677.4346189708</v>
      </c>
      <c r="AL82" s="2">
        <v>21276498.85382469</v>
      </c>
    </row>
    <row r="83" spans="1:38" ht="12.75" x14ac:dyDescent="0.2">
      <c r="A83" s="8" t="s">
        <v>16</v>
      </c>
      <c r="B83" s="8" t="s">
        <v>17</v>
      </c>
      <c r="C83" s="8" t="s">
        <v>36</v>
      </c>
      <c r="D83" s="8" t="s">
        <v>125</v>
      </c>
      <c r="E83" s="8" t="s">
        <v>126</v>
      </c>
      <c r="F83" s="8" t="s">
        <v>188</v>
      </c>
      <c r="G83" s="8" t="s">
        <v>1090</v>
      </c>
      <c r="H83" s="34">
        <v>3451156.98834064</v>
      </c>
      <c r="I83" s="21">
        <f>H83/H$195</f>
        <v>1.0486513435786387E-2</v>
      </c>
      <c r="J83" s="38">
        <f>I83*J$203</f>
        <v>3887717.3952363869</v>
      </c>
      <c r="K83" s="2">
        <v>3554691.6979908594</v>
      </c>
      <c r="L83" s="21">
        <f>K83/K$195</f>
        <v>1.0500024899494453E-2</v>
      </c>
      <c r="M83" s="38">
        <f>L83*M$203</f>
        <v>3457052.7260727193</v>
      </c>
      <c r="N83" s="2">
        <v>3647113.6821386218</v>
      </c>
      <c r="O83" s="21">
        <f>N83/N$195</f>
        <v>1.6033063290361093E-2</v>
      </c>
      <c r="P83" s="38">
        <f>O83*P$203</f>
        <v>6416743.142585773</v>
      </c>
      <c r="Q83" s="2">
        <v>5620841.1183744762</v>
      </c>
      <c r="R83" s="21">
        <f>Q83/Q$195</f>
        <v>1.6907955626380505E-2</v>
      </c>
      <c r="S83" s="38">
        <f>R83*S$203</f>
        <v>7977870.5996572655</v>
      </c>
      <c r="T83" s="2">
        <v>3859644.2346171401</v>
      </c>
      <c r="U83" s="21">
        <f>T83/T$195</f>
        <v>1.6012372325306612E-2</v>
      </c>
      <c r="V83" s="38">
        <f>U83*V$203</f>
        <v>7713958.7192427292</v>
      </c>
      <c r="W83" s="2">
        <v>3967714.2731864201</v>
      </c>
      <c r="X83" s="21">
        <f>W83/W$195</f>
        <v>1.5206956643847684E-2</v>
      </c>
      <c r="Y83" s="38">
        <f>X83*Y$203</f>
        <v>7472468.793554577</v>
      </c>
      <c r="Z83" s="2">
        <v>4078810.2728356398</v>
      </c>
      <c r="AA83" s="21">
        <f>Z83/Z$195</f>
        <v>1.6441639331087846E-2</v>
      </c>
      <c r="AB83" s="38">
        <f>AA83*AB$203</f>
        <v>8224598.3340640757</v>
      </c>
      <c r="AC83" s="2">
        <v>4152228.8577466812</v>
      </c>
      <c r="AD83" s="21">
        <f>AC83/AC$195</f>
        <v>1.6080917916209869E-2</v>
      </c>
      <c r="AE83" s="38">
        <f>AD83*AE$203</f>
        <v>8196993.6642946871</v>
      </c>
      <c r="AF83" s="2">
        <v>4215342.7363844309</v>
      </c>
      <c r="AG83" s="21">
        <f>AF83/AF$195</f>
        <v>1.6279018143371706E-2</v>
      </c>
      <c r="AH83" s="38">
        <f>AG83*AH$203</f>
        <v>8447335.6212030686</v>
      </c>
      <c r="AI83" s="2">
        <v>6419123.9189662114</v>
      </c>
      <c r="AJ83" s="21">
        <f>AI83/AI$195</f>
        <v>1.5469545941575737E-2</v>
      </c>
      <c r="AK83" s="38">
        <f>AJ83*AK$203</f>
        <v>8171784.1544812955</v>
      </c>
      <c r="AL83" s="2">
        <v>42966667.780581117</v>
      </c>
    </row>
    <row r="84" spans="1:38" ht="12.75" x14ac:dyDescent="0.2">
      <c r="A84" s="8" t="s">
        <v>16</v>
      </c>
      <c r="B84" s="8" t="s">
        <v>17</v>
      </c>
      <c r="C84" s="8" t="s">
        <v>36</v>
      </c>
      <c r="D84" s="8" t="s">
        <v>125</v>
      </c>
      <c r="E84" s="8" t="s">
        <v>126</v>
      </c>
      <c r="F84" s="8" t="s">
        <v>189</v>
      </c>
      <c r="G84" s="8" t="s">
        <v>1091</v>
      </c>
      <c r="H84" s="34">
        <v>20186503.738796782</v>
      </c>
      <c r="I84" s="21">
        <f>H84/H$194</f>
        <v>0.13042691299255227</v>
      </c>
      <c r="J84" s="38">
        <f>I84*J$202</f>
        <v>24492017.358838696</v>
      </c>
      <c r="K84" s="2">
        <v>20792098.850960687</v>
      </c>
      <c r="L84" s="21">
        <f>K84/K$194</f>
        <v>0.1304269129925523</v>
      </c>
      <c r="M84" s="38">
        <f>L84*M$202</f>
        <v>27056523.845016129</v>
      </c>
      <c r="N84" s="2">
        <v>21332693.421085667</v>
      </c>
      <c r="O84" s="21">
        <f>N84/N$194</f>
        <v>0.12692752229474852</v>
      </c>
      <c r="P84" s="38">
        <f>O84*P$202</f>
        <v>27015185.045420092</v>
      </c>
      <c r="Q84" s="2">
        <v>32622460.759013109</v>
      </c>
      <c r="R84" s="21">
        <f>Q84/Q$194</f>
        <v>0.13084474397373164</v>
      </c>
      <c r="S84" s="38">
        <f>R84*S$202</f>
        <v>28489449.646027997</v>
      </c>
      <c r="T84" s="2">
        <v>22183273.316128913</v>
      </c>
      <c r="U84" s="21">
        <f>T84/T$194</f>
        <v>0.1277760378513218</v>
      </c>
      <c r="V84" s="38">
        <f>U84*V$202</f>
        <v>28405532.635773517</v>
      </c>
      <c r="W84" s="2">
        <v>22626938.782451492</v>
      </c>
      <c r="X84" s="21">
        <f>W84/W$194</f>
        <v>0.12727909920363017</v>
      </c>
      <c r="Y84" s="38">
        <f>X84*Y$202</f>
        <v>28860960.79042935</v>
      </c>
      <c r="Z84" s="2">
        <v>23034223.680535618</v>
      </c>
      <c r="AA84" s="21">
        <f>Z84/Z$194</f>
        <v>0.12808885145569707</v>
      </c>
      <c r="AB84" s="38">
        <f>AA84*AB$202</f>
        <v>29567377.164374258</v>
      </c>
      <c r="AC84" s="2">
        <v>23448839.706785258</v>
      </c>
      <c r="AD84" s="21">
        <f>AC84/AC$194</f>
        <v>0.12793028538253426</v>
      </c>
      <c r="AE84" s="38">
        <f>AD84*AE$202</f>
        <v>30091859.297549766</v>
      </c>
      <c r="AF84" s="2">
        <v>23805262.070328396</v>
      </c>
      <c r="AG84" s="21">
        <f>AF84/AF$194</f>
        <v>0.12845031621950606</v>
      </c>
      <c r="AH84" s="38">
        <f>AG84*AH$202</f>
        <v>30758036.612122972</v>
      </c>
      <c r="AI84" s="2">
        <v>36250653.080696084</v>
      </c>
      <c r="AJ84" s="21">
        <f>AI84/AI$194</f>
        <v>0.12939419082435358</v>
      </c>
      <c r="AK84" s="38">
        <f>AJ84*AK$202</f>
        <v>31541764.790851582</v>
      </c>
      <c r="AL84" s="2">
        <v>246282947.40678197</v>
      </c>
    </row>
    <row r="85" spans="1:38" ht="12.75" x14ac:dyDescent="0.2">
      <c r="A85" s="8" t="s">
        <v>16</v>
      </c>
      <c r="B85" s="8" t="s">
        <v>17</v>
      </c>
      <c r="C85" s="8" t="s">
        <v>36</v>
      </c>
      <c r="D85" s="8" t="s">
        <v>125</v>
      </c>
      <c r="E85" s="8" t="s">
        <v>126</v>
      </c>
      <c r="F85" s="8" t="s">
        <v>191</v>
      </c>
      <c r="G85" s="8" t="s">
        <v>1092</v>
      </c>
      <c r="H85" s="34">
        <v>1171570.55</v>
      </c>
      <c r="I85" s="21">
        <f>H85/H$196</f>
        <v>5.2865971388229717E-2</v>
      </c>
      <c r="J85" s="38">
        <f>I85*J$204</f>
        <v>1175117.1911134303</v>
      </c>
      <c r="K85" s="2">
        <v>1200859.8137500002</v>
      </c>
      <c r="L85" s="21">
        <f>K85/K$196</f>
        <v>5.286597138822971E-2</v>
      </c>
      <c r="M85" s="38">
        <f>L85*M$204</f>
        <v>1523261.7386999282</v>
      </c>
      <c r="N85" s="2">
        <v>1226077.8698387505</v>
      </c>
      <c r="O85" s="21">
        <f>N85/N$196</f>
        <v>7.7937563674639582E-2</v>
      </c>
      <c r="P85" s="38">
        <f>O85*P$204</f>
        <v>2304053.2044023727</v>
      </c>
      <c r="Q85" s="2">
        <v>1872220.9072437719</v>
      </c>
      <c r="R85" s="21">
        <f>Q85/Q$196</f>
        <v>7.8307770678821401E-2</v>
      </c>
      <c r="S85" s="38">
        <f>R85*S$204</f>
        <v>2368242.5071063321</v>
      </c>
      <c r="T85" s="2">
        <v>1265021.3052182272</v>
      </c>
      <c r="U85" s="21">
        <f>T85/T$196</f>
        <v>7.7985078515567977E-2</v>
      </c>
      <c r="V85" s="38">
        <f>U85*V$204</f>
        <v>2408011.5589814829</v>
      </c>
      <c r="W85" s="2">
        <v>1280201.5608808459</v>
      </c>
      <c r="X85" s="21">
        <f>W85/W$196</f>
        <v>7.7901058041624269E-2</v>
      </c>
      <c r="Y85" s="38">
        <f>X85*Y$204</f>
        <v>2453525.5310886111</v>
      </c>
      <c r="Z85" s="2">
        <v>1293003.5764896544</v>
      </c>
      <c r="AA85" s="21">
        <f>Z85/Z$196</f>
        <v>7.8307770678821387E-2</v>
      </c>
      <c r="AB85" s="38">
        <f>AA85*AB$204</f>
        <v>2510729.1434128685</v>
      </c>
      <c r="AC85" s="2">
        <v>1305933.6122545509</v>
      </c>
      <c r="AD85" s="21">
        <f>AC85/AC$196</f>
        <v>7.8044238680936892E-2</v>
      </c>
      <c r="AE85" s="38">
        <f>AD85*AE$204</f>
        <v>2549823.0090011433</v>
      </c>
      <c r="AF85" s="2">
        <v>1312724.4670382747</v>
      </c>
      <c r="AG85" s="21">
        <f>AF85/AF$196</f>
        <v>7.8247941701878584E-2</v>
      </c>
      <c r="AH85" s="38">
        <f>AG85*AH$204</f>
        <v>2602494.9037966928</v>
      </c>
      <c r="AI85" s="2">
        <v>1979325.9514003107</v>
      </c>
      <c r="AJ85" s="21">
        <f>AI85/AI$196</f>
        <v>7.8307770678821401E-2</v>
      </c>
      <c r="AK85" s="38">
        <f>AJ85*AK$204</f>
        <v>2651365.5174491853</v>
      </c>
      <c r="AL85" s="2">
        <v>13906939.614114385</v>
      </c>
    </row>
    <row r="86" spans="1:38" ht="12.75" x14ac:dyDescent="0.2">
      <c r="A86" s="8" t="s">
        <v>16</v>
      </c>
      <c r="B86" s="8" t="s">
        <v>17</v>
      </c>
      <c r="C86" s="8" t="s">
        <v>36</v>
      </c>
      <c r="D86" s="8" t="s">
        <v>31</v>
      </c>
      <c r="E86" s="8" t="s">
        <v>33</v>
      </c>
      <c r="F86" s="8" t="s">
        <v>188</v>
      </c>
      <c r="G86" s="8" t="s">
        <v>1093</v>
      </c>
      <c r="H86" s="34">
        <v>11748153.500709014</v>
      </c>
      <c r="I86" s="21">
        <f t="shared" ref="I86:I87" si="160">H86/H$195</f>
        <v>3.5697353075236575E-2</v>
      </c>
      <c r="J86" s="38">
        <f t="shared" ref="J86:J87" si="161">I86*J$203</f>
        <v>13234257.636183072</v>
      </c>
      <c r="K86" s="2">
        <v>12100598.105730284</v>
      </c>
      <c r="L86" s="21">
        <f t="shared" ref="L86:L87" si="162">K86/K$195</f>
        <v>3.5743347722886017E-2</v>
      </c>
      <c r="M86" s="38">
        <f t="shared" ref="M86:M87" si="163">L86*M$203</f>
        <v>11768223.301100707</v>
      </c>
      <c r="N86" s="2">
        <v>4438028.9792656507</v>
      </c>
      <c r="O86" s="21">
        <f t="shared" ref="O86:O87" si="164">N86/N$195</f>
        <v>1.9510003172508266E-2</v>
      </c>
      <c r="P86" s="38">
        <f t="shared" ref="P86:P87" si="165">O86*P$203</f>
        <v>7808281.973431889</v>
      </c>
      <c r="Q86" s="2">
        <v>6786739.1784833781</v>
      </c>
      <c r="R86" s="21">
        <f t="shared" ref="R86:R87" si="166">Q86/Q$195</f>
        <v>2.0415073555895179E-2</v>
      </c>
      <c r="S86" s="38">
        <f t="shared" ref="S86:S87" si="167">R86*S$203</f>
        <v>9632673.4414479919</v>
      </c>
      <c r="T86" s="2">
        <v>4614982.6413686965</v>
      </c>
      <c r="U86" s="21">
        <f t="shared" ref="U86:U87" si="168">T86/T$195</f>
        <v>1.9146018605974643E-2</v>
      </c>
      <c r="V86" s="38">
        <f t="shared" ref="V86:V87" si="169">U86*V$203</f>
        <v>9223592.4923456684</v>
      </c>
      <c r="W86" s="2">
        <v>4707282.2941960702</v>
      </c>
      <c r="X86" s="21">
        <f t="shared" ref="X86:X87" si="170">W86/W$195</f>
        <v>1.8041480013303416E-2</v>
      </c>
      <c r="Y86" s="38">
        <f t="shared" ref="Y86:Y87" si="171">X86*Y$203</f>
        <v>8865310.7618012838</v>
      </c>
      <c r="Z86" s="2">
        <v>4792013.3754915996</v>
      </c>
      <c r="AA86" s="21">
        <f t="shared" ref="AA86:AA87" si="172">Z86/Z$195</f>
        <v>1.931655319059666E-2</v>
      </c>
      <c r="AB86" s="38">
        <f t="shared" ref="AB86:AB87" si="173">AA86*AB$203</f>
        <v>9662715.9854339082</v>
      </c>
      <c r="AC86" s="2">
        <v>4878269.6162504489</v>
      </c>
      <c r="AD86" s="21">
        <f t="shared" ref="AD86:AD87" si="174">AC86/AC$195</f>
        <v>1.8892757591072541E-2</v>
      </c>
      <c r="AE86" s="38">
        <f t="shared" ref="AE86:AE87" si="175">AD86*AE$203</f>
        <v>9630284.4826395959</v>
      </c>
      <c r="AF86" s="2">
        <v>4952419.3144174563</v>
      </c>
      <c r="AG86" s="21">
        <f t="shared" ref="AG86:AG87" si="176">AF86/AF$195</f>
        <v>1.9125496766162316E-2</v>
      </c>
      <c r="AH86" s="38">
        <f t="shared" ref="AH86:AH87" si="177">AG86*AH$203</f>
        <v>9924400.1501275357</v>
      </c>
      <c r="AI86" s="2">
        <v>7541544.1319949031</v>
      </c>
      <c r="AJ86" s="21">
        <f t="shared" ref="AJ86:AJ87" si="178">AI86/AI$195</f>
        <v>1.8174483760255034E-2</v>
      </c>
      <c r="AK86" s="38">
        <f t="shared" ref="AK86:AK87" si="179">AJ86*AK$203</f>
        <v>9600666.9470999092</v>
      </c>
      <c r="AL86" s="2">
        <v>51236420.836100452</v>
      </c>
    </row>
    <row r="87" spans="1:38" ht="12.75" x14ac:dyDescent="0.2">
      <c r="A87" s="8" t="s">
        <v>16</v>
      </c>
      <c r="B87" s="8" t="s">
        <v>17</v>
      </c>
      <c r="C87" s="8" t="s">
        <v>36</v>
      </c>
      <c r="D87" s="8" t="s">
        <v>130</v>
      </c>
      <c r="E87" s="8" t="s">
        <v>131</v>
      </c>
      <c r="F87" s="8" t="s">
        <v>188</v>
      </c>
      <c r="G87" s="8" t="s">
        <v>1094</v>
      </c>
      <c r="H87" s="34">
        <v>418707.3</v>
      </c>
      <c r="I87" s="21">
        <f t="shared" si="160"/>
        <v>1.272263111166955E-3</v>
      </c>
      <c r="J87" s="38">
        <f t="shared" si="161"/>
        <v>471672.44469662179</v>
      </c>
      <c r="K87" s="2">
        <v>418707.3</v>
      </c>
      <c r="L87" s="21">
        <f t="shared" si="162"/>
        <v>1.236798419982525E-3</v>
      </c>
      <c r="M87" s="38">
        <f t="shared" si="163"/>
        <v>407206.40096852358</v>
      </c>
      <c r="N87" s="2">
        <v>418707.3</v>
      </c>
      <c r="O87" s="21">
        <f t="shared" si="164"/>
        <v>1.8406776498120277E-3</v>
      </c>
      <c r="P87" s="38">
        <f t="shared" si="165"/>
        <v>736674.92438846454</v>
      </c>
      <c r="Q87" s="2">
        <v>418707.3</v>
      </c>
      <c r="R87" s="21">
        <f t="shared" si="166"/>
        <v>1.2595062375449152E-3</v>
      </c>
      <c r="S87" s="38">
        <f t="shared" si="167"/>
        <v>594286.97381467745</v>
      </c>
      <c r="T87" s="2">
        <v>418707.3</v>
      </c>
      <c r="U87" s="21">
        <f t="shared" si="168"/>
        <v>1.7370764701034444E-3</v>
      </c>
      <c r="V87" s="38">
        <f t="shared" si="169"/>
        <v>836836.41064031178</v>
      </c>
      <c r="W87" s="2">
        <v>418707.3</v>
      </c>
      <c r="X87" s="21">
        <f t="shared" si="170"/>
        <v>1.6047687205180371E-3</v>
      </c>
      <c r="Y87" s="38">
        <f t="shared" si="171"/>
        <v>788559.10921499226</v>
      </c>
      <c r="Z87" s="2">
        <v>418707.3</v>
      </c>
      <c r="AA87" s="21">
        <f t="shared" si="172"/>
        <v>1.687804519308419E-3</v>
      </c>
      <c r="AB87" s="38">
        <f t="shared" si="173"/>
        <v>844290.15612103103</v>
      </c>
      <c r="AC87" s="2">
        <v>418707.3</v>
      </c>
      <c r="AD87" s="21">
        <f t="shared" si="174"/>
        <v>1.6215863703311891E-3</v>
      </c>
      <c r="AE87" s="38">
        <f t="shared" si="175"/>
        <v>826578.01457419619</v>
      </c>
      <c r="AF87" s="2">
        <v>418707.3</v>
      </c>
      <c r="AG87" s="21">
        <f t="shared" si="176"/>
        <v>1.6169844683396964E-3</v>
      </c>
      <c r="AH87" s="38">
        <f t="shared" si="177"/>
        <v>839068.44860294077</v>
      </c>
      <c r="AI87" s="2">
        <v>418707.3</v>
      </c>
      <c r="AJ87" s="21">
        <f t="shared" si="178"/>
        <v>1.0090491935021372E-3</v>
      </c>
      <c r="AK87" s="38">
        <f t="shared" si="179"/>
        <v>533030.00887645839</v>
      </c>
      <c r="AL87" s="2">
        <v>4187072.9999999991</v>
      </c>
    </row>
    <row r="88" spans="1:38" ht="12.75" x14ac:dyDescent="0.2">
      <c r="A88" s="8" t="s">
        <v>16</v>
      </c>
      <c r="B88" s="8" t="s">
        <v>17</v>
      </c>
      <c r="C88" s="8" t="s">
        <v>36</v>
      </c>
      <c r="D88" s="8" t="s">
        <v>130</v>
      </c>
      <c r="E88" s="8" t="s">
        <v>131</v>
      </c>
      <c r="F88" s="8" t="s">
        <v>189</v>
      </c>
      <c r="G88" s="8" t="s">
        <v>1095</v>
      </c>
      <c r="H88" s="34">
        <v>0</v>
      </c>
      <c r="I88" s="21">
        <f>H88/H$194</f>
        <v>0</v>
      </c>
      <c r="J88" s="38">
        <f>I88*J$202</f>
        <v>0</v>
      </c>
      <c r="K88" s="2">
        <v>0</v>
      </c>
      <c r="L88" s="21">
        <f>K88/K$194</f>
        <v>0</v>
      </c>
      <c r="M88" s="38">
        <f>L88*M$202</f>
        <v>0</v>
      </c>
      <c r="N88" s="2">
        <v>0</v>
      </c>
      <c r="O88" s="21">
        <f>N88/N$194</f>
        <v>0</v>
      </c>
      <c r="P88" s="38">
        <f>O88*P$202</f>
        <v>0</v>
      </c>
      <c r="Q88" s="2">
        <v>0</v>
      </c>
      <c r="R88" s="21">
        <f>Q88/Q$194</f>
        <v>0</v>
      </c>
      <c r="S88" s="38">
        <f>R88*S$202</f>
        <v>0</v>
      </c>
      <c r="T88" s="2">
        <v>0</v>
      </c>
      <c r="U88" s="21">
        <f>T88/T$194</f>
        <v>0</v>
      </c>
      <c r="V88" s="38">
        <f>U88*V$202</f>
        <v>0</v>
      </c>
      <c r="W88" s="2">
        <v>0</v>
      </c>
      <c r="X88" s="21">
        <f>W88/W$194</f>
        <v>0</v>
      </c>
      <c r="Y88" s="38">
        <f>X88*Y$202</f>
        <v>0</v>
      </c>
      <c r="Z88" s="2">
        <v>0</v>
      </c>
      <c r="AA88" s="21">
        <f>Z88/Z$194</f>
        <v>0</v>
      </c>
      <c r="AB88" s="38">
        <f>AA88*AB$202</f>
        <v>0</v>
      </c>
      <c r="AC88" s="2">
        <v>0</v>
      </c>
      <c r="AD88" s="21">
        <f>AC88/AC$194</f>
        <v>0</v>
      </c>
      <c r="AE88" s="38">
        <f>AD88*AE$202</f>
        <v>0</v>
      </c>
      <c r="AF88" s="2">
        <v>0</v>
      </c>
      <c r="AG88" s="21">
        <f>AF88/AF$194</f>
        <v>0</v>
      </c>
      <c r="AH88" s="38">
        <f>AG88*AH$202</f>
        <v>0</v>
      </c>
      <c r="AI88" s="2">
        <v>0</v>
      </c>
      <c r="AJ88" s="21">
        <f>AI88/AI$194</f>
        <v>0</v>
      </c>
      <c r="AK88" s="38">
        <f>AJ88*AK$202</f>
        <v>0</v>
      </c>
      <c r="AL88" s="2">
        <v>0</v>
      </c>
    </row>
    <row r="89" spans="1:38" ht="12.75" x14ac:dyDescent="0.2">
      <c r="A89" s="8" t="s">
        <v>16</v>
      </c>
      <c r="B89" s="8" t="s">
        <v>17</v>
      </c>
      <c r="C89" s="8" t="s">
        <v>36</v>
      </c>
      <c r="D89" s="8" t="s">
        <v>31</v>
      </c>
      <c r="E89" s="8" t="s">
        <v>35</v>
      </c>
      <c r="F89" s="8" t="s">
        <v>188</v>
      </c>
      <c r="G89" s="8" t="s">
        <v>1096</v>
      </c>
      <c r="H89" s="34">
        <v>1300000</v>
      </c>
      <c r="I89" s="21">
        <f>H89/H$195</f>
        <v>3.9501151389456108E-3</v>
      </c>
      <c r="J89" s="38">
        <f>I89*J$203</f>
        <v>1464445.8744942073</v>
      </c>
      <c r="K89" s="2">
        <v>1300000</v>
      </c>
      <c r="L89" s="21">
        <f>K89/K$195</f>
        <v>3.84000457115814E-3</v>
      </c>
      <c r="M89" s="38">
        <f>L89*M$203</f>
        <v>1264292.0752971843</v>
      </c>
      <c r="N89" s="2">
        <v>3964519.9177911351</v>
      </c>
      <c r="O89" s="21">
        <f>N89/N$195</f>
        <v>1.7428411696936642E-2</v>
      </c>
      <c r="P89" s="38">
        <f>O89*P$203</f>
        <v>6975188.6596563905</v>
      </c>
      <c r="Q89" s="2">
        <v>6062637.8907518731</v>
      </c>
      <c r="R89" s="21">
        <f>Q89/Q$195</f>
        <v>1.8236916909206344E-2</v>
      </c>
      <c r="S89" s="38">
        <f>R89*S$203</f>
        <v>8604929.3275496513</v>
      </c>
      <c r="T89" s="2">
        <v>4122593.765711274</v>
      </c>
      <c r="U89" s="21">
        <f>T89/T$195</f>
        <v>1.7103261935514872E-2</v>
      </c>
      <c r="V89" s="38">
        <f>U89*V$203</f>
        <v>8239494.6766534736</v>
      </c>
      <c r="W89" s="2">
        <v>4205045.6410254994</v>
      </c>
      <c r="X89" s="21">
        <f>W89/W$195</f>
        <v>1.6116570485082155E-2</v>
      </c>
      <c r="Y89" s="38">
        <f>X89*Y$203</f>
        <v>7919439.295411028</v>
      </c>
      <c r="Z89" s="2">
        <v>4280736.462563959</v>
      </c>
      <c r="AA89" s="21">
        <f>Z89/Z$195</f>
        <v>1.7255601580110462E-2</v>
      </c>
      <c r="AB89" s="38">
        <f>AA89*AB$203</f>
        <v>8631766.5259027369</v>
      </c>
      <c r="AC89" s="2">
        <v>4357789.71889011</v>
      </c>
      <c r="AD89" s="21">
        <f>AC89/AC$195</f>
        <v>1.6877022237065335E-2</v>
      </c>
      <c r="AE89" s="38">
        <f>AD89*AE$203</f>
        <v>8602795.2552344613</v>
      </c>
      <c r="AF89" s="2">
        <v>4424028.1226172401</v>
      </c>
      <c r="AG89" s="21">
        <f>AF89/AF$195</f>
        <v>1.7084929643620028E-2</v>
      </c>
      <c r="AH89" s="38">
        <f>AG89*AH$203</f>
        <v>8865530.6784004699</v>
      </c>
      <c r="AI89" s="2">
        <v>6736910.0251215342</v>
      </c>
      <c r="AJ89" s="21">
        <f>AI89/AI$195</f>
        <v>1.6235383590267827E-2</v>
      </c>
      <c r="AK89" s="38">
        <f>AJ89*AK$203</f>
        <v>8576337.7196682114</v>
      </c>
      <c r="AL89" s="2">
        <v>45769825.269293301</v>
      </c>
    </row>
    <row r="90" spans="1:38" ht="12.75" x14ac:dyDescent="0.2">
      <c r="A90" s="8" t="s">
        <v>16</v>
      </c>
      <c r="B90" s="8" t="s">
        <v>17</v>
      </c>
      <c r="C90" s="8" t="s">
        <v>36</v>
      </c>
      <c r="D90" s="8" t="s">
        <v>31</v>
      </c>
      <c r="E90" s="8" t="s">
        <v>35</v>
      </c>
      <c r="F90" s="8" t="s">
        <v>189</v>
      </c>
      <c r="G90" s="8" t="s">
        <v>1097</v>
      </c>
      <c r="H90" s="34">
        <v>0</v>
      </c>
      <c r="I90" s="21">
        <f>H90/H$194</f>
        <v>0</v>
      </c>
      <c r="J90" s="38">
        <f>I90*J$202</f>
        <v>0</v>
      </c>
      <c r="K90" s="2">
        <v>0</v>
      </c>
      <c r="L90" s="21">
        <f>K90/K$194</f>
        <v>0</v>
      </c>
      <c r="M90" s="38">
        <f>L90*M$202</f>
        <v>0</v>
      </c>
      <c r="N90" s="2">
        <v>9135786.9521543551</v>
      </c>
      <c r="O90" s="21">
        <f>N90/N$194</f>
        <v>5.4357074334715247E-2</v>
      </c>
      <c r="P90" s="38">
        <f>O90*P$202</f>
        <v>11569330.237692222</v>
      </c>
      <c r="Q90" s="2">
        <v>9539356.6759396996</v>
      </c>
      <c r="R90" s="21">
        <f>Q90/Q$194</f>
        <v>3.8261205712159074E-2</v>
      </c>
      <c r="S90" s="38">
        <f>R90*S$202</f>
        <v>8330794.6534842169</v>
      </c>
      <c r="T90" s="2">
        <v>9163412.7274059132</v>
      </c>
      <c r="U90" s="21">
        <f>T90/T$194</f>
        <v>5.2781415745934791E-2</v>
      </c>
      <c r="V90" s="38">
        <f>U90*V$202</f>
        <v>11733688.512693003</v>
      </c>
      <c r="W90" s="2">
        <v>9179280.9819540326</v>
      </c>
      <c r="X90" s="21">
        <f>W90/W$194</f>
        <v>5.163449753204051E-2</v>
      </c>
      <c r="Y90" s="38">
        <f>X90*Y$202</f>
        <v>11708294.747762004</v>
      </c>
      <c r="Z90" s="2">
        <v>9193848.0396292061</v>
      </c>
      <c r="AA90" s="21">
        <f>Z90/Z$194</f>
        <v>5.1125206223009707E-2</v>
      </c>
      <c r="AB90" s="38">
        <f>AA90*AB$202</f>
        <v>11801481.845006488</v>
      </c>
      <c r="AC90" s="2">
        <v>9208677.3043425307</v>
      </c>
      <c r="AD90" s="21">
        <f>AC90/AC$194</f>
        <v>5.0239957723763842E-2</v>
      </c>
      <c r="AE90" s="38">
        <f>AD90*AE$202</f>
        <v>11817481.172794688</v>
      </c>
      <c r="AF90" s="2">
        <v>9221425.1993685365</v>
      </c>
      <c r="AG90" s="21">
        <f>AF90/AF$194</f>
        <v>4.9757695561344017E-2</v>
      </c>
      <c r="AH90" s="38">
        <f>AG90*AH$202</f>
        <v>11914715.875010658</v>
      </c>
      <c r="AI90" s="2">
        <v>9666550.2935984097</v>
      </c>
      <c r="AJ90" s="21">
        <f>AI90/AI$194</f>
        <v>3.4504080533907612E-2</v>
      </c>
      <c r="AK90" s="38">
        <f>AJ90*AK$202</f>
        <v>8410884.4886433613</v>
      </c>
      <c r="AL90" s="2">
        <v>92519361.010624766</v>
      </c>
    </row>
    <row r="91" spans="1:38" ht="12.75" x14ac:dyDescent="0.2">
      <c r="A91" s="8" t="s">
        <v>16</v>
      </c>
      <c r="B91" s="8" t="s">
        <v>17</v>
      </c>
      <c r="C91" s="8" t="s">
        <v>36</v>
      </c>
      <c r="D91" s="8" t="s">
        <v>31</v>
      </c>
      <c r="E91" s="8" t="s">
        <v>35</v>
      </c>
      <c r="F91" s="8" t="s">
        <v>192</v>
      </c>
      <c r="G91" s="8" t="s">
        <v>1098</v>
      </c>
      <c r="H91" s="34">
        <v>0</v>
      </c>
      <c r="I91" s="21">
        <f>H91/H$193</f>
        <v>0</v>
      </c>
      <c r="J91" s="38">
        <f>I91*J$201</f>
        <v>0</v>
      </c>
      <c r="K91" s="2">
        <v>0</v>
      </c>
      <c r="L91" s="21">
        <f ca="1">K91/K$193</f>
        <v>0</v>
      </c>
      <c r="M91" s="38">
        <f ca="1">L91*M$201</f>
        <v>0</v>
      </c>
      <c r="N91" s="2">
        <v>2314122.6445829114</v>
      </c>
      <c r="O91" s="21">
        <f ca="1">N91/N$193</f>
        <v>2.5696579346378692E-3</v>
      </c>
      <c r="P91" s="38">
        <f ca="1">O91*P$201</f>
        <v>2324751.4536877079</v>
      </c>
      <c r="Q91" s="2">
        <v>3566468.4041342484</v>
      </c>
      <c r="R91" s="21">
        <f ca="1">Q91/Q$193</f>
        <v>2.6304209086442671E-3</v>
      </c>
      <c r="S91" s="38">
        <f ca="1">R91*S$201</f>
        <v>2434456.9244053592</v>
      </c>
      <c r="T91" s="2">
        <v>2448974.9708388504</v>
      </c>
      <c r="U91" s="21">
        <f ca="1">T91/T$193</f>
        <v>2.6284800095406238E-3</v>
      </c>
      <c r="V91" s="38">
        <f ca="1">U91*V$201</f>
        <v>2483746.4935424831</v>
      </c>
      <c r="W91" s="2">
        <v>2517546.2700223383</v>
      </c>
      <c r="X91" s="21">
        <f ca="1">W91/W$193</f>
        <v>2.63595894870513E-3</v>
      </c>
      <c r="Y91" s="38">
        <f ca="1">X91*Y$201</f>
        <v>2540629.8878755444</v>
      </c>
      <c r="Z91" s="2">
        <v>2588037.5655829636</v>
      </c>
      <c r="AA91" s="21">
        <f ca="1">Z91/Z$193</f>
        <v>2.6775341951070131E-3</v>
      </c>
      <c r="AB91" s="38">
        <f ca="1">AA91*AB$201</f>
        <v>2627154.1999937906</v>
      </c>
      <c r="AC91" s="2">
        <v>2634622.2417634572</v>
      </c>
      <c r="AD91" s="21">
        <f ca="1">AC91/AC$193</f>
        <v>2.680534069655818E-3</v>
      </c>
      <c r="AE91" s="38">
        <f ca="1">AD91*AE$201</f>
        <v>2680069.4844230479</v>
      </c>
      <c r="AF91" s="2">
        <v>2674668.4998382619</v>
      </c>
      <c r="AG91" s="21">
        <f ca="1">AF91/AF$193</f>
        <v>2.6825182231185723E-3</v>
      </c>
      <c r="AH91" s="38">
        <f ca="1">AG91*AH$201</f>
        <v>2730330.2532795332</v>
      </c>
      <c r="AI91" s="2">
        <v>4072985.1915537058</v>
      </c>
      <c r="AJ91" s="21">
        <f ca="1">AI91/AI$193</f>
        <v>2.7166333627376403E-3</v>
      </c>
      <c r="AK91" s="38">
        <f ca="1">AJ91*AK$201</f>
        <v>2814824.4082457335</v>
      </c>
      <c r="AL91" s="2">
        <v>27262692.512235917</v>
      </c>
    </row>
    <row r="92" spans="1:38" ht="12.75" x14ac:dyDescent="0.2">
      <c r="A92" s="8" t="s">
        <v>16</v>
      </c>
      <c r="B92" s="8" t="s">
        <v>17</v>
      </c>
      <c r="C92" s="8" t="s">
        <v>36</v>
      </c>
      <c r="D92" s="8" t="s">
        <v>134</v>
      </c>
      <c r="E92" s="8" t="s">
        <v>135</v>
      </c>
      <c r="F92" s="8" t="s">
        <v>188</v>
      </c>
      <c r="G92" s="8" t="s">
        <v>1099</v>
      </c>
      <c r="H92" s="34">
        <v>0</v>
      </c>
      <c r="I92" s="21">
        <f>H92/H$195</f>
        <v>0</v>
      </c>
      <c r="J92" s="38">
        <f>I92*J$203</f>
        <v>0</v>
      </c>
      <c r="K92" s="2">
        <v>0</v>
      </c>
      <c r="L92" s="21">
        <f>K92/K$195</f>
        <v>0</v>
      </c>
      <c r="M92" s="38">
        <f>L92*M$203</f>
        <v>0</v>
      </c>
      <c r="N92" s="2">
        <v>0</v>
      </c>
      <c r="O92" s="21">
        <f>N92/N$195</f>
        <v>0</v>
      </c>
      <c r="P92" s="38">
        <f>O92*P$203</f>
        <v>0</v>
      </c>
      <c r="Q92" s="2">
        <v>0</v>
      </c>
      <c r="R92" s="21">
        <f>Q92/Q$195</f>
        <v>0</v>
      </c>
      <c r="S92" s="38">
        <f>R92*S$203</f>
        <v>0</v>
      </c>
      <c r="T92" s="2">
        <v>0</v>
      </c>
      <c r="U92" s="21">
        <f>T92/T$195</f>
        <v>0</v>
      </c>
      <c r="V92" s="38">
        <f>U92*V$203</f>
        <v>0</v>
      </c>
      <c r="W92" s="2">
        <v>0</v>
      </c>
      <c r="X92" s="21">
        <f>W92/W$195</f>
        <v>0</v>
      </c>
      <c r="Y92" s="38">
        <f>X92*Y$203</f>
        <v>0</v>
      </c>
      <c r="Z92" s="2">
        <v>0</v>
      </c>
      <c r="AA92" s="21">
        <f>Z92/Z$195</f>
        <v>0</v>
      </c>
      <c r="AB92" s="38">
        <f>AA92*AB$203</f>
        <v>0</v>
      </c>
      <c r="AC92" s="2">
        <v>0</v>
      </c>
      <c r="AD92" s="21">
        <f>AC92/AC$195</f>
        <v>0</v>
      </c>
      <c r="AE92" s="38">
        <f>AD92*AE$203</f>
        <v>0</v>
      </c>
      <c r="AF92" s="2">
        <v>0</v>
      </c>
      <c r="AG92" s="21">
        <f>AF92/AF$195</f>
        <v>0</v>
      </c>
      <c r="AH92" s="38">
        <f>AG92*AH$203</f>
        <v>0</v>
      </c>
      <c r="AI92" s="2">
        <v>0</v>
      </c>
      <c r="AJ92" s="21">
        <f>AI92/AI$195</f>
        <v>0</v>
      </c>
      <c r="AK92" s="38">
        <f>AJ92*AK$203</f>
        <v>0</v>
      </c>
      <c r="AL92" s="2">
        <v>0</v>
      </c>
    </row>
    <row r="93" spans="1:38" ht="12.75" x14ac:dyDescent="0.2">
      <c r="A93" s="8" t="s">
        <v>16</v>
      </c>
      <c r="B93" s="8" t="s">
        <v>17</v>
      </c>
      <c r="C93" s="8" t="s">
        <v>36</v>
      </c>
      <c r="D93" s="8" t="s">
        <v>134</v>
      </c>
      <c r="E93" s="8" t="s">
        <v>135</v>
      </c>
      <c r="F93" s="8" t="s">
        <v>189</v>
      </c>
      <c r="G93" s="8" t="s">
        <v>1100</v>
      </c>
      <c r="H93" s="34">
        <v>6612099.9609460728</v>
      </c>
      <c r="I93" s="21">
        <f>H93/H$194</f>
        <v>4.2721404234400365E-2</v>
      </c>
      <c r="J93" s="38">
        <f>I93*J$202</f>
        <v>8022373.2211054265</v>
      </c>
      <c r="K93" s="2">
        <v>6810462.9597744551</v>
      </c>
      <c r="L93" s="21">
        <f>K93/K$194</f>
        <v>4.2721404234400372E-2</v>
      </c>
      <c r="M93" s="38">
        <f>L93*M$202</f>
        <v>8862378.675071694</v>
      </c>
      <c r="N93" s="2">
        <v>6987534.9967285907</v>
      </c>
      <c r="O93" s="21">
        <f>N93/N$194</f>
        <v>4.1575176963165997E-2</v>
      </c>
      <c r="P93" s="38">
        <f>O93*P$202</f>
        <v>8848838.1294313297</v>
      </c>
      <c r="Q93" s="2">
        <v>10685504.250846179</v>
      </c>
      <c r="R93" s="21">
        <f>Q93/Q$194</f>
        <v>4.2858264992958979E-2</v>
      </c>
      <c r="S93" s="38">
        <f>R93*S$202</f>
        <v>9331734.2779787816</v>
      </c>
      <c r="T93" s="2">
        <v>7266142.8905754015</v>
      </c>
      <c r="U93" s="21">
        <f>T93/T$194</f>
        <v>4.1853108681856703E-2</v>
      </c>
      <c r="V93" s="38">
        <f>U93*V$202</f>
        <v>9304247.2169499826</v>
      </c>
      <c r="W93" s="2">
        <v>7411465.7483869093</v>
      </c>
      <c r="X93" s="21">
        <f>W93/W$194</f>
        <v>4.1690336165352067E-2</v>
      </c>
      <c r="Y93" s="38">
        <f>X93*Y$202</f>
        <v>9453422.9495373983</v>
      </c>
      <c r="Z93" s="2">
        <v>7544872.1318578739</v>
      </c>
      <c r="AA93" s="21">
        <f>Z93/Z$194</f>
        <v>4.1955570943179255E-2</v>
      </c>
      <c r="AB93" s="38">
        <f>AA93*AB$202</f>
        <v>9684810.0059099048</v>
      </c>
      <c r="AC93" s="2">
        <v>7680679.8302313155</v>
      </c>
      <c r="AD93" s="21">
        <f>AC93/AC$194</f>
        <v>4.1903632542169666E-2</v>
      </c>
      <c r="AE93" s="38">
        <f>AD93*AE$202</f>
        <v>9856604.4056316167</v>
      </c>
      <c r="AF93" s="2">
        <v>7797426.1636508321</v>
      </c>
      <c r="AG93" s="21">
        <f>AF93/AF$194</f>
        <v>4.2073968917468951E-2</v>
      </c>
      <c r="AH93" s="38">
        <f>AG93*AH$202</f>
        <v>10074811.13685506</v>
      </c>
      <c r="AI93" s="2">
        <v>11873920.562007489</v>
      </c>
      <c r="AJ93" s="21">
        <f>AI93/AI$194</f>
        <v>4.2383135542784833E-2</v>
      </c>
      <c r="AK93" s="38">
        <f>AJ93*AK$202</f>
        <v>10331521.715715937</v>
      </c>
      <c r="AL93" s="2">
        <v>80670109.495005116</v>
      </c>
    </row>
    <row r="94" spans="1:38" ht="12.75" x14ac:dyDescent="0.2">
      <c r="A94" s="8" t="s">
        <v>16</v>
      </c>
      <c r="B94" s="8" t="s">
        <v>17</v>
      </c>
      <c r="C94" s="8" t="s">
        <v>36</v>
      </c>
      <c r="D94" s="8" t="s">
        <v>134</v>
      </c>
      <c r="E94" s="8" t="s">
        <v>136</v>
      </c>
      <c r="F94" s="8" t="s">
        <v>188</v>
      </c>
      <c r="G94" s="8" t="s">
        <v>1101</v>
      </c>
      <c r="H94" s="34">
        <v>7792433.6625582362</v>
      </c>
      <c r="I94" s="21">
        <f>H94/H$195</f>
        <v>2.3677700138231294E-2</v>
      </c>
      <c r="J94" s="38">
        <f>I94*J$203</f>
        <v>8778151.7918486111</v>
      </c>
      <c r="K94" s="2">
        <v>7996206.6724349838</v>
      </c>
      <c r="L94" s="21">
        <f>K94/K$195</f>
        <v>2.3619592441596581E-2</v>
      </c>
      <c r="M94" s="38">
        <f>L94*M$203</f>
        <v>7776569.7910753973</v>
      </c>
      <c r="N94" s="2">
        <v>8178108.0459182933</v>
      </c>
      <c r="O94" s="21">
        <f>N94/N$195</f>
        <v>3.5951751254085416E-2</v>
      </c>
      <c r="P94" s="38">
        <f>O94*P$203</f>
        <v>14388588.702340638</v>
      </c>
      <c r="Q94" s="2">
        <v>12062722.024330545</v>
      </c>
      <c r="R94" s="21">
        <f>Q94/Q$195</f>
        <v>3.6285666935863665E-2</v>
      </c>
      <c r="S94" s="38">
        <f>R94*S$203</f>
        <v>17121073.761568185</v>
      </c>
      <c r="T94" s="2">
        <v>8596402.4567069747</v>
      </c>
      <c r="U94" s="21">
        <f>T94/T$195</f>
        <v>3.566359706430991E-2</v>
      </c>
      <c r="V94" s="38">
        <f>U94*V$203</f>
        <v>17180934.214163981</v>
      </c>
      <c r="W94" s="2">
        <v>8809101.7254947703</v>
      </c>
      <c r="X94" s="21">
        <f>W94/W$195</f>
        <v>3.376241805417645E-2</v>
      </c>
      <c r="Y94" s="38">
        <f>X94*Y$203</f>
        <v>16590342.250159975</v>
      </c>
      <c r="Z94" s="2">
        <v>9027756.5738086253</v>
      </c>
      <c r="AA94" s="21">
        <f>Z94/Z$195</f>
        <v>3.6390787417583802E-2</v>
      </c>
      <c r="AB94" s="38">
        <f>AA94*AB$203</f>
        <v>18203757.152367651</v>
      </c>
      <c r="AC94" s="2">
        <v>9172256.1921371799</v>
      </c>
      <c r="AD94" s="21">
        <f>AC94/AC$195</f>
        <v>3.5522680465221175E-2</v>
      </c>
      <c r="AE94" s="38">
        <f>AD94*AE$203</f>
        <v>18107124.744332444</v>
      </c>
      <c r="AF94" s="2">
        <v>9296474.4862576649</v>
      </c>
      <c r="AG94" s="21">
        <f>AF94/AF$195</f>
        <v>3.5901582930593527E-2</v>
      </c>
      <c r="AH94" s="38">
        <f>AG94*AH$203</f>
        <v>18629669.042457681</v>
      </c>
      <c r="AI94" s="2">
        <v>13633871.347673176</v>
      </c>
      <c r="AJ94" s="21">
        <f>AI94/AI$195</f>
        <v>3.2856477275847625E-2</v>
      </c>
      <c r="AK94" s="38">
        <f>AJ94*AK$203</f>
        <v>17356426.710188057</v>
      </c>
      <c r="AL94" s="2">
        <v>94565333.187320456</v>
      </c>
    </row>
    <row r="95" spans="1:38" ht="12.75" x14ac:dyDescent="0.2">
      <c r="A95" s="8" t="s">
        <v>16</v>
      </c>
      <c r="B95" s="8" t="s">
        <v>17</v>
      </c>
      <c r="C95" s="8" t="s">
        <v>36</v>
      </c>
      <c r="D95" s="8" t="s">
        <v>134</v>
      </c>
      <c r="E95" s="8" t="s">
        <v>136</v>
      </c>
      <c r="F95" s="8" t="s">
        <v>189</v>
      </c>
      <c r="G95" s="8" t="s">
        <v>1102</v>
      </c>
      <c r="H95" s="34">
        <v>4199576.997355788</v>
      </c>
      <c r="I95" s="21">
        <f>H95/H$194</f>
        <v>2.7133864820134287E-2</v>
      </c>
      <c r="J95" s="38">
        <f>I95*J$202</f>
        <v>5095291.0939865606</v>
      </c>
      <c r="K95" s="2">
        <v>4325564.3072764622</v>
      </c>
      <c r="L95" s="21">
        <f>K95/K$194</f>
        <v>2.7133864820134294E-2</v>
      </c>
      <c r="M95" s="38">
        <f>L95*M$202</f>
        <v>5628808.0708874064</v>
      </c>
      <c r="N95" s="2">
        <v>4438028.9792656507</v>
      </c>
      <c r="O95" s="21">
        <f>N95/N$194</f>
        <v>2.6405855608166936E-2</v>
      </c>
      <c r="P95" s="38">
        <f>O95*P$202</f>
        <v>5620207.9946122766</v>
      </c>
      <c r="Q95" s="2">
        <v>6786739.1784833781</v>
      </c>
      <c r="R95" s="21">
        <f>Q95/Q$194</f>
        <v>2.7220789896415385E-2</v>
      </c>
      <c r="S95" s="38">
        <f>R95*S$202</f>
        <v>5926912.3048207732</v>
      </c>
      <c r="T95" s="2">
        <v>4614982.6413686965</v>
      </c>
      <c r="U95" s="21">
        <f>T95/T$194</f>
        <v>2.6582379807671336E-2</v>
      </c>
      <c r="V95" s="38">
        <f>U95*V$202</f>
        <v>5909454.3066200102</v>
      </c>
      <c r="W95" s="2">
        <v>4707282.2941960702</v>
      </c>
      <c r="X95" s="21">
        <f>W95/W$194</f>
        <v>2.6478997263524682E-2</v>
      </c>
      <c r="Y95" s="38">
        <f>X95*Y$202</f>
        <v>6004201.0555860028</v>
      </c>
      <c r="Z95" s="2">
        <v>4792013.3754915996</v>
      </c>
      <c r="AA95" s="21">
        <f>Z95/Z$194</f>
        <v>2.6647457189787269E-2</v>
      </c>
      <c r="AB95" s="38">
        <f>AA95*AB$202</f>
        <v>6151163.1047333675</v>
      </c>
      <c r="AC95" s="2">
        <v>4878269.6162504489</v>
      </c>
      <c r="AD95" s="21">
        <f>AC95/AC$194</f>
        <v>2.6614469286481573E-2</v>
      </c>
      <c r="AE95" s="38">
        <f>AD95*AE$202</f>
        <v>6260275.7638896313</v>
      </c>
      <c r="AF95" s="2">
        <v>4952419.3144174563</v>
      </c>
      <c r="AG95" s="21">
        <f>AF95/AF$194</f>
        <v>2.6722655903100339E-2</v>
      </c>
      <c r="AH95" s="38">
        <f>AG95*AH$202</f>
        <v>6398866.5254520224</v>
      </c>
      <c r="AI95" s="2">
        <v>7541544.1319949031</v>
      </c>
      <c r="AJ95" s="21">
        <f>AI95/AI$194</f>
        <v>2.6919018489222058E-2</v>
      </c>
      <c r="AK95" s="38">
        <f>AJ95*AK$202</f>
        <v>6561912.4334584968</v>
      </c>
      <c r="AL95" s="2">
        <v>51236420.836100452</v>
      </c>
    </row>
    <row r="96" spans="1:38" ht="12.75" x14ac:dyDescent="0.2">
      <c r="A96" s="8" t="s">
        <v>16</v>
      </c>
      <c r="B96" s="8" t="s">
        <v>17</v>
      </c>
      <c r="C96" s="8" t="s">
        <v>36</v>
      </c>
      <c r="D96" s="8" t="s">
        <v>134</v>
      </c>
      <c r="E96" s="8" t="s">
        <v>137</v>
      </c>
      <c r="F96" s="8" t="s">
        <v>188</v>
      </c>
      <c r="G96" s="8" t="s">
        <v>1103</v>
      </c>
      <c r="H96" s="34">
        <v>8393219.0996615738</v>
      </c>
      <c r="I96" s="21">
        <f t="shared" ref="I96:I97" si="180">H96/H$195</f>
        <v>2.5503216792354334E-2</v>
      </c>
      <c r="J96" s="38">
        <f t="shared" ref="J96:J97" si="181">I96*J$203</f>
        <v>9454934.6801733673</v>
      </c>
      <c r="K96" s="2">
        <v>8645015.6726514213</v>
      </c>
      <c r="L96" s="21">
        <f t="shared" ref="L96:L97" si="182">K96/K$195</f>
        <v>2.5536076692857859E-2</v>
      </c>
      <c r="M96" s="38">
        <f t="shared" ref="M96:M97" si="183">L96*M$203</f>
        <v>8407557.5428870358</v>
      </c>
      <c r="N96" s="2">
        <v>8869786.0801403578</v>
      </c>
      <c r="O96" s="21">
        <f t="shared" ref="O96:O97" si="184">N96/N$195</f>
        <v>3.899243456306635E-2</v>
      </c>
      <c r="P96" s="38">
        <f t="shared" ref="P96:P97" si="185">O96*P$203</f>
        <v>15605529.184538348</v>
      </c>
      <c r="Q96" s="2">
        <v>13669894.238449883</v>
      </c>
      <c r="R96" s="21">
        <f t="shared" ref="R96:R97" si="186">Q96/Q$195</f>
        <v>4.1120174068870849E-2</v>
      </c>
      <c r="S96" s="38">
        <f t="shared" ref="S96:S97" si="187">R96*S$203</f>
        <v>19402193.559403133</v>
      </c>
      <c r="T96" s="2">
        <v>9386660.7104022522</v>
      </c>
      <c r="U96" s="21">
        <f t="shared" ref="U96:U97" si="188">T96/T$195</f>
        <v>3.89421141042543E-2</v>
      </c>
      <c r="V96" s="38">
        <f t="shared" ref="V96:V97" si="189">U96*V$203</f>
        <v>18760359.460633863</v>
      </c>
      <c r="W96" s="2">
        <v>9649487.2102935147</v>
      </c>
      <c r="X96" s="21">
        <f t="shared" ref="X96:X97" si="190">W96/W$195</f>
        <v>3.6983341929118237E-2</v>
      </c>
      <c r="Y96" s="38">
        <f t="shared" ref="Y96:Y97" si="191">X96*Y$203</f>
        <v>18173055.590219028</v>
      </c>
      <c r="Z96" s="2">
        <v>9919672.8521817327</v>
      </c>
      <c r="AA96" s="21">
        <f t="shared" ref="AA96:AA97" si="192">Z96/Z$195</f>
        <v>3.9986092122046506E-2</v>
      </c>
      <c r="AB96" s="38">
        <f t="shared" ref="AB96:AB97" si="193">AA96*AB$203</f>
        <v>20002235.788671628</v>
      </c>
      <c r="AC96" s="2">
        <v>10098226.963521004</v>
      </c>
      <c r="AD96" s="21">
        <f t="shared" ref="AD96:AD97" si="194">AC96/AC$195</f>
        <v>3.9108817086677419E-2</v>
      </c>
      <c r="AE96" s="38">
        <f t="shared" ref="AE96:AE97" si="195">AD96*AE$203</f>
        <v>19935101.189367384</v>
      </c>
      <c r="AF96" s="2">
        <v>10251720.013366524</v>
      </c>
      <c r="AG96" s="21">
        <f t="shared" ref="AG96:AG97" si="196">AF96/AF$195</f>
        <v>3.9590597143591463E-2</v>
      </c>
      <c r="AH96" s="38">
        <f t="shared" ref="AH96:AH97" si="197">AG96*AH$203</f>
        <v>20543933.213314336</v>
      </c>
      <c r="AI96" s="2">
        <v>15611319.236354545</v>
      </c>
      <c r="AJ96" s="21">
        <f t="shared" ref="AJ96:AJ97" si="198">AI96/AI$195</f>
        <v>3.7621959504761333E-2</v>
      </c>
      <c r="AK96" s="38">
        <f t="shared" ref="AK96:AK97" si="199">AJ96*AK$203</f>
        <v>19873791.622757208</v>
      </c>
      <c r="AL96" s="2">
        <v>104495002.07702281</v>
      </c>
    </row>
    <row r="97" spans="1:38" ht="12.75" x14ac:dyDescent="0.2">
      <c r="A97" s="8" t="s">
        <v>16</v>
      </c>
      <c r="B97" s="8" t="s">
        <v>17</v>
      </c>
      <c r="C97" s="8" t="s">
        <v>36</v>
      </c>
      <c r="D97" s="8" t="s">
        <v>134</v>
      </c>
      <c r="E97" s="8" t="s">
        <v>138</v>
      </c>
      <c r="F97" s="8" t="s">
        <v>188</v>
      </c>
      <c r="G97" s="8" t="s">
        <v>1104</v>
      </c>
      <c r="H97" s="34">
        <v>22007160.191317309</v>
      </c>
      <c r="I97" s="21">
        <f t="shared" si="180"/>
        <v>6.686985895147976E-2</v>
      </c>
      <c r="J97" s="38">
        <f t="shared" si="181"/>
        <v>24790996.116544448</v>
      </c>
      <c r="K97" s="2">
        <v>22667374.997056827</v>
      </c>
      <c r="L97" s="21">
        <f t="shared" si="182"/>
        <v>6.6956018157579955E-2</v>
      </c>
      <c r="M97" s="38">
        <f t="shared" si="183"/>
        <v>22044755.828129601</v>
      </c>
      <c r="N97" s="2">
        <v>23256726.746980306</v>
      </c>
      <c r="O97" s="21">
        <f t="shared" si="184"/>
        <v>0.10223881248536205</v>
      </c>
      <c r="P97" s="38">
        <f t="shared" si="185"/>
        <v>40917957.288671345</v>
      </c>
      <c r="Q97" s="2">
        <v>35842690.239798725</v>
      </c>
      <c r="R97" s="21">
        <f t="shared" si="186"/>
        <v>0.10781778088754781</v>
      </c>
      <c r="S97" s="38">
        <f t="shared" si="187"/>
        <v>50872874.478154212</v>
      </c>
      <c r="T97" s="2">
        <v>24611980.631328456</v>
      </c>
      <c r="U97" s="21">
        <f t="shared" si="188"/>
        <v>0.10210687140473161</v>
      </c>
      <c r="V97" s="38">
        <f t="shared" si="189"/>
        <v>49189974.787327044</v>
      </c>
      <c r="W97" s="2">
        <v>25301116.089005653</v>
      </c>
      <c r="X97" s="21">
        <f t="shared" si="190"/>
        <v>9.6970938156158079E-2</v>
      </c>
      <c r="Y97" s="38">
        <f t="shared" si="191"/>
        <v>47650054.262945525</v>
      </c>
      <c r="Z97" s="2">
        <v>26009547.339497812</v>
      </c>
      <c r="AA97" s="21">
        <f t="shared" si="192"/>
        <v>0.10484419914525177</v>
      </c>
      <c r="AB97" s="38">
        <f t="shared" si="193"/>
        <v>52446195.191490464</v>
      </c>
      <c r="AC97" s="2">
        <v>26477719.191608772</v>
      </c>
      <c r="AD97" s="21">
        <f t="shared" si="194"/>
        <v>0.1025439693995527</v>
      </c>
      <c r="AE97" s="38">
        <f t="shared" si="195"/>
        <v>52270167.154604346</v>
      </c>
      <c r="AF97" s="2">
        <v>26880180.523321226</v>
      </c>
      <c r="AG97" s="21">
        <f t="shared" si="196"/>
        <v>0.10380720472840486</v>
      </c>
      <c r="AH97" s="38">
        <f t="shared" si="197"/>
        <v>53866534.855900832</v>
      </c>
      <c r="AI97" s="2">
        <v>40933138.900913566</v>
      </c>
      <c r="AJ97" s="21">
        <f t="shared" si="198"/>
        <v>9.864540406980675E-2</v>
      </c>
      <c r="AK97" s="38">
        <f t="shared" si="199"/>
        <v>52109412.450404525</v>
      </c>
      <c r="AL97" s="2">
        <v>273987634.85082865</v>
      </c>
    </row>
    <row r="98" spans="1:38" ht="12.75" x14ac:dyDescent="0.2">
      <c r="A98" s="8" t="s">
        <v>16</v>
      </c>
      <c r="B98" s="8" t="s">
        <v>17</v>
      </c>
      <c r="C98" s="8" t="s">
        <v>36</v>
      </c>
      <c r="D98" s="8" t="s">
        <v>134</v>
      </c>
      <c r="E98" s="8" t="s">
        <v>138</v>
      </c>
      <c r="F98" s="8" t="s">
        <v>189</v>
      </c>
      <c r="G98" s="8" t="s">
        <v>1105</v>
      </c>
      <c r="H98" s="34">
        <v>4199576.997355788</v>
      </c>
      <c r="I98" s="21">
        <f>H98/H$194</f>
        <v>2.7133864820134287E-2</v>
      </c>
      <c r="J98" s="38">
        <f>I98*J$202</f>
        <v>5095291.0939865606</v>
      </c>
      <c r="K98" s="2">
        <v>4325564.3072764622</v>
      </c>
      <c r="L98" s="21">
        <f>K98/K$194</f>
        <v>2.7133864820134294E-2</v>
      </c>
      <c r="M98" s="38">
        <f>L98*M$202</f>
        <v>5628808.0708874064</v>
      </c>
      <c r="N98" s="2">
        <v>4438028.9792656507</v>
      </c>
      <c r="O98" s="21">
        <f>N98/N$194</f>
        <v>2.6405855608166936E-2</v>
      </c>
      <c r="P98" s="38">
        <f>O98*P$202</f>
        <v>5620207.9946122766</v>
      </c>
      <c r="Q98" s="2">
        <v>6786739.1784833781</v>
      </c>
      <c r="R98" s="21">
        <f>Q98/Q$194</f>
        <v>2.7220789896415385E-2</v>
      </c>
      <c r="S98" s="38">
        <f>R98*S$202</f>
        <v>5926912.3048207732</v>
      </c>
      <c r="T98" s="2">
        <v>4614982.6413686965</v>
      </c>
      <c r="U98" s="21">
        <f>T98/T$194</f>
        <v>2.6582379807671336E-2</v>
      </c>
      <c r="V98" s="38">
        <f>U98*V$202</f>
        <v>5909454.3066200102</v>
      </c>
      <c r="W98" s="2">
        <v>4707282.2941960702</v>
      </c>
      <c r="X98" s="21">
        <f>W98/W$194</f>
        <v>2.6478997263524682E-2</v>
      </c>
      <c r="Y98" s="38">
        <f>X98*Y$202</f>
        <v>6004201.0555860028</v>
      </c>
      <c r="Z98" s="2">
        <v>4792013.3754915996</v>
      </c>
      <c r="AA98" s="21">
        <f>Z98/Z$194</f>
        <v>2.6647457189787269E-2</v>
      </c>
      <c r="AB98" s="38">
        <f>AA98*AB$202</f>
        <v>6151163.1047333675</v>
      </c>
      <c r="AC98" s="2">
        <v>4878269.6162504489</v>
      </c>
      <c r="AD98" s="21">
        <f>AC98/AC$194</f>
        <v>2.6614469286481573E-2</v>
      </c>
      <c r="AE98" s="38">
        <f>AD98*AE$202</f>
        <v>6260275.7638896313</v>
      </c>
      <c r="AF98" s="2">
        <v>4952419.3144174563</v>
      </c>
      <c r="AG98" s="21">
        <f>AF98/AF$194</f>
        <v>2.6722655903100339E-2</v>
      </c>
      <c r="AH98" s="38">
        <f>AG98*AH$202</f>
        <v>6398866.5254520224</v>
      </c>
      <c r="AI98" s="2">
        <v>7541544.1319949031</v>
      </c>
      <c r="AJ98" s="21">
        <f>AI98/AI$194</f>
        <v>2.6919018489222058E-2</v>
      </c>
      <c r="AK98" s="38">
        <f>AJ98*AK$202</f>
        <v>6561912.4334584968</v>
      </c>
      <c r="AL98" s="2">
        <v>51236420.836100452</v>
      </c>
    </row>
    <row r="99" spans="1:38" ht="12.75" x14ac:dyDescent="0.2">
      <c r="A99" s="8" t="s">
        <v>16</v>
      </c>
      <c r="B99" s="8" t="s">
        <v>17</v>
      </c>
      <c r="C99" s="8" t="s">
        <v>36</v>
      </c>
      <c r="D99" s="8" t="s">
        <v>130</v>
      </c>
      <c r="E99" s="8" t="s">
        <v>140</v>
      </c>
      <c r="F99" s="8" t="s">
        <v>188</v>
      </c>
      <c r="G99" s="8" t="s">
        <v>1106</v>
      </c>
      <c r="H99" s="34">
        <v>0</v>
      </c>
      <c r="I99" s="21">
        <f>H99/H$195</f>
        <v>0</v>
      </c>
      <c r="J99" s="38">
        <f>I99*J$203</f>
        <v>0</v>
      </c>
      <c r="K99" s="2">
        <v>0</v>
      </c>
      <c r="L99" s="21">
        <f>K99/K$195</f>
        <v>0</v>
      </c>
      <c r="M99" s="38">
        <f>L99*M$203</f>
        <v>0</v>
      </c>
      <c r="N99" s="2">
        <v>0</v>
      </c>
      <c r="O99" s="21">
        <f>N99/N$195</f>
        <v>0</v>
      </c>
      <c r="P99" s="38">
        <f>O99*P$203</f>
        <v>0</v>
      </c>
      <c r="Q99" s="2">
        <v>0</v>
      </c>
      <c r="R99" s="21">
        <f>Q99/Q$195</f>
        <v>0</v>
      </c>
      <c r="S99" s="38">
        <f>R99*S$203</f>
        <v>0</v>
      </c>
      <c r="T99" s="2">
        <v>0</v>
      </c>
      <c r="U99" s="21">
        <f>T99/T$195</f>
        <v>0</v>
      </c>
      <c r="V99" s="38">
        <f>U99*V$203</f>
        <v>0</v>
      </c>
      <c r="W99" s="2">
        <v>0</v>
      </c>
      <c r="X99" s="21">
        <f>W99/W$195</f>
        <v>0</v>
      </c>
      <c r="Y99" s="38">
        <f>X99*Y$203</f>
        <v>0</v>
      </c>
      <c r="Z99" s="2">
        <v>0</v>
      </c>
      <c r="AA99" s="21">
        <f>Z99/Z$195</f>
        <v>0</v>
      </c>
      <c r="AB99" s="38">
        <f>AA99*AB$203</f>
        <v>0</v>
      </c>
      <c r="AC99" s="2">
        <v>0</v>
      </c>
      <c r="AD99" s="21">
        <f>AC99/AC$195</f>
        <v>0</v>
      </c>
      <c r="AE99" s="38">
        <f>AD99*AE$203</f>
        <v>0</v>
      </c>
      <c r="AF99" s="2">
        <v>0</v>
      </c>
      <c r="AG99" s="21">
        <f>AF99/AF$195</f>
        <v>0</v>
      </c>
      <c r="AH99" s="38">
        <f>AG99*AH$203</f>
        <v>0</v>
      </c>
      <c r="AI99" s="2">
        <v>0</v>
      </c>
      <c r="AJ99" s="21">
        <f>AI99/AI$195</f>
        <v>0</v>
      </c>
      <c r="AK99" s="38">
        <f>AJ99*AK$203</f>
        <v>0</v>
      </c>
      <c r="AL99" s="2">
        <v>0</v>
      </c>
    </row>
    <row r="100" spans="1:38" ht="12.75" x14ac:dyDescent="0.2">
      <c r="A100" s="8" t="s">
        <v>16</v>
      </c>
      <c r="B100" s="8" t="s">
        <v>17</v>
      </c>
      <c r="C100" s="8" t="s">
        <v>36</v>
      </c>
      <c r="D100" s="8" t="s">
        <v>130</v>
      </c>
      <c r="E100" s="8" t="s">
        <v>140</v>
      </c>
      <c r="F100" s="8" t="s">
        <v>189</v>
      </c>
      <c r="G100" s="8" t="s">
        <v>1107</v>
      </c>
      <c r="H100" s="34">
        <v>0</v>
      </c>
      <c r="I100" s="21">
        <f>H100/H$194</f>
        <v>0</v>
      </c>
      <c r="J100" s="38">
        <f>I100*J$202</f>
        <v>0</v>
      </c>
      <c r="K100" s="2">
        <v>0</v>
      </c>
      <c r="L100" s="21">
        <f>K100/K$194</f>
        <v>0</v>
      </c>
      <c r="M100" s="38">
        <f>L100*M$202</f>
        <v>0</v>
      </c>
      <c r="N100" s="2">
        <v>0</v>
      </c>
      <c r="O100" s="21">
        <f>N100/N$194</f>
        <v>0</v>
      </c>
      <c r="P100" s="38">
        <f>O100*P$202</f>
        <v>0</v>
      </c>
      <c r="Q100" s="2">
        <v>0</v>
      </c>
      <c r="R100" s="21">
        <f>Q100/Q$194</f>
        <v>0</v>
      </c>
      <c r="S100" s="38">
        <f>R100*S$202</f>
        <v>0</v>
      </c>
      <c r="T100" s="2">
        <v>0</v>
      </c>
      <c r="U100" s="21">
        <f>T100/T$194</f>
        <v>0</v>
      </c>
      <c r="V100" s="38">
        <f>U100*V$202</f>
        <v>0</v>
      </c>
      <c r="W100" s="2">
        <v>0</v>
      </c>
      <c r="X100" s="21">
        <f>W100/W$194</f>
        <v>0</v>
      </c>
      <c r="Y100" s="38">
        <f>X100*Y$202</f>
        <v>0</v>
      </c>
      <c r="Z100" s="2">
        <v>0</v>
      </c>
      <c r="AA100" s="21">
        <f>Z100/Z$194</f>
        <v>0</v>
      </c>
      <c r="AB100" s="38">
        <f>AA100*AB$202</f>
        <v>0</v>
      </c>
      <c r="AC100" s="2">
        <v>0</v>
      </c>
      <c r="AD100" s="21">
        <f>AC100/AC$194</f>
        <v>0</v>
      </c>
      <c r="AE100" s="38">
        <f>AD100*AE$202</f>
        <v>0</v>
      </c>
      <c r="AF100" s="2">
        <v>0</v>
      </c>
      <c r="AG100" s="21">
        <f>AF100/AF$194</f>
        <v>0</v>
      </c>
      <c r="AH100" s="38">
        <f>AG100*AH$202</f>
        <v>0</v>
      </c>
      <c r="AI100" s="2">
        <v>0</v>
      </c>
      <c r="AJ100" s="21">
        <f>AI100/AI$194</f>
        <v>0</v>
      </c>
      <c r="AK100" s="38">
        <f>AJ100*AK$202</f>
        <v>0</v>
      </c>
      <c r="AL100" s="2">
        <v>0</v>
      </c>
    </row>
    <row r="101" spans="1:38" ht="12.75" x14ac:dyDescent="0.2">
      <c r="A101" s="8" t="s">
        <v>16</v>
      </c>
      <c r="B101" s="8" t="s">
        <v>17</v>
      </c>
      <c r="C101" s="8" t="s">
        <v>36</v>
      </c>
      <c r="D101" s="8" t="s">
        <v>141</v>
      </c>
      <c r="E101" s="8" t="s">
        <v>207</v>
      </c>
      <c r="F101" s="8" t="s">
        <v>191</v>
      </c>
      <c r="G101" s="8" t="s">
        <v>1108</v>
      </c>
      <c r="H101" s="34">
        <v>148110.04999999999</v>
      </c>
      <c r="I101" s="21">
        <f>H101/H$196</f>
        <v>6.6833206635394443E-3</v>
      </c>
      <c r="J101" s="38">
        <f>I101*J$204</f>
        <v>148558.41667552135</v>
      </c>
      <c r="K101" s="2">
        <v>151812.80125000002</v>
      </c>
      <c r="L101" s="21">
        <f>K101/K$196</f>
        <v>6.6833206635394443E-3</v>
      </c>
      <c r="M101" s="38">
        <f>L101*M$204</f>
        <v>192570.8804151259</v>
      </c>
      <c r="N101" s="2">
        <v>155000.87007625005</v>
      </c>
      <c r="O101" s="21">
        <f>N101/N$196</f>
        <v>9.8528735232624714E-3</v>
      </c>
      <c r="P101" s="38">
        <f>O101*P$204</f>
        <v>291278.60486651497</v>
      </c>
      <c r="Q101" s="2">
        <v>236686.32860643385</v>
      </c>
      <c r="R101" s="21">
        <f>Q101/Q$196</f>
        <v>9.8996751246681405E-3</v>
      </c>
      <c r="S101" s="38">
        <f>R101*S$204</f>
        <v>299393.42205182969</v>
      </c>
      <c r="T101" s="2">
        <v>159924.1025364942</v>
      </c>
      <c r="U101" s="21">
        <f>T101/T$196</f>
        <v>9.8588803535516484E-3</v>
      </c>
      <c r="V101" s="38">
        <f>U101*V$204</f>
        <v>304421.02902068116</v>
      </c>
      <c r="W101" s="2">
        <v>161843.19176693214</v>
      </c>
      <c r="X101" s="21">
        <f>W101/W$196</f>
        <v>9.8482584779874122E-3</v>
      </c>
      <c r="Y101" s="38">
        <f>X101*Y$204</f>
        <v>310174.90930086188</v>
      </c>
      <c r="Z101" s="2">
        <v>163461.62368460145</v>
      </c>
      <c r="AA101" s="21">
        <f>Z101/Z$196</f>
        <v>9.8996751246681405E-3</v>
      </c>
      <c r="AB101" s="38">
        <f>AA101*AB$204</f>
        <v>317406.59490573336</v>
      </c>
      <c r="AC101" s="2">
        <v>165096.23992144747</v>
      </c>
      <c r="AD101" s="21">
        <f>AC101/AC$196</f>
        <v>9.866359386761215E-3</v>
      </c>
      <c r="AE101" s="38">
        <f>AD101*AE$204</f>
        <v>322348.84476595098</v>
      </c>
      <c r="AF101" s="2">
        <v>165954.74036903901</v>
      </c>
      <c r="AG101" s="21">
        <f>AF101/AF$196</f>
        <v>9.8921115402417058E-3</v>
      </c>
      <c r="AH101" s="38">
        <f>AG101*AH$204</f>
        <v>329007.63024990121</v>
      </c>
      <c r="AI101" s="2">
        <v>250226.55752843703</v>
      </c>
      <c r="AJ101" s="21">
        <f>AI101/AI$196</f>
        <v>9.8996751246681405E-3</v>
      </c>
      <c r="AK101" s="38">
        <f>AJ101*AK$204</f>
        <v>335185.85744381737</v>
      </c>
      <c r="AL101" s="2">
        <v>1758116.5057396353</v>
      </c>
    </row>
    <row r="102" spans="1:38" ht="12.75" x14ac:dyDescent="0.2">
      <c r="A102" s="8" t="s">
        <v>16</v>
      </c>
      <c r="B102" s="8" t="s">
        <v>17</v>
      </c>
      <c r="C102" s="8" t="s">
        <v>36</v>
      </c>
      <c r="D102" s="8" t="s">
        <v>141</v>
      </c>
      <c r="E102" s="8" t="s">
        <v>144</v>
      </c>
      <c r="F102" s="8" t="s">
        <v>188</v>
      </c>
      <c r="G102" s="8" t="s">
        <v>1109</v>
      </c>
      <c r="H102" s="34">
        <v>5219800.5657464946</v>
      </c>
      <c r="I102" s="21">
        <f>H102/H$195</f>
        <v>1.5860625566947763E-2</v>
      </c>
      <c r="J102" s="38">
        <f>I102*J$203</f>
        <v>5880088.7724538324</v>
      </c>
      <c r="K102" s="2">
        <v>5376394.5827188892</v>
      </c>
      <c r="L102" s="21">
        <f>K102/K$195</f>
        <v>1.5881061364607995E-2</v>
      </c>
      <c r="M102" s="38">
        <f>L102*M$203</f>
        <v>5228717.7420016946</v>
      </c>
      <c r="N102" s="2">
        <v>5516180.8418695806</v>
      </c>
      <c r="O102" s="21">
        <f>N102/N$195</f>
        <v>2.4249662683097792E-2</v>
      </c>
      <c r="P102" s="38">
        <f>O102*P$203</f>
        <v>9705185.7099156622</v>
      </c>
      <c r="Q102" s="2">
        <v>8501401.0515265297</v>
      </c>
      <c r="R102" s="21">
        <f>Q102/Q$195</f>
        <v>2.5572918485702461E-2</v>
      </c>
      <c r="S102" s="38">
        <f>R102*S$203</f>
        <v>12066357.343415359</v>
      </c>
      <c r="T102" s="2">
        <v>5837628.7220482165</v>
      </c>
      <c r="U102" s="21">
        <f>T102/T$195</f>
        <v>2.4218368044383265E-2</v>
      </c>
      <c r="V102" s="38">
        <f>U102*V$203</f>
        <v>11667196.312100649</v>
      </c>
      <c r="W102" s="2">
        <v>6001082.326265567</v>
      </c>
      <c r="X102" s="21">
        <f>W102/W$195</f>
        <v>2.3000194184444836E-2</v>
      </c>
      <c r="Y102" s="38">
        <f>X102*Y$203</f>
        <v>11301948.004073035</v>
      </c>
      <c r="Z102" s="2">
        <v>6169112.6314010033</v>
      </c>
      <c r="AA102" s="21">
        <f>Z102/Z$195</f>
        <v>2.4867625139091833E-2</v>
      </c>
      <c r="AB102" s="38">
        <f>AA102*AB$203</f>
        <v>12439527.724245021</v>
      </c>
      <c r="AC102" s="2">
        <v>6280156.6587662213</v>
      </c>
      <c r="AD102" s="21">
        <f>AC102/AC$195</f>
        <v>2.4322041773334174E-2</v>
      </c>
      <c r="AE102" s="38">
        <f>AD102*AE$203</f>
        <v>12397776.256152928</v>
      </c>
      <c r="AF102" s="2">
        <v>6375615.0399794681</v>
      </c>
      <c r="AG102" s="21">
        <f>AF102/AF$195</f>
        <v>2.4621664097472799E-2</v>
      </c>
      <c r="AH102" s="38">
        <f>AG102*AH$203</f>
        <v>12776413.070622722</v>
      </c>
      <c r="AI102" s="2">
        <v>9708786.5828807354</v>
      </c>
      <c r="AJ102" s="21">
        <f>AI102/AI$195</f>
        <v>2.3397354837950465E-2</v>
      </c>
      <c r="AK102" s="38">
        <f>AJ102*AK$203</f>
        <v>12359647.415873948</v>
      </c>
      <c r="AL102" s="2">
        <v>64986159.003202699</v>
      </c>
    </row>
    <row r="103" spans="1:38" ht="12.75" x14ac:dyDescent="0.2">
      <c r="A103" s="8" t="s">
        <v>16</v>
      </c>
      <c r="B103" s="8" t="s">
        <v>17</v>
      </c>
      <c r="C103" s="8" t="s">
        <v>36</v>
      </c>
      <c r="D103" s="8" t="s">
        <v>141</v>
      </c>
      <c r="E103" s="8" t="s">
        <v>144</v>
      </c>
      <c r="F103" s="8" t="s">
        <v>192</v>
      </c>
      <c r="G103" s="8" t="s">
        <v>1110</v>
      </c>
      <c r="H103" s="34">
        <v>4717007.3748518722</v>
      </c>
      <c r="I103" s="21">
        <f>H103/H$193</f>
        <v>5.3995746687081235E-3</v>
      </c>
      <c r="J103" s="38">
        <f>I103*J$201</f>
        <v>4548897.1968011409</v>
      </c>
      <c r="K103" s="2">
        <v>4858517.5960974284</v>
      </c>
      <c r="L103" s="21">
        <f ca="1">K103/K$193</f>
        <v>5.4078033151254206E-3</v>
      </c>
      <c r="M103" s="38">
        <f ca="1">L103*M$201</f>
        <v>4768422.6224145144</v>
      </c>
      <c r="N103" s="2">
        <v>4984839.053595962</v>
      </c>
      <c r="O103" s="21">
        <f ca="1">N103/N$193</f>
        <v>5.5352862377241437E-3</v>
      </c>
      <c r="P103" s="38">
        <f ca="1">O103*P$201</f>
        <v>5007734.5137146516</v>
      </c>
      <c r="Q103" s="2">
        <v>7611849.2348410338</v>
      </c>
      <c r="R103" s="21">
        <f ca="1">Q103/Q$193</f>
        <v>5.6140599360319024E-3</v>
      </c>
      <c r="S103" s="38">
        <f ca="1">R103*S$201</f>
        <v>5195817.5364199458</v>
      </c>
      <c r="T103" s="2">
        <v>5164667.1937495982</v>
      </c>
      <c r="U103" s="21">
        <f ca="1">T103/T$193</f>
        <v>5.5432271200596033E-3</v>
      </c>
      <c r="V103" s="38">
        <f ca="1">U103*V$201</f>
        <v>5237997.1970050652</v>
      </c>
      <c r="W103" s="2">
        <v>5267960.5376245901</v>
      </c>
      <c r="X103" s="21">
        <f ca="1">W103/W$193</f>
        <v>5.5157388310697521E-3</v>
      </c>
      <c r="Y103" s="38">
        <f ca="1">X103*Y$201</f>
        <v>5316262.9618399022</v>
      </c>
      <c r="Z103" s="2">
        <v>5362783.8273018328</v>
      </c>
      <c r="AA103" s="21">
        <f ca="1">Z103/Z$193</f>
        <v>5.5482336383062122E-3</v>
      </c>
      <c r="AB103" s="38">
        <f ca="1">AA103*AB$201</f>
        <v>5443839.0859992113</v>
      </c>
      <c r="AC103" s="2">
        <v>5459313.936193266</v>
      </c>
      <c r="AD103" s="21">
        <f ca="1">AC103/AC$193</f>
        <v>5.5544498072398509E-3</v>
      </c>
      <c r="AE103" s="38">
        <f ca="1">AD103*AE$201</f>
        <v>5553487.1202194477</v>
      </c>
      <c r="AF103" s="2">
        <v>5542295.5080234045</v>
      </c>
      <c r="AG103" s="21">
        <f ca="1">AF103/AF$193</f>
        <v>5.5585612568735225E-3</v>
      </c>
      <c r="AH103" s="38">
        <f ca="1">AG103*AH$201</f>
        <v>5657634.6186776478</v>
      </c>
      <c r="AI103" s="2">
        <v>8439807.5996180419</v>
      </c>
      <c r="AJ103" s="21">
        <f ca="1">AI103/AI$193</f>
        <v>5.62925270333793E-3</v>
      </c>
      <c r="AK103" s="38">
        <f ca="1">AJ103*AK$201</f>
        <v>5832718.5872336477</v>
      </c>
      <c r="AL103" s="2">
        <v>57409041.861897022</v>
      </c>
    </row>
    <row r="104" spans="1:38" ht="12.75" x14ac:dyDescent="0.2">
      <c r="A104" s="8" t="s">
        <v>16</v>
      </c>
      <c r="B104" s="8" t="s">
        <v>17</v>
      </c>
      <c r="C104" s="8" t="s">
        <v>36</v>
      </c>
      <c r="D104" s="8" t="s">
        <v>50</v>
      </c>
      <c r="E104" s="8" t="s">
        <v>147</v>
      </c>
      <c r="F104" s="8" t="s">
        <v>188</v>
      </c>
      <c r="G104" s="8" t="s">
        <v>1111</v>
      </c>
      <c r="H104" s="34">
        <v>1453363.4112562621</v>
      </c>
      <c r="I104" s="21">
        <f>H104/H$195</f>
        <v>4.4161175486099975E-3</v>
      </c>
      <c r="J104" s="38">
        <f>I104*J$203</f>
        <v>1637209.2705808161</v>
      </c>
      <c r="K104" s="2">
        <v>1496964.3135939499</v>
      </c>
      <c r="L104" s="21">
        <f>K104/K$195</f>
        <v>4.4218075438933651E-3</v>
      </c>
      <c r="M104" s="38">
        <f>L104*M$203</f>
        <v>1455846.245138092</v>
      </c>
      <c r="N104" s="2">
        <v>1535885.3857473927</v>
      </c>
      <c r="O104" s="21">
        <f>N104/N$195</f>
        <v>6.7519001990606576E-3</v>
      </c>
      <c r="P104" s="38">
        <f>O104*P$203</f>
        <v>2702241.519110864</v>
      </c>
      <c r="Q104" s="2">
        <v>2367068.4496615757</v>
      </c>
      <c r="R104" s="21">
        <f>Q104/Q$195</f>
        <v>7.1203379474027014E-3</v>
      </c>
      <c r="S104" s="38">
        <f>R104*S$203</f>
        <v>3359669.023591368</v>
      </c>
      <c r="T104" s="2">
        <v>1625387.0021009485</v>
      </c>
      <c r="U104" s="21">
        <f>T104/T$195</f>
        <v>6.7431867468313441E-3</v>
      </c>
      <c r="V104" s="38">
        <f>U104*V$203</f>
        <v>3248529.5210749246</v>
      </c>
      <c r="W104" s="2">
        <v>1670897.8381597751</v>
      </c>
      <c r="X104" s="21">
        <f>W104/W$195</f>
        <v>6.404007252464948E-3</v>
      </c>
      <c r="Y104" s="38">
        <f>X104*Y$203</f>
        <v>3146832.4312676871</v>
      </c>
      <c r="Z104" s="2">
        <v>1717682.977628249</v>
      </c>
      <c r="AA104" s="21">
        <f>Z104/Z$195</f>
        <v>6.9239611833376222E-3</v>
      </c>
      <c r="AB104" s="38">
        <f>AA104*AB$203</f>
        <v>3463571.8778922455</v>
      </c>
      <c r="AC104" s="2">
        <v>1748601.2712255574</v>
      </c>
      <c r="AD104" s="21">
        <f>AC104/AC$195</f>
        <v>6.7720529079936141E-3</v>
      </c>
      <c r="AE104" s="38">
        <f>AD104*AE$203</f>
        <v>3451946.9019325357</v>
      </c>
      <c r="AF104" s="2">
        <v>1775180.010548186</v>
      </c>
      <c r="AG104" s="21">
        <f>AF104/AF$195</f>
        <v>6.8554775748202032E-3</v>
      </c>
      <c r="AH104" s="38">
        <f>AG104*AH$203</f>
        <v>3557371.7903691162</v>
      </c>
      <c r="AI104" s="2">
        <v>2703244.1200627778</v>
      </c>
      <c r="AJ104" s="21">
        <f>AI104/AI$195</f>
        <v>6.5145897842926086E-3</v>
      </c>
      <c r="AK104" s="38">
        <f>AJ104*AK$203</f>
        <v>3441330.5841868445</v>
      </c>
      <c r="AL104" s="2">
        <v>18094274.779984675</v>
      </c>
    </row>
    <row r="105" spans="1:38" ht="12.75" x14ac:dyDescent="0.2">
      <c r="A105" s="8" t="s">
        <v>16</v>
      </c>
      <c r="B105" s="8" t="s">
        <v>17</v>
      </c>
      <c r="C105" s="8" t="s">
        <v>36</v>
      </c>
      <c r="D105" s="8" t="s">
        <v>50</v>
      </c>
      <c r="E105" s="8" t="s">
        <v>147</v>
      </c>
      <c r="F105" s="8" t="s">
        <v>189</v>
      </c>
      <c r="G105" s="8" t="s">
        <v>1112</v>
      </c>
      <c r="H105" s="34">
        <v>4212924.3272935692</v>
      </c>
      <c r="I105" s="21">
        <f>H105/H$194</f>
        <v>2.7220103183300273E-2</v>
      </c>
      <c r="J105" s="38">
        <f>I105*J$202</f>
        <v>5111485.2324446244</v>
      </c>
      <c r="K105" s="2">
        <v>4339312.0571123762</v>
      </c>
      <c r="L105" s="21">
        <f>K105/K$194</f>
        <v>2.7220103183300273E-2</v>
      </c>
      <c r="M105" s="38">
        <f>L105*M$202</f>
        <v>5646697.8627702268</v>
      </c>
      <c r="N105" s="2">
        <v>4452134.1705972981</v>
      </c>
      <c r="O105" s="21">
        <f>N105/N$194</f>
        <v>2.6489780171834537E-2</v>
      </c>
      <c r="P105" s="38">
        <f>O105*P$202</f>
        <v>5638070.4532528184</v>
      </c>
      <c r="Q105" s="2">
        <v>6808309.1716217129</v>
      </c>
      <c r="R105" s="21">
        <f>Q105/Q$194</f>
        <v>2.7307304529708976E-2</v>
      </c>
      <c r="S105" s="38">
        <f>R105*S$202</f>
        <v>5945749.5482132714</v>
      </c>
      <c r="T105" s="2">
        <v>4629650.2367027644</v>
      </c>
      <c r="U105" s="21">
        <f>T105/T$194</f>
        <v>2.6666865410399362E-2</v>
      </c>
      <c r="V105" s="38">
        <f>U105*V$202</f>
        <v>5928236.0640285192</v>
      </c>
      <c r="W105" s="2">
        <v>4722243.2414368195</v>
      </c>
      <c r="X105" s="21">
        <f>W105/W$194</f>
        <v>2.6563154290082443E-2</v>
      </c>
      <c r="Y105" s="38">
        <f>X105*Y$202</f>
        <v>6023283.9423986822</v>
      </c>
      <c r="Z105" s="2">
        <v>4807243.6197826825</v>
      </c>
      <c r="AA105" s="21">
        <f>Z105/Z$194</f>
        <v>2.6732149625082278E-2</v>
      </c>
      <c r="AB105" s="38">
        <f>AA105*AB$202</f>
        <v>6170713.0745307235</v>
      </c>
      <c r="AC105" s="2">
        <v>4893774.004938771</v>
      </c>
      <c r="AD105" s="21">
        <f>AC105/AC$194</f>
        <v>2.6699056877781659E-2</v>
      </c>
      <c r="AE105" s="38">
        <f>AD105*AE$202</f>
        <v>6280172.5216285018</v>
      </c>
      <c r="AF105" s="2">
        <v>4968159.3698138408</v>
      </c>
      <c r="AG105" s="21">
        <f>AF105/AF$194</f>
        <v>2.6807587339141879E-2</v>
      </c>
      <c r="AH105" s="38">
        <f>AG105*AH$202</f>
        <v>6419203.7600822719</v>
      </c>
      <c r="AI105" s="2">
        <v>7565513.0883525182</v>
      </c>
      <c r="AJ105" s="21">
        <f>AI105/AI$194</f>
        <v>2.7004574015791299E-2</v>
      </c>
      <c r="AK105" s="38">
        <f>AJ105*AK$202</f>
        <v>6582767.8696910832</v>
      </c>
      <c r="AL105" s="2">
        <v>51399263.287652358</v>
      </c>
    </row>
    <row r="106" spans="1:38" ht="12.75" x14ac:dyDescent="0.2">
      <c r="A106" s="8" t="s">
        <v>16</v>
      </c>
      <c r="B106" s="8" t="s">
        <v>17</v>
      </c>
      <c r="C106" s="8" t="s">
        <v>36</v>
      </c>
      <c r="D106" s="8" t="s">
        <v>50</v>
      </c>
      <c r="E106" s="8" t="s">
        <v>147</v>
      </c>
      <c r="F106" s="8" t="s">
        <v>192</v>
      </c>
      <c r="G106" s="8" t="s">
        <v>1113</v>
      </c>
      <c r="H106" s="34">
        <v>1725083.264476255</v>
      </c>
      <c r="I106" s="21">
        <f>H106/H$193</f>
        <v>1.9747087837806935E-3</v>
      </c>
      <c r="J106" s="38">
        <f>I106*J$201</f>
        <v>1663602.7469155744</v>
      </c>
      <c r="K106" s="2">
        <v>1776835.7624105427</v>
      </c>
      <c r="L106" s="21">
        <f ca="1">K106/K$193</f>
        <v>1.9777181282857395E-3</v>
      </c>
      <c r="M106" s="38">
        <f ca="1">L106*M$201</f>
        <v>1743886.6234835119</v>
      </c>
      <c r="N106" s="2">
        <v>1823033.4922332168</v>
      </c>
      <c r="O106" s="21">
        <f ca="1">N106/N$193</f>
        <v>2.0243406240346433E-3</v>
      </c>
      <c r="P106" s="38">
        <f ca="1">O106*P$201</f>
        <v>1831406.7195666754</v>
      </c>
      <c r="Q106" s="2">
        <v>2783772.1426401222</v>
      </c>
      <c r="R106" s="21">
        <f ca="1">Q106/Q$193</f>
        <v>2.0531493957478492E-3</v>
      </c>
      <c r="S106" s="38">
        <f ca="1">R106*S$201</f>
        <v>1900191.6183418655</v>
      </c>
      <c r="T106" s="2">
        <v>1888799.4515392845</v>
      </c>
      <c r="U106" s="21">
        <f ca="1">T106/T$193</f>
        <v>2.0272447287208286E-3</v>
      </c>
      <c r="V106" s="38">
        <f ca="1">U106*V$201</f>
        <v>1915617.3789553868</v>
      </c>
      <c r="W106" s="2">
        <v>1926575.4405700702</v>
      </c>
      <c r="X106" s="21">
        <f ca="1">W106/W$193</f>
        <v>2.0171918321410412E-3</v>
      </c>
      <c r="Y106" s="38">
        <f ca="1">X106*Y$201</f>
        <v>1944240.3914649338</v>
      </c>
      <c r="Z106" s="2">
        <v>1961253.7985003316</v>
      </c>
      <c r="AA106" s="21">
        <f ca="1">Z106/Z$193</f>
        <v>2.0290756906325199E-3</v>
      </c>
      <c r="AB106" s="38">
        <f ca="1">AA106*AB$201</f>
        <v>1990896.9724801122</v>
      </c>
      <c r="AC106" s="2">
        <v>1996556.3668733377</v>
      </c>
      <c r="AD106" s="21">
        <f ca="1">AC106/AC$193</f>
        <v>2.0313490406920825E-3</v>
      </c>
      <c r="AE106" s="38">
        <f ca="1">AD106*AE$201</f>
        <v>2030996.9710140321</v>
      </c>
      <c r="AF106" s="2">
        <v>2026904.0236498127</v>
      </c>
      <c r="AG106" s="21">
        <f ca="1">AF106/AF$193</f>
        <v>2.0328526620333582E-3</v>
      </c>
      <c r="AH106" s="38">
        <f ca="1">AG106*AH$201</f>
        <v>2069085.3377155885</v>
      </c>
      <c r="AI106" s="2">
        <v>3086569.4472139352</v>
      </c>
      <c r="AJ106" s="21">
        <f ca="1">AI106/AI$193</f>
        <v>2.0587056280235161E-3</v>
      </c>
      <c r="AK106" s="38">
        <f ca="1">AJ106*AK$201</f>
        <v>2133116.2793766726</v>
      </c>
      <c r="AL106" s="2">
        <v>20995383.19010691</v>
      </c>
    </row>
    <row r="107" spans="1:38" ht="12.75" x14ac:dyDescent="0.2">
      <c r="A107" s="8" t="s">
        <v>16</v>
      </c>
      <c r="B107" s="8" t="s">
        <v>17</v>
      </c>
      <c r="C107" s="8" t="s">
        <v>36</v>
      </c>
      <c r="D107" s="8" t="s">
        <v>50</v>
      </c>
      <c r="E107" s="8" t="s">
        <v>148</v>
      </c>
      <c r="F107" s="8" t="s">
        <v>188</v>
      </c>
      <c r="G107" s="8" t="s">
        <v>1114</v>
      </c>
      <c r="H107" s="34">
        <v>1300000</v>
      </c>
      <c r="I107" s="21">
        <f>H107/H$195</f>
        <v>3.9501151389456108E-3</v>
      </c>
      <c r="J107" s="38">
        <f>I107*J$203</f>
        <v>1464445.8744942073</v>
      </c>
      <c r="K107" s="2">
        <v>1300000</v>
      </c>
      <c r="L107" s="21">
        <f>K107/K$195</f>
        <v>3.84000457115814E-3</v>
      </c>
      <c r="M107" s="38">
        <f>L107*M$203</f>
        <v>1264292.0752971843</v>
      </c>
      <c r="N107" s="2">
        <v>1300000</v>
      </c>
      <c r="O107" s="21">
        <f>N107/N$195</f>
        <v>5.7149253064267954E-3</v>
      </c>
      <c r="P107" s="38">
        <f>O107*P$203</f>
        <v>2287224.0386183951</v>
      </c>
      <c r="Q107" s="2">
        <v>1300000</v>
      </c>
      <c r="R107" s="21">
        <f>Q107/Q$195</f>
        <v>3.9105076716082808E-3</v>
      </c>
      <c r="S107" s="38">
        <f>R107*S$203</f>
        <v>1845138.7543495914</v>
      </c>
      <c r="T107" s="2">
        <v>1300000</v>
      </c>
      <c r="U107" s="21">
        <f>T107/T$195</f>
        <v>5.393264963697738E-3</v>
      </c>
      <c r="V107" s="38">
        <f>U107*V$203</f>
        <v>2598204.8410247574</v>
      </c>
      <c r="W107" s="2">
        <v>1300000</v>
      </c>
      <c r="X107" s="21">
        <f>W107/W$195</f>
        <v>4.9824766290758448E-3</v>
      </c>
      <c r="Y107" s="38">
        <f>X107*Y$203</f>
        <v>2448313.7551685632</v>
      </c>
      <c r="Z107" s="2">
        <v>1300000</v>
      </c>
      <c r="AA107" s="21">
        <f>Z107/Z$195</f>
        <v>5.2402856962392216E-3</v>
      </c>
      <c r="AB107" s="38">
        <f>AA107*AB$203</f>
        <v>2621347.1868232065</v>
      </c>
      <c r="AC107" s="2">
        <v>1300000</v>
      </c>
      <c r="AD107" s="21">
        <f>AC107/AC$195</f>
        <v>5.0346919708124166E-3</v>
      </c>
      <c r="AE107" s="38">
        <f>AD107*AE$203</f>
        <v>2566354.6323325508</v>
      </c>
      <c r="AF107" s="2">
        <v>1300000</v>
      </c>
      <c r="AG107" s="21">
        <f>AF107/AF$195</f>
        <v>5.0204040121622079E-3</v>
      </c>
      <c r="AH107" s="38">
        <f>AG107*AH$203</f>
        <v>2605134.8595637647</v>
      </c>
      <c r="AI107" s="2">
        <v>1300000</v>
      </c>
      <c r="AJ107" s="21">
        <f>AI107/AI$195</f>
        <v>3.1328900918440603E-3</v>
      </c>
      <c r="AK107" s="38">
        <f>AJ107*AK$203</f>
        <v>1654948.4843932646</v>
      </c>
      <c r="AL107" s="2">
        <v>13000000</v>
      </c>
    </row>
    <row r="108" spans="1:38" ht="12.75" x14ac:dyDescent="0.2">
      <c r="A108" s="8" t="s">
        <v>16</v>
      </c>
      <c r="B108" s="8" t="s">
        <v>17</v>
      </c>
      <c r="C108" s="8" t="s">
        <v>36</v>
      </c>
      <c r="D108" s="8" t="s">
        <v>50</v>
      </c>
      <c r="E108" s="8" t="s">
        <v>148</v>
      </c>
      <c r="F108" s="8" t="s">
        <v>192</v>
      </c>
      <c r="G108" s="8" t="s">
        <v>1115</v>
      </c>
      <c r="H108" s="34">
        <v>344880.64865655347</v>
      </c>
      <c r="I108" s="21">
        <f>H108/H$193</f>
        <v>3.9478607223335775E-4</v>
      </c>
      <c r="J108" s="38">
        <f>I108*J$201</f>
        <v>332589.39222116879</v>
      </c>
      <c r="K108" s="2">
        <v>355227.0681162501</v>
      </c>
      <c r="L108" s="21">
        <f ca="1">K108/K$193</f>
        <v>3.9538770387995912E-4</v>
      </c>
      <c r="M108" s="38">
        <f ca="1">L108*M$201</f>
        <v>348639.8380156327</v>
      </c>
      <c r="N108" s="2">
        <v>364462.97188727261</v>
      </c>
      <c r="O108" s="21">
        <f ca="1">N108/N$193</f>
        <v>4.0470852734800835E-4</v>
      </c>
      <c r="P108" s="38">
        <f ca="1">O108*P$201</f>
        <v>366136.95721515681</v>
      </c>
      <c r="Q108" s="2">
        <v>556534.95807186526</v>
      </c>
      <c r="R108" s="21">
        <f ca="1">Q108/Q$193</f>
        <v>4.1046801042922968E-4</v>
      </c>
      <c r="S108" s="38">
        <f ca="1">R108*S$201</f>
        <v>379888.51402164251</v>
      </c>
      <c r="T108" s="2">
        <v>377610.97881080117</v>
      </c>
      <c r="U108" s="21">
        <f ca="1">T108/T$193</f>
        <v>4.0528911932786397E-4</v>
      </c>
      <c r="V108" s="38">
        <f ca="1">U108*V$201</f>
        <v>382972.44998923596</v>
      </c>
      <c r="W108" s="2">
        <v>385163.19838701718</v>
      </c>
      <c r="X108" s="21">
        <f ca="1">W108/W$193</f>
        <v>4.0327933257454634E-4</v>
      </c>
      <c r="Y108" s="38">
        <f ca="1">X108*Y$201</f>
        <v>388694.79587483837</v>
      </c>
      <c r="Z108" s="2">
        <v>392096.1359579835</v>
      </c>
      <c r="AA108" s="21">
        <f ca="1">Z108/Z$193</f>
        <v>4.0565516735857236E-4</v>
      </c>
      <c r="AB108" s="38">
        <f ca="1">AA108*AB$201</f>
        <v>398022.43370888632</v>
      </c>
      <c r="AC108" s="2">
        <v>399153.86640522722</v>
      </c>
      <c r="AD108" s="21">
        <f ca="1">AC108/AC$193</f>
        <v>4.0610965814131346E-4</v>
      </c>
      <c r="AE108" s="38">
        <f ca="1">AD108*AE$201</f>
        <v>406039.27196260617</v>
      </c>
      <c r="AF108" s="2">
        <v>405221.00517458672</v>
      </c>
      <c r="AG108" s="21">
        <f ca="1">AF108/AF$193</f>
        <v>4.0641026386521771E-4</v>
      </c>
      <c r="AH108" s="38">
        <f ca="1">AG108*AH$201</f>
        <v>413653.94244536094</v>
      </c>
      <c r="AI108" s="2">
        <v>617070.54667986068</v>
      </c>
      <c r="AJ108" s="21">
        <f ca="1">AI108/AI$193</f>
        <v>4.1157881883528078E-4</v>
      </c>
      <c r="AK108" s="38">
        <f ca="1">AJ108*AK$201</f>
        <v>426455.08262735041</v>
      </c>
      <c r="AL108" s="2">
        <v>4197421.3781474177</v>
      </c>
    </row>
    <row r="109" spans="1:38" ht="12.75" x14ac:dyDescent="0.2">
      <c r="A109" s="8" t="s">
        <v>16</v>
      </c>
      <c r="B109" s="8" t="s">
        <v>17</v>
      </c>
      <c r="C109" s="8" t="s">
        <v>36</v>
      </c>
      <c r="D109" s="8" t="s">
        <v>130</v>
      </c>
      <c r="E109" s="8" t="s">
        <v>149</v>
      </c>
      <c r="F109" s="8" t="s">
        <v>188</v>
      </c>
      <c r="G109" s="8" t="s">
        <v>1116</v>
      </c>
      <c r="H109" s="34">
        <v>-1705379.4254636019</v>
      </c>
      <c r="I109" s="21">
        <f t="shared" ref="I109:I110" si="200">H109/H$195</f>
        <v>-5.1818808355154943E-3</v>
      </c>
      <c r="J109" s="38">
        <f t="shared" ref="J109:J110" si="201">I109*J$203</f>
        <v>-1921104.5108211334</v>
      </c>
      <c r="K109" s="2">
        <v>-1756540.80822751</v>
      </c>
      <c r="L109" s="21">
        <f t="shared" ref="L109:L110" si="202">K109/K$195</f>
        <v>-5.1885574869380401E-3</v>
      </c>
      <c r="M109" s="38">
        <f t="shared" ref="M109:M110" si="203">L109*M$203</f>
        <v>-1708292.7875216554</v>
      </c>
      <c r="N109" s="2">
        <v>-1802210.8692414253</v>
      </c>
      <c r="O109" s="21">
        <f t="shared" ref="O109:O110" si="204">N109/N$195</f>
        <v>-7.9226926954963483E-3</v>
      </c>
      <c r="P109" s="38">
        <f t="shared" ref="P109:P110" si="205">O109*P$203</f>
        <v>-3170815.4021448777</v>
      </c>
      <c r="Q109" s="2">
        <v>-2777522.677021008</v>
      </c>
      <c r="R109" s="21">
        <f t="shared" ref="R109:R110" si="206">Q109/Q$195</f>
        <v>-8.3550182588897088E-3</v>
      </c>
      <c r="S109" s="38">
        <f t="shared" ref="S109:S110" si="207">R109*S$203</f>
        <v>-3942242.1018894506</v>
      </c>
      <c r="T109" s="2">
        <v>-1907232.2382210921</v>
      </c>
      <c r="U109" s="21">
        <f t="shared" ref="U109:U110" si="208">T109/T$195</f>
        <v>-7.9124683138712577E-3</v>
      </c>
      <c r="V109" s="38">
        <f t="shared" ref="V109:V110" si="209">U109*V$203</f>
        <v>-3811830.7956188656</v>
      </c>
      <c r="W109" s="2">
        <v>-1960634.7408912827</v>
      </c>
      <c r="X109" s="21">
        <f t="shared" ref="X109:X110" si="210">W109/W$195</f>
        <v>-7.5144744420346079E-3</v>
      </c>
      <c r="Y109" s="38">
        <f t="shared" ref="Y109:Y110" si="211">X109*Y$203</f>
        <v>-3692499.2346042148</v>
      </c>
      <c r="Z109" s="2">
        <v>-2015532.5136362386</v>
      </c>
      <c r="AA109" s="21">
        <f t="shared" ref="AA109:AA110" si="212">Z109/Z$195</f>
        <v>-8.1245893857792816E-3</v>
      </c>
      <c r="AB109" s="38">
        <f t="shared" ref="AB109:AB110" si="213">AA109*AB$203</f>
        <v>-4064161.9112085081</v>
      </c>
      <c r="AC109" s="2">
        <v>-2051812.098881691</v>
      </c>
      <c r="AD109" s="21">
        <f t="shared" ref="AD109:AD110" si="214">AC109/AC$195</f>
        <v>-7.9463399229657092E-3</v>
      </c>
      <c r="AE109" s="38">
        <f t="shared" ref="AE109:AE110" si="215">AD109*AE$203</f>
        <v>-4050521.1420315397</v>
      </c>
      <c r="AF109" s="2">
        <v>-2082999.6427846928</v>
      </c>
      <c r="AG109" s="21">
        <f t="shared" ref="AG109:AG110" si="216">AF109/AF$195</f>
        <v>-8.0442305876682451E-3</v>
      </c>
      <c r="AH109" s="38">
        <f t="shared" ref="AH109:AH110" si="217">AG109*AH$203</f>
        <v>-4174226.9091363638</v>
      </c>
      <c r="AI109" s="2">
        <v>-3171991.8560325308</v>
      </c>
      <c r="AJ109" s="21">
        <f t="shared" ref="AJ109:AJ110" si="218">AI109/AI$195</f>
        <v>-7.6442321978264357E-3</v>
      </c>
      <c r="AK109" s="38">
        <f t="shared" ref="AK109:AK110" si="219">AJ109*AK$203</f>
        <v>-4038063.9343452426</v>
      </c>
      <c r="AL109" s="2">
        <v>-21231856.870401077</v>
      </c>
    </row>
    <row r="110" spans="1:38" ht="12.75" x14ac:dyDescent="0.2">
      <c r="A110" s="8" t="s">
        <v>16</v>
      </c>
      <c r="B110" s="8" t="s">
        <v>17</v>
      </c>
      <c r="C110" s="8" t="s">
        <v>36</v>
      </c>
      <c r="D110" s="8" t="s">
        <v>130</v>
      </c>
      <c r="E110" s="8" t="s">
        <v>149</v>
      </c>
      <c r="F110" s="8" t="s">
        <v>188</v>
      </c>
      <c r="G110" s="8" t="s">
        <v>1117</v>
      </c>
      <c r="H110" s="34">
        <v>2271010.0984238102</v>
      </c>
      <c r="I110" s="21">
        <f t="shared" si="200"/>
        <v>6.9005779772940423E-3</v>
      </c>
      <c r="J110" s="38">
        <f t="shared" si="201"/>
        <v>2558285.6689011022</v>
      </c>
      <c r="K110" s="2">
        <v>2339140.4013765245</v>
      </c>
      <c r="L110" s="21">
        <f t="shared" si="202"/>
        <v>6.9094691029742616E-3</v>
      </c>
      <c r="M110" s="38">
        <f t="shared" si="203"/>
        <v>2274889.7480521649</v>
      </c>
      <c r="N110" s="2">
        <v>2399958.051812314</v>
      </c>
      <c r="O110" s="21">
        <f t="shared" si="204"/>
        <v>1.055044692666534E-2</v>
      </c>
      <c r="P110" s="38">
        <f t="shared" si="205"/>
        <v>4222493.6521391505</v>
      </c>
      <c r="Q110" s="2">
        <v>3698755.8040939146</v>
      </c>
      <c r="R110" s="21">
        <f t="shared" si="206"/>
        <v>1.1126163805626853E-2</v>
      </c>
      <c r="S110" s="38">
        <f t="shared" si="207"/>
        <v>5249782.82846859</v>
      </c>
      <c r="T110" s="2">
        <v>2539812.3188111545</v>
      </c>
      <c r="U110" s="21">
        <f t="shared" si="208"/>
        <v>1.0536831379547775E-2</v>
      </c>
      <c r="V110" s="38">
        <f t="shared" si="209"/>
        <v>5076117.4323303504</v>
      </c>
      <c r="W110" s="2">
        <v>2610927.0637378669</v>
      </c>
      <c r="X110" s="21">
        <f t="shared" si="210"/>
        <v>1.0006833134842723E-2</v>
      </c>
      <c r="Y110" s="38">
        <f t="shared" si="211"/>
        <v>4917206.6491471445</v>
      </c>
      <c r="Z110" s="2">
        <v>2684033.0215225271</v>
      </c>
      <c r="AA110" s="21">
        <f t="shared" si="212"/>
        <v>1.0819307577629413E-2</v>
      </c>
      <c r="AB110" s="38">
        <f t="shared" si="213"/>
        <v>5412140.3156220512</v>
      </c>
      <c r="AC110" s="2">
        <v>2732345.6159099326</v>
      </c>
      <c r="AD110" s="21">
        <f t="shared" si="214"/>
        <v>1.0581937333774034E-2</v>
      </c>
      <c r="AE110" s="38">
        <f t="shared" si="215"/>
        <v>5393975.2527107634</v>
      </c>
      <c r="AF110" s="2">
        <v>2773877.269271764</v>
      </c>
      <c r="AG110" s="21">
        <f t="shared" si="216"/>
        <v>1.0712295824536549E-2</v>
      </c>
      <c r="AH110" s="38">
        <f t="shared" si="217"/>
        <v>5558711.054101089</v>
      </c>
      <c r="AI110" s="2">
        <v>4224060.3056470426</v>
      </c>
      <c r="AJ110" s="21">
        <f t="shared" si="218"/>
        <v>1.0179628214548778E-2</v>
      </c>
      <c r="AK110" s="38">
        <f t="shared" si="219"/>
        <v>5377386.3083202476</v>
      </c>
      <c r="AL110" s="2">
        <v>28273919.950606853</v>
      </c>
    </row>
    <row r="111" spans="1:38" ht="12.75" x14ac:dyDescent="0.2">
      <c r="A111" s="8" t="s">
        <v>16</v>
      </c>
      <c r="B111" s="8" t="s">
        <v>17</v>
      </c>
      <c r="C111" s="8" t="s">
        <v>36</v>
      </c>
      <c r="D111" s="8" t="s">
        <v>130</v>
      </c>
      <c r="E111" s="8" t="s">
        <v>149</v>
      </c>
      <c r="F111" s="8" t="s">
        <v>189</v>
      </c>
      <c r="G111" s="8" t="s">
        <v>1118</v>
      </c>
      <c r="H111" s="34">
        <v>0</v>
      </c>
      <c r="I111" s="21">
        <f t="shared" ref="I111:I112" si="220">H111/H$194</f>
        <v>0</v>
      </c>
      <c r="J111" s="38">
        <f t="shared" ref="J111:J112" si="221">I111*J$202</f>
        <v>0</v>
      </c>
      <c r="K111" s="2">
        <v>0</v>
      </c>
      <c r="L111" s="21">
        <f t="shared" ref="L111:L112" si="222">K111/K$194</f>
        <v>0</v>
      </c>
      <c r="M111" s="38">
        <f t="shared" ref="M111:M112" si="223">L111*M$202</f>
        <v>0</v>
      </c>
      <c r="N111" s="2">
        <v>0</v>
      </c>
      <c r="O111" s="21">
        <f t="shared" ref="O111:O112" si="224">N111/N$194</f>
        <v>0</v>
      </c>
      <c r="P111" s="38">
        <f t="shared" ref="P111:P112" si="225">O111*P$202</f>
        <v>0</v>
      </c>
      <c r="Q111" s="2">
        <v>0</v>
      </c>
      <c r="R111" s="21">
        <f t="shared" ref="R111:R112" si="226">Q111/Q$194</f>
        <v>0</v>
      </c>
      <c r="S111" s="38">
        <f t="shared" ref="S111:S112" si="227">R111*S$202</f>
        <v>0</v>
      </c>
      <c r="T111" s="2">
        <v>0</v>
      </c>
      <c r="U111" s="21">
        <f t="shared" ref="U111:U112" si="228">T111/T$194</f>
        <v>0</v>
      </c>
      <c r="V111" s="38">
        <f t="shared" ref="V111:V112" si="229">U111*V$202</f>
        <v>0</v>
      </c>
      <c r="W111" s="2">
        <v>0</v>
      </c>
      <c r="X111" s="21">
        <f t="shared" ref="X111:X112" si="230">W111/W$194</f>
        <v>0</v>
      </c>
      <c r="Y111" s="38">
        <f t="shared" ref="Y111:Y112" si="231">X111*Y$202</f>
        <v>0</v>
      </c>
      <c r="Z111" s="2">
        <v>0</v>
      </c>
      <c r="AA111" s="21">
        <f t="shared" ref="AA111:AA112" si="232">Z111/Z$194</f>
        <v>0</v>
      </c>
      <c r="AB111" s="38">
        <f t="shared" ref="AB111:AB112" si="233">AA111*AB$202</f>
        <v>0</v>
      </c>
      <c r="AC111" s="2">
        <v>0</v>
      </c>
      <c r="AD111" s="21">
        <f t="shared" ref="AD111:AD112" si="234">AC111/AC$194</f>
        <v>0</v>
      </c>
      <c r="AE111" s="38">
        <f t="shared" ref="AE111:AE112" si="235">AD111*AE$202</f>
        <v>0</v>
      </c>
      <c r="AF111" s="2">
        <v>0</v>
      </c>
      <c r="AG111" s="21">
        <f t="shared" ref="AG111:AG112" si="236">AF111/AF$194</f>
        <v>0</v>
      </c>
      <c r="AH111" s="38">
        <f t="shared" ref="AH111:AH112" si="237">AG111*AH$202</f>
        <v>0</v>
      </c>
      <c r="AI111" s="2">
        <v>0</v>
      </c>
      <c r="AJ111" s="21">
        <f t="shared" ref="AJ111:AJ112" si="238">AI111/AI$194</f>
        <v>0</v>
      </c>
      <c r="AK111" s="38">
        <f t="shared" ref="AK111:AK112" si="239">AJ111*AK$202</f>
        <v>0</v>
      </c>
      <c r="AL111" s="2">
        <v>0</v>
      </c>
    </row>
    <row r="112" spans="1:38" ht="12.75" x14ac:dyDescent="0.2">
      <c r="A112" s="8" t="s">
        <v>16</v>
      </c>
      <c r="B112" s="8" t="s">
        <v>17</v>
      </c>
      <c r="C112" s="8" t="s">
        <v>36</v>
      </c>
      <c r="D112" s="8" t="s">
        <v>130</v>
      </c>
      <c r="E112" s="8" t="s">
        <v>149</v>
      </c>
      <c r="F112" s="8" t="s">
        <v>189</v>
      </c>
      <c r="G112" s="8" t="s">
        <v>1119</v>
      </c>
      <c r="H112" s="34">
        <v>4199576.997355788</v>
      </c>
      <c r="I112" s="21">
        <f t="shared" si="220"/>
        <v>2.7133864820134287E-2</v>
      </c>
      <c r="J112" s="38">
        <f t="shared" si="221"/>
        <v>5095291.0939865606</v>
      </c>
      <c r="K112" s="2">
        <v>4325564.3072764622</v>
      </c>
      <c r="L112" s="21">
        <f t="shared" si="222"/>
        <v>2.7133864820134294E-2</v>
      </c>
      <c r="M112" s="38">
        <f t="shared" si="223"/>
        <v>5628808.0708874064</v>
      </c>
      <c r="N112" s="2">
        <v>4438028.9792656507</v>
      </c>
      <c r="O112" s="21">
        <f t="shared" si="224"/>
        <v>2.6405855608166936E-2</v>
      </c>
      <c r="P112" s="38">
        <f t="shared" si="225"/>
        <v>5620207.9946122766</v>
      </c>
      <c r="Q112" s="2">
        <v>6786739.1784833781</v>
      </c>
      <c r="R112" s="21">
        <f t="shared" si="226"/>
        <v>2.7220789896415385E-2</v>
      </c>
      <c r="S112" s="38">
        <f t="shared" si="227"/>
        <v>5926912.3048207732</v>
      </c>
      <c r="T112" s="2">
        <v>4614982.6413686965</v>
      </c>
      <c r="U112" s="21">
        <f t="shared" si="228"/>
        <v>2.6582379807671336E-2</v>
      </c>
      <c r="V112" s="38">
        <f t="shared" si="229"/>
        <v>5909454.3066200102</v>
      </c>
      <c r="W112" s="2">
        <v>4707282.2941960702</v>
      </c>
      <c r="X112" s="21">
        <f t="shared" si="230"/>
        <v>2.6478997263524682E-2</v>
      </c>
      <c r="Y112" s="38">
        <f t="shared" si="231"/>
        <v>6004201.0555860028</v>
      </c>
      <c r="Z112" s="2">
        <v>4792013.3754915996</v>
      </c>
      <c r="AA112" s="21">
        <f t="shared" si="232"/>
        <v>2.6647457189787269E-2</v>
      </c>
      <c r="AB112" s="38">
        <f t="shared" si="233"/>
        <v>6151163.1047333675</v>
      </c>
      <c r="AC112" s="2">
        <v>4878269.6162504489</v>
      </c>
      <c r="AD112" s="21">
        <f t="shared" si="234"/>
        <v>2.6614469286481573E-2</v>
      </c>
      <c r="AE112" s="38">
        <f t="shared" si="235"/>
        <v>6260275.7638896313</v>
      </c>
      <c r="AF112" s="2">
        <v>4952419.3144174563</v>
      </c>
      <c r="AG112" s="21">
        <f t="shared" si="236"/>
        <v>2.6722655903100339E-2</v>
      </c>
      <c r="AH112" s="38">
        <f t="shared" si="237"/>
        <v>6398866.5254520224</v>
      </c>
      <c r="AI112" s="2">
        <v>7541544.1319949031</v>
      </c>
      <c r="AJ112" s="21">
        <f t="shared" si="238"/>
        <v>2.6919018489222058E-2</v>
      </c>
      <c r="AK112" s="38">
        <f t="shared" si="239"/>
        <v>6561912.4334584968</v>
      </c>
      <c r="AL112" s="2">
        <v>51236420.836100452</v>
      </c>
    </row>
    <row r="113" spans="1:38" ht="12.75" x14ac:dyDescent="0.2">
      <c r="A113" s="8" t="s">
        <v>16</v>
      </c>
      <c r="B113" s="8" t="s">
        <v>17</v>
      </c>
      <c r="C113" s="8" t="s">
        <v>36</v>
      </c>
      <c r="D113" s="8" t="s">
        <v>130</v>
      </c>
      <c r="E113" s="8" t="s">
        <v>140</v>
      </c>
      <c r="F113" s="8" t="s">
        <v>188</v>
      </c>
      <c r="G113" s="8" t="s">
        <v>1120</v>
      </c>
      <c r="H113" s="34">
        <v>11552790.58780935</v>
      </c>
      <c r="I113" s="21">
        <f>H113/H$195</f>
        <v>3.5103733075364678E-2</v>
      </c>
      <c r="J113" s="38">
        <f>I113*J$203</f>
        <v>13014181.934779163</v>
      </c>
      <c r="K113" s="2">
        <v>11899374.305443631</v>
      </c>
      <c r="L113" s="21">
        <f>K113/K$195</f>
        <v>3.5148962866788661E-2</v>
      </c>
      <c r="M113" s="38">
        <f>L113*M$203</f>
        <v>11572526.642590245</v>
      </c>
      <c r="N113" s="2">
        <v>12208758.037385166</v>
      </c>
      <c r="O113" s="21">
        <f>N113/N$195</f>
        <v>5.3670877129149246E-2</v>
      </c>
      <c r="P113" s="38">
        <f>O113*P$203</f>
        <v>21480126.819063764</v>
      </c>
      <c r="Q113" s="2">
        <v>18815834.97572235</v>
      </c>
      <c r="R113" s="21">
        <f>Q113/Q$195</f>
        <v>5.6599590015598202E-2</v>
      </c>
      <c r="S113" s="38">
        <f>R113*S$203</f>
        <v>26706020.237809088</v>
      </c>
      <c r="T113" s="2">
        <v>12920206.683329346</v>
      </c>
      <c r="U113" s="21">
        <f>T113/T$195</f>
        <v>5.3601613868410398E-2</v>
      </c>
      <c r="V113" s="38">
        <f>U113*V$203</f>
        <v>25822571.962820563</v>
      </c>
      <c r="W113" s="2">
        <v>13281972.470462568</v>
      </c>
      <c r="X113" s="21">
        <f>W113/W$195</f>
        <v>5.0905474940083462E-2</v>
      </c>
      <c r="Y113" s="38">
        <f>X113*Y$203</f>
        <v>25014181.457848988</v>
      </c>
      <c r="Z113" s="2">
        <v>13653867.699635521</v>
      </c>
      <c r="AA113" s="21">
        <f>Z113/Z$195</f>
        <v>5.5038590465186728E-2</v>
      </c>
      <c r="AB113" s="38">
        <f>AA113*AB$203</f>
        <v>27531944.372073706</v>
      </c>
      <c r="AC113" s="2">
        <v>13899637.31822896</v>
      </c>
      <c r="AD113" s="21">
        <f>AC113/AC$195</f>
        <v>5.3831071079455367E-2</v>
      </c>
      <c r="AE113" s="38">
        <f>AD113*AE$203</f>
        <v>27439537.399522528</v>
      </c>
      <c r="AF113" s="2">
        <v>14110911.805466041</v>
      </c>
      <c r="AG113" s="21">
        <f>AF113/AF$195</f>
        <v>5.4494214033406756E-2</v>
      </c>
      <c r="AH113" s="38">
        <f>AG113*AH$203</f>
        <v>28277560.18819188</v>
      </c>
      <c r="AI113" s="2">
        <v>21488096.49736369</v>
      </c>
      <c r="AJ113" s="21">
        <f>AI113/AI$195</f>
        <v>5.17844958532152E-2</v>
      </c>
      <c r="AK113" s="38">
        <f>AJ113*AK$203</f>
        <v>27355148.25446789</v>
      </c>
      <c r="AL113" s="2">
        <v>143831450.38084662</v>
      </c>
    </row>
    <row r="114" spans="1:38" ht="12.75" x14ac:dyDescent="0.2">
      <c r="A114" s="8" t="s">
        <v>16</v>
      </c>
      <c r="B114" s="8" t="s">
        <v>17</v>
      </c>
      <c r="C114" s="8" t="s">
        <v>36</v>
      </c>
      <c r="D114" s="8" t="s">
        <v>130</v>
      </c>
      <c r="E114" s="8" t="s">
        <v>140</v>
      </c>
      <c r="F114" s="8" t="s">
        <v>189</v>
      </c>
      <c r="G114" s="8" t="s">
        <v>1121</v>
      </c>
      <c r="H114" s="34">
        <v>4199576.997355788</v>
      </c>
      <c r="I114" s="21">
        <f>H114/H$194</f>
        <v>2.7133864820134287E-2</v>
      </c>
      <c r="J114" s="38">
        <f>I114*J$202</f>
        <v>5095291.0939865606</v>
      </c>
      <c r="K114" s="2">
        <v>4325564.3072764622</v>
      </c>
      <c r="L114" s="21">
        <f>K114/K$194</f>
        <v>2.7133864820134294E-2</v>
      </c>
      <c r="M114" s="38">
        <f>L114*M$202</f>
        <v>5628808.0708874064</v>
      </c>
      <c r="N114" s="2">
        <v>4438028.9792656507</v>
      </c>
      <c r="O114" s="21">
        <f>N114/N$194</f>
        <v>2.6405855608166936E-2</v>
      </c>
      <c r="P114" s="38">
        <f>O114*P$202</f>
        <v>5620207.9946122766</v>
      </c>
      <c r="Q114" s="2">
        <v>6786739.1784833781</v>
      </c>
      <c r="R114" s="21">
        <f>Q114/Q$194</f>
        <v>2.7220789896415385E-2</v>
      </c>
      <c r="S114" s="38">
        <f>R114*S$202</f>
        <v>5926912.3048207732</v>
      </c>
      <c r="T114" s="2">
        <v>4614982.6413686965</v>
      </c>
      <c r="U114" s="21">
        <f>T114/T$194</f>
        <v>2.6582379807671336E-2</v>
      </c>
      <c r="V114" s="38">
        <f>U114*V$202</f>
        <v>5909454.3066200102</v>
      </c>
      <c r="W114" s="2">
        <v>4707282.2941960702</v>
      </c>
      <c r="X114" s="21">
        <f>W114/W$194</f>
        <v>2.6478997263524682E-2</v>
      </c>
      <c r="Y114" s="38">
        <f>X114*Y$202</f>
        <v>6004201.0555860028</v>
      </c>
      <c r="Z114" s="2">
        <v>4792013.3754915996</v>
      </c>
      <c r="AA114" s="21">
        <f>Z114/Z$194</f>
        <v>2.6647457189787269E-2</v>
      </c>
      <c r="AB114" s="38">
        <f>AA114*AB$202</f>
        <v>6151163.1047333675</v>
      </c>
      <c r="AC114" s="2">
        <v>4878269.6162504489</v>
      </c>
      <c r="AD114" s="21">
        <f>AC114/AC$194</f>
        <v>2.6614469286481573E-2</v>
      </c>
      <c r="AE114" s="38">
        <f>AD114*AE$202</f>
        <v>6260275.7638896313</v>
      </c>
      <c r="AF114" s="2">
        <v>4952419.3144174563</v>
      </c>
      <c r="AG114" s="21">
        <f>AF114/AF$194</f>
        <v>2.6722655903100339E-2</v>
      </c>
      <c r="AH114" s="38">
        <f>AG114*AH$202</f>
        <v>6398866.5254520224</v>
      </c>
      <c r="AI114" s="2">
        <v>7541544.1319949031</v>
      </c>
      <c r="AJ114" s="21">
        <f>AI114/AI$194</f>
        <v>2.6919018489222058E-2</v>
      </c>
      <c r="AK114" s="38">
        <f>AJ114*AK$202</f>
        <v>6561912.4334584968</v>
      </c>
      <c r="AL114" s="2">
        <v>51236420.836100452</v>
      </c>
    </row>
    <row r="115" spans="1:38" ht="12.75" x14ac:dyDescent="0.2">
      <c r="A115" s="8" t="s">
        <v>16</v>
      </c>
      <c r="B115" s="8" t="s">
        <v>17</v>
      </c>
      <c r="C115" s="8" t="s">
        <v>36</v>
      </c>
      <c r="D115" s="8" t="s">
        <v>130</v>
      </c>
      <c r="E115" s="8" t="s">
        <v>131</v>
      </c>
      <c r="F115" s="8" t="s">
        <v>188</v>
      </c>
      <c r="G115" s="8" t="s">
        <v>1122</v>
      </c>
      <c r="H115" s="34">
        <v>0</v>
      </c>
      <c r="I115" s="21">
        <f>H115/H$195</f>
        <v>0</v>
      </c>
      <c r="J115" s="38">
        <f>I115*J$203</f>
        <v>0</v>
      </c>
      <c r="K115" s="2">
        <v>0</v>
      </c>
      <c r="L115" s="21">
        <f>K115/K$195</f>
        <v>0</v>
      </c>
      <c r="M115" s="38">
        <f>L115*M$203</f>
        <v>0</v>
      </c>
      <c r="N115" s="2">
        <v>0</v>
      </c>
      <c r="O115" s="21">
        <f>N115/N$195</f>
        <v>0</v>
      </c>
      <c r="P115" s="38">
        <f>O115*P$203</f>
        <v>0</v>
      </c>
      <c r="Q115" s="2">
        <v>0</v>
      </c>
      <c r="R115" s="21">
        <f>Q115/Q$195</f>
        <v>0</v>
      </c>
      <c r="S115" s="38">
        <f>R115*S$203</f>
        <v>0</v>
      </c>
      <c r="T115" s="2">
        <v>0</v>
      </c>
      <c r="U115" s="21">
        <f>T115/T$195</f>
        <v>0</v>
      </c>
      <c r="V115" s="38">
        <f>U115*V$203</f>
        <v>0</v>
      </c>
      <c r="W115" s="2">
        <v>0</v>
      </c>
      <c r="X115" s="21">
        <f>W115/W$195</f>
        <v>0</v>
      </c>
      <c r="Y115" s="38">
        <f>X115*Y$203</f>
        <v>0</v>
      </c>
      <c r="Z115" s="2">
        <v>0</v>
      </c>
      <c r="AA115" s="21">
        <f>Z115/Z$195</f>
        <v>0</v>
      </c>
      <c r="AB115" s="38">
        <f>AA115*AB$203</f>
        <v>0</v>
      </c>
      <c r="AC115" s="2">
        <v>0</v>
      </c>
      <c r="AD115" s="21">
        <f>AC115/AC$195</f>
        <v>0</v>
      </c>
      <c r="AE115" s="38">
        <f>AD115*AE$203</f>
        <v>0</v>
      </c>
      <c r="AF115" s="2">
        <v>0</v>
      </c>
      <c r="AG115" s="21">
        <f>AF115/AF$195</f>
        <v>0</v>
      </c>
      <c r="AH115" s="38">
        <f>AG115*AH$203</f>
        <v>0</v>
      </c>
      <c r="AI115" s="2">
        <v>0</v>
      </c>
      <c r="AJ115" s="21">
        <f>AI115/AI$195</f>
        <v>0</v>
      </c>
      <c r="AK115" s="38">
        <f>AJ115*AK$203</f>
        <v>0</v>
      </c>
      <c r="AL115" s="2">
        <v>0</v>
      </c>
    </row>
    <row r="116" spans="1:38" ht="12.75" x14ac:dyDescent="0.2">
      <c r="A116" s="8" t="s">
        <v>16</v>
      </c>
      <c r="B116" s="8" t="s">
        <v>17</v>
      </c>
      <c r="C116" s="8" t="s">
        <v>36</v>
      </c>
      <c r="D116" s="8" t="s">
        <v>130</v>
      </c>
      <c r="E116" s="8" t="s">
        <v>131</v>
      </c>
      <c r="F116" s="8" t="s">
        <v>189</v>
      </c>
      <c r="G116" s="8" t="s">
        <v>1123</v>
      </c>
      <c r="H116" s="34">
        <v>8413878.0463855993</v>
      </c>
      <c r="I116" s="21">
        <f>H116/H$194</f>
        <v>5.4362863132993954E-2</v>
      </c>
      <c r="J116" s="38">
        <f>I116*J$202</f>
        <v>10208446.684661547</v>
      </c>
      <c r="K116" s="2">
        <v>8666294.3877771683</v>
      </c>
      <c r="L116" s="21">
        <f>K116/K$194</f>
        <v>5.4362863132993967E-2</v>
      </c>
      <c r="M116" s="38">
        <f>L116*M$202</f>
        <v>11277351.191507461</v>
      </c>
      <c r="N116" s="2">
        <v>8891618.0418593753</v>
      </c>
      <c r="O116" s="21">
        <f>N116/N$194</f>
        <v>5.2904292250737152E-2</v>
      </c>
      <c r="P116" s="38">
        <f>O116*P$202</f>
        <v>11260120.886404324</v>
      </c>
      <c r="Q116" s="2">
        <v>13597273.205453882</v>
      </c>
      <c r="R116" s="21">
        <f>Q116/Q$194</f>
        <v>5.4537018051801826E-2</v>
      </c>
      <c r="S116" s="38">
        <f>R116*S$202</f>
        <v>11874604.836578337</v>
      </c>
      <c r="T116" s="2">
        <v>9246145.7797086388</v>
      </c>
      <c r="U116" s="21">
        <f>T116/T$194</f>
        <v>5.3257959557659024E-2</v>
      </c>
      <c r="V116" s="38">
        <f>U116*V$202</f>
        <v>11839627.631043656</v>
      </c>
      <c r="W116" s="2">
        <v>9431068.6953028124</v>
      </c>
      <c r="X116" s="21">
        <f>W116/W$194</f>
        <v>5.3050832001925986E-2</v>
      </c>
      <c r="Y116" s="38">
        <f>X116*Y$202</f>
        <v>12029453.31862917</v>
      </c>
      <c r="Z116" s="2">
        <v>9600827.9318182636</v>
      </c>
      <c r="AA116" s="21">
        <f>Z116/Z$194</f>
        <v>5.3388342488379495E-2</v>
      </c>
      <c r="AB116" s="38">
        <f>AA116*AB$202</f>
        <v>12323892.677581612</v>
      </c>
      <c r="AC116" s="2">
        <v>9773642.834590992</v>
      </c>
      <c r="AD116" s="21">
        <f>AC116/AC$194</f>
        <v>5.3322251023549851E-2</v>
      </c>
      <c r="AE116" s="38">
        <f>AD116*AE$202</f>
        <v>12542500.553573808</v>
      </c>
      <c r="AF116" s="2">
        <v>9922202.2056767754</v>
      </c>
      <c r="AG116" s="21">
        <f>AF116/AF$194</f>
        <v>5.3539003567688107E-2</v>
      </c>
      <c r="AH116" s="38">
        <f>AG116*AH$202</f>
        <v>12820167.986954805</v>
      </c>
      <c r="AI116" s="2">
        <v>15109529.518804595</v>
      </c>
      <c r="AJ116" s="21">
        <f>AI116/AI$194</f>
        <v>5.3932417202809287E-2</v>
      </c>
      <c r="AK116" s="38">
        <f>AJ116*AK$202</f>
        <v>13146831.454916565</v>
      </c>
      <c r="AL116" s="2">
        <v>102652480.6473781</v>
      </c>
    </row>
    <row r="117" spans="1:38" ht="12.75" x14ac:dyDescent="0.2">
      <c r="A117" s="8" t="s">
        <v>16</v>
      </c>
      <c r="B117" s="8" t="s">
        <v>17</v>
      </c>
      <c r="C117" s="8" t="s">
        <v>36</v>
      </c>
      <c r="D117" s="8" t="s">
        <v>19</v>
      </c>
      <c r="E117" s="8" t="s">
        <v>41</v>
      </c>
      <c r="F117" s="8" t="s">
        <v>188</v>
      </c>
      <c r="G117" s="8" t="s">
        <v>1124</v>
      </c>
      <c r="H117" s="34">
        <v>24869009.49425089</v>
      </c>
      <c r="I117" s="21">
        <f>H117/H$195</f>
        <v>7.5565731456786592E-2</v>
      </c>
      <c r="J117" s="38">
        <f>I117*J$203</f>
        <v>28014860.274317682</v>
      </c>
      <c r="K117" s="2">
        <v>25615079.779078417</v>
      </c>
      <c r="L117" s="21">
        <f>K117/K$195</f>
        <v>7.5663094955570429E-2</v>
      </c>
      <c r="M117" s="38">
        <f>L117*M$203</f>
        <v>24911494.132918455</v>
      </c>
      <c r="N117" s="2">
        <v>0</v>
      </c>
      <c r="O117" s="21">
        <f>N117/N$195</f>
        <v>0</v>
      </c>
      <c r="P117" s="38">
        <f>O117*P$203</f>
        <v>0</v>
      </c>
      <c r="Q117" s="2">
        <v>0</v>
      </c>
      <c r="R117" s="21">
        <f>Q117/Q$195</f>
        <v>0</v>
      </c>
      <c r="S117" s="38">
        <f>R117*S$203</f>
        <v>0</v>
      </c>
      <c r="T117" s="2">
        <v>0</v>
      </c>
      <c r="U117" s="21">
        <f>T117/T$195</f>
        <v>0</v>
      </c>
      <c r="V117" s="38">
        <f>U117*V$203</f>
        <v>0</v>
      </c>
      <c r="W117" s="2">
        <v>0</v>
      </c>
      <c r="X117" s="21">
        <f>W117/W$195</f>
        <v>0</v>
      </c>
      <c r="Y117" s="38">
        <f>X117*Y$203</f>
        <v>0</v>
      </c>
      <c r="Z117" s="2">
        <v>0</v>
      </c>
      <c r="AA117" s="21">
        <f>Z117/Z$195</f>
        <v>0</v>
      </c>
      <c r="AB117" s="38">
        <f>AA117*AB$203</f>
        <v>0</v>
      </c>
      <c r="AC117" s="2">
        <v>129379.32322955651</v>
      </c>
      <c r="AD117" s="21">
        <f>AC117/AC$195</f>
        <v>5.0106541527153274E-4</v>
      </c>
      <c r="AE117" s="38">
        <f>AD117*AE$203</f>
        <v>255410.17346017135</v>
      </c>
      <c r="AF117" s="2">
        <v>24850.486710574121</v>
      </c>
      <c r="AG117" s="21">
        <f>AF117/AF$195</f>
        <v>9.5968833219961506E-5</v>
      </c>
      <c r="AH117" s="38">
        <f>AG117*AH$203</f>
        <v>49799.13015910978</v>
      </c>
      <c r="AI117" s="2">
        <v>0</v>
      </c>
      <c r="AJ117" s="21">
        <f>AI117/AI$195</f>
        <v>0</v>
      </c>
      <c r="AK117" s="38">
        <f>AJ117*AK$203</f>
        <v>0</v>
      </c>
      <c r="AL117" s="2">
        <v>154229.80994013062</v>
      </c>
    </row>
    <row r="118" spans="1:38" ht="12.75" x14ac:dyDescent="0.2">
      <c r="A118" s="8" t="s">
        <v>16</v>
      </c>
      <c r="B118" s="8" t="s">
        <v>17</v>
      </c>
      <c r="C118" s="8" t="s">
        <v>36</v>
      </c>
      <c r="D118" s="8" t="s">
        <v>19</v>
      </c>
      <c r="E118" s="8" t="s">
        <v>41</v>
      </c>
      <c r="F118" s="8" t="s">
        <v>189</v>
      </c>
      <c r="G118" s="8" t="s">
        <v>1125</v>
      </c>
      <c r="H118" s="34">
        <v>5296926.6869207909</v>
      </c>
      <c r="I118" s="21">
        <f>H118/H$194</f>
        <v>3.4223945120083733E-2</v>
      </c>
      <c r="J118" s="38">
        <f>I118*J$202</f>
        <v>6426690.9239575267</v>
      </c>
      <c r="K118" s="2">
        <v>5455834.4875284145</v>
      </c>
      <c r="L118" s="21">
        <f>K118/K$194</f>
        <v>3.4223945120083733E-2</v>
      </c>
      <c r="M118" s="38">
        <f>L118*M$202</f>
        <v>7099615.9148913138</v>
      </c>
      <c r="N118" s="2">
        <v>0</v>
      </c>
      <c r="O118" s="21">
        <f>N118/N$194</f>
        <v>0</v>
      </c>
      <c r="P118" s="38">
        <f>O118*P$202</f>
        <v>0</v>
      </c>
      <c r="Q118" s="2">
        <v>0</v>
      </c>
      <c r="R118" s="21">
        <f>Q118/Q$194</f>
        <v>0</v>
      </c>
      <c r="S118" s="38">
        <f>R118*S$202</f>
        <v>0</v>
      </c>
      <c r="T118" s="2">
        <v>0</v>
      </c>
      <c r="U118" s="21">
        <f>T118/T$194</f>
        <v>0</v>
      </c>
      <c r="V118" s="38">
        <f>U118*V$202</f>
        <v>0</v>
      </c>
      <c r="W118" s="2">
        <v>0</v>
      </c>
      <c r="X118" s="21">
        <f>W118/W$194</f>
        <v>0</v>
      </c>
      <c r="Y118" s="38">
        <f>X118*Y$202</f>
        <v>0</v>
      </c>
      <c r="Z118" s="2">
        <v>0</v>
      </c>
      <c r="AA118" s="21">
        <f>Z118/Z$194</f>
        <v>0</v>
      </c>
      <c r="AB118" s="38">
        <f>AA118*AB$202</f>
        <v>0</v>
      </c>
      <c r="AC118" s="2">
        <v>0</v>
      </c>
      <c r="AD118" s="21">
        <f>AC118/AC$194</f>
        <v>0</v>
      </c>
      <c r="AE118" s="38">
        <f>AD118*AE$202</f>
        <v>0</v>
      </c>
      <c r="AF118" s="2">
        <v>0</v>
      </c>
      <c r="AG118" s="21">
        <f>AF118/AF$194</f>
        <v>0</v>
      </c>
      <c r="AH118" s="38">
        <f>AG118*AH$202</f>
        <v>0</v>
      </c>
      <c r="AI118" s="2">
        <v>0</v>
      </c>
      <c r="AJ118" s="21">
        <f>AI118/AI$194</f>
        <v>0</v>
      </c>
      <c r="AK118" s="38">
        <f>AJ118*AK$202</f>
        <v>0</v>
      </c>
      <c r="AL118" s="2">
        <v>264231.94164405949</v>
      </c>
    </row>
    <row r="119" spans="1:38" ht="12.75" x14ac:dyDescent="0.2">
      <c r="A119" s="8" t="s">
        <v>16</v>
      </c>
      <c r="B119" s="8" t="s">
        <v>17</v>
      </c>
      <c r="C119" s="8" t="s">
        <v>36</v>
      </c>
      <c r="D119" s="8" t="s">
        <v>19</v>
      </c>
      <c r="E119" s="8" t="s">
        <v>42</v>
      </c>
      <c r="F119" s="8" t="s">
        <v>188</v>
      </c>
      <c r="G119" s="8" t="s">
        <v>1126</v>
      </c>
      <c r="H119" s="34">
        <v>8083958.6459977953</v>
      </c>
      <c r="I119" s="21">
        <f>H119/H$195</f>
        <v>2.4563513407820117E-2</v>
      </c>
      <c r="J119" s="38">
        <f>I119*J$203</f>
        <v>9106553.7605486531</v>
      </c>
      <c r="K119" s="2">
        <v>8326477.4053777298</v>
      </c>
      <c r="L119" s="21">
        <f>K119/K$195</f>
        <v>2.4595162537150345E-2</v>
      </c>
      <c r="M119" s="38">
        <f>L119*M$203</f>
        <v>8097768.7682770174</v>
      </c>
      <c r="N119" s="2">
        <v>1096851.9597961293</v>
      </c>
      <c r="O119" s="21">
        <f>N119/N$195</f>
        <v>4.8218669403405573E-3</v>
      </c>
      <c r="P119" s="38">
        <f>O119*P$203</f>
        <v>1929804.7455780033</v>
      </c>
      <c r="Q119" s="2">
        <v>1102600.1606555586</v>
      </c>
      <c r="R119" s="21">
        <f>Q119/Q$195</f>
        <v>3.3167126053539114E-3</v>
      </c>
      <c r="S119" s="38">
        <f>R119*S$203</f>
        <v>1564961.7592135821</v>
      </c>
      <c r="T119" s="2">
        <v>1105613.3526732796</v>
      </c>
      <c r="U119" s="21">
        <f>T119/T$195</f>
        <v>4.5868198141301459E-3</v>
      </c>
      <c r="V119" s="38">
        <f>U119*V$203</f>
        <v>2209699.973244098</v>
      </c>
      <c r="W119" s="2">
        <v>1108820.4222642356</v>
      </c>
      <c r="X119" s="21">
        <f>W119/W$195</f>
        <v>4.2497475690565865E-3</v>
      </c>
      <c r="Y119" s="38">
        <f>X119*Y$203</f>
        <v>2088261.7629548786</v>
      </c>
      <c r="Z119" s="2">
        <v>1108342.3917773864</v>
      </c>
      <c r="AA119" s="21">
        <f>Z119/Z$195</f>
        <v>4.4677159862820046E-3</v>
      </c>
      <c r="AB119" s="38">
        <f>AA119*AB$203</f>
        <v>2234884.7774788891</v>
      </c>
      <c r="AC119" s="2">
        <v>932000</v>
      </c>
      <c r="AD119" s="21">
        <f>AC119/AC$195</f>
        <v>3.6094868590747478E-3</v>
      </c>
      <c r="AE119" s="38">
        <f>AD119*AE$203</f>
        <v>1839878.8594876442</v>
      </c>
      <c r="AF119" s="2">
        <v>932000</v>
      </c>
      <c r="AG119" s="21">
        <f>AF119/AF$195</f>
        <v>3.599243491796291E-3</v>
      </c>
      <c r="AH119" s="38">
        <f>AG119*AH$203</f>
        <v>1867681.2993180221</v>
      </c>
      <c r="AI119" s="2">
        <v>1282008.0990948137</v>
      </c>
      <c r="AJ119" s="21">
        <f>AI119/AI$195</f>
        <v>3.0895311317830614E-3</v>
      </c>
      <c r="AK119" s="38">
        <f>AJ119*AK$203</f>
        <v>1632044.1235206553</v>
      </c>
      <c r="AL119" s="2">
        <v>11550673.441960167</v>
      </c>
    </row>
    <row r="120" spans="1:38" ht="12.75" x14ac:dyDescent="0.2">
      <c r="A120" s="8" t="s">
        <v>16</v>
      </c>
      <c r="B120" s="8" t="s">
        <v>17</v>
      </c>
      <c r="C120" s="8" t="s">
        <v>36</v>
      </c>
      <c r="D120" s="8" t="s">
        <v>19</v>
      </c>
      <c r="E120" s="8" t="s">
        <v>42</v>
      </c>
      <c r="F120" s="8" t="s">
        <v>189</v>
      </c>
      <c r="G120" s="8" t="s">
        <v>1127</v>
      </c>
      <c r="H120" s="34">
        <v>-37175864.746169493</v>
      </c>
      <c r="I120" s="21">
        <f>H120/H$194</f>
        <v>-0.24019678392116398</v>
      </c>
      <c r="J120" s="38">
        <f>I120*J$202</f>
        <v>-45104983.82853166</v>
      </c>
      <c r="K120" s="2">
        <v>-38291140.688554578</v>
      </c>
      <c r="L120" s="21">
        <f>K120/K$194</f>
        <v>-0.240196783921164</v>
      </c>
      <c r="M120" s="38">
        <f>L120*M$202</f>
        <v>-49827829.721234478</v>
      </c>
      <c r="N120" s="2">
        <v>0</v>
      </c>
      <c r="O120" s="21">
        <f>N120/N$194</f>
        <v>0</v>
      </c>
      <c r="P120" s="38">
        <f>O120*P$202</f>
        <v>0</v>
      </c>
      <c r="Q120" s="2">
        <v>0</v>
      </c>
      <c r="R120" s="21">
        <f>Q120/Q$194</f>
        <v>0</v>
      </c>
      <c r="S120" s="38">
        <f>R120*S$202</f>
        <v>0</v>
      </c>
      <c r="T120" s="2">
        <v>0</v>
      </c>
      <c r="U120" s="21">
        <f>T120/T$194</f>
        <v>0</v>
      </c>
      <c r="V120" s="38">
        <f>U120*V$202</f>
        <v>0</v>
      </c>
      <c r="W120" s="2">
        <v>0</v>
      </c>
      <c r="X120" s="21">
        <f>W120/W$194</f>
        <v>0</v>
      </c>
      <c r="Y120" s="38">
        <f>X120*Y$202</f>
        <v>0</v>
      </c>
      <c r="Z120" s="2">
        <v>0</v>
      </c>
      <c r="AA120" s="21">
        <f>Z120/Z$194</f>
        <v>0</v>
      </c>
      <c r="AB120" s="38">
        <f>AA120*AB$202</f>
        <v>0</v>
      </c>
      <c r="AC120" s="2">
        <v>0</v>
      </c>
      <c r="AD120" s="21">
        <f>AC120/AC$194</f>
        <v>0</v>
      </c>
      <c r="AE120" s="38">
        <f>AD120*AE$202</f>
        <v>0</v>
      </c>
      <c r="AF120" s="2">
        <v>0</v>
      </c>
      <c r="AG120" s="21">
        <f>AF120/AF$194</f>
        <v>0</v>
      </c>
      <c r="AH120" s="38">
        <f>AG120*AH$202</f>
        <v>0</v>
      </c>
      <c r="AI120" s="2">
        <v>0</v>
      </c>
      <c r="AJ120" s="21">
        <f>AI120/AI$194</f>
        <v>0</v>
      </c>
      <c r="AK120" s="38">
        <f>AJ120*AK$202</f>
        <v>0</v>
      </c>
      <c r="AL120" s="2">
        <v>0</v>
      </c>
    </row>
    <row r="121" spans="1:38" ht="12.75" x14ac:dyDescent="0.2">
      <c r="A121" s="8" t="s">
        <v>16</v>
      </c>
      <c r="B121" s="8" t="s">
        <v>17</v>
      </c>
      <c r="C121" s="8" t="s">
        <v>36</v>
      </c>
      <c r="D121" s="8" t="s">
        <v>19</v>
      </c>
      <c r="E121" s="8" t="s">
        <v>42</v>
      </c>
      <c r="F121" s="8" t="s">
        <v>191</v>
      </c>
      <c r="G121" s="8" t="s">
        <v>1128</v>
      </c>
      <c r="H121" s="34">
        <v>7200044.6797000002</v>
      </c>
      <c r="I121" s="21">
        <f>H121/H$196</f>
        <v>0.32489495065490998</v>
      </c>
      <c r="J121" s="38">
        <f>I121*J$204</f>
        <v>7221841.0405589845</v>
      </c>
      <c r="K121" s="2">
        <v>7380045.7966925008</v>
      </c>
      <c r="L121" s="21">
        <f>K121/K$196</f>
        <v>0.32489495065490998</v>
      </c>
      <c r="M121" s="38">
        <f>L121*M$204</f>
        <v>9361410.2689052653</v>
      </c>
      <c r="N121" s="2">
        <v>74372.263425142519</v>
      </c>
      <c r="O121" s="21">
        <f>N121/N$196</f>
        <v>4.7275896245370088E-3</v>
      </c>
      <c r="P121" s="38">
        <f>O121*P$204</f>
        <v>139760.82276559921</v>
      </c>
      <c r="Q121" s="2">
        <v>0</v>
      </c>
      <c r="R121" s="21">
        <f>Q121/Q$196</f>
        <v>0</v>
      </c>
      <c r="S121" s="38">
        <f>R121*S$204</f>
        <v>0</v>
      </c>
      <c r="T121" s="2">
        <v>66845.147241197425</v>
      </c>
      <c r="U121" s="21">
        <f>T121/T$196</f>
        <v>4.1208191786858547E-3</v>
      </c>
      <c r="V121" s="38">
        <f>U121*V$204</f>
        <v>127242.0366002096</v>
      </c>
      <c r="W121" s="2">
        <v>85352.805874512473</v>
      </c>
      <c r="X121" s="21">
        <f>W121/W$196</f>
        <v>5.1937711120044047E-3</v>
      </c>
      <c r="Y121" s="38">
        <f>X121*Y$204</f>
        <v>163579.93519323444</v>
      </c>
      <c r="Z121" s="2">
        <v>0</v>
      </c>
      <c r="AA121" s="21">
        <f>Z121/Z$196</f>
        <v>0</v>
      </c>
      <c r="AB121" s="38">
        <f>AA121*AB$204</f>
        <v>0</v>
      </c>
      <c r="AC121" s="2">
        <v>56313.010534252382</v>
      </c>
      <c r="AD121" s="21">
        <f>AC121/AC$196</f>
        <v>3.3653364870439195E-3</v>
      </c>
      <c r="AE121" s="38">
        <f>AD121*AE$204</f>
        <v>109950.61970912229</v>
      </c>
      <c r="AF121" s="2">
        <v>12817.619461243494</v>
      </c>
      <c r="AG121" s="21">
        <f>AF121/AF$196</f>
        <v>7.6402349887107147E-4</v>
      </c>
      <c r="AH121" s="38">
        <f>AG121*AH$204</f>
        <v>25411.112662470772</v>
      </c>
      <c r="AI121" s="2">
        <v>0</v>
      </c>
      <c r="AJ121" s="21">
        <f>AI121/AI$196</f>
        <v>0</v>
      </c>
      <c r="AK121" s="38">
        <f>AJ121*AK$204</f>
        <v>0</v>
      </c>
      <c r="AL121" s="2">
        <v>444014.00453423336</v>
      </c>
    </row>
    <row r="122" spans="1:38" ht="12.75" x14ac:dyDescent="0.2">
      <c r="A122" s="8" t="s">
        <v>16</v>
      </c>
      <c r="B122" s="8" t="s">
        <v>17</v>
      </c>
      <c r="C122" s="8" t="s">
        <v>36</v>
      </c>
      <c r="D122" s="8" t="s">
        <v>19</v>
      </c>
      <c r="E122" s="8" t="s">
        <v>44</v>
      </c>
      <c r="F122" s="8" t="s">
        <v>188</v>
      </c>
      <c r="G122" s="8" t="s">
        <v>1129</v>
      </c>
      <c r="H122" s="34">
        <v>15884203.452818474</v>
      </c>
      <c r="I122" s="21">
        <f>H122/H$195</f>
        <v>4.8264948099284923E-2</v>
      </c>
      <c r="J122" s="38">
        <f>I122*J$203</f>
        <v>17893504.781620506</v>
      </c>
      <c r="K122" s="2">
        <v>16360729.556403028</v>
      </c>
      <c r="L122" s="21">
        <f>K122/K$195</f>
        <v>4.8327135603130546E-2</v>
      </c>
      <c r="M122" s="38">
        <f>L122*M$203</f>
        <v>15911339.018646741</v>
      </c>
      <c r="N122" s="2">
        <v>2785016.8272411446</v>
      </c>
      <c r="O122" s="21">
        <f>N122/N$195</f>
        <v>1.2243202419096062E-2</v>
      </c>
      <c r="P122" s="38">
        <f>O122*P$203</f>
        <v>4899967.2578636007</v>
      </c>
      <c r="Q122" s="2">
        <v>1135610.7957702137</v>
      </c>
      <c r="R122" s="21">
        <f>Q122/Q$195</f>
        <v>3.4160113298620041E-3</v>
      </c>
      <c r="S122" s="38">
        <f>R122*S$203</f>
        <v>1611814.9916410772</v>
      </c>
      <c r="T122" s="2">
        <v>5347816.0687923972</v>
      </c>
      <c r="U122" s="21">
        <f>T122/T$195</f>
        <v>2.2186299258552158E-2</v>
      </c>
      <c r="V122" s="38">
        <f>U122*V$203</f>
        <v>10688247.383727994</v>
      </c>
      <c r="W122" s="2">
        <v>19742290.65174697</v>
      </c>
      <c r="X122" s="21">
        <f>W122/W$195</f>
        <v>7.5665770597501389E-2</v>
      </c>
      <c r="Y122" s="38">
        <f>X122*Y$203</f>
        <v>37181016.739390649</v>
      </c>
      <c r="Z122" s="2">
        <v>1071870.7970233657</v>
      </c>
      <c r="AA122" s="21">
        <f>Z122/Z$195</f>
        <v>4.3206993891215986E-3</v>
      </c>
      <c r="AB122" s="38">
        <f>AA122*AB$203</f>
        <v>2161342.6910885754</v>
      </c>
      <c r="AC122" s="2">
        <v>6852003.5889836624</v>
      </c>
      <c r="AD122" s="21">
        <f>AC122/AC$195</f>
        <v>2.6536713425718391E-2</v>
      </c>
      <c r="AE122" s="38">
        <f>AD122*AE$203</f>
        <v>13526670.116421144</v>
      </c>
      <c r="AF122" s="2">
        <v>4692641.3964071935</v>
      </c>
      <c r="AG122" s="21">
        <f>AF122/AF$195</f>
        <v>1.8122273610893185E-2</v>
      </c>
      <c r="AH122" s="38">
        <f>AG122*AH$203</f>
        <v>9403818.219394125</v>
      </c>
      <c r="AI122" s="2">
        <v>39768878.25496953</v>
      </c>
      <c r="AJ122" s="21">
        <f>AI122/AI$195</f>
        <v>9.58396343451898E-2</v>
      </c>
      <c r="AK122" s="38">
        <f>AJ122*AK$203</f>
        <v>50627265.226216987</v>
      </c>
      <c r="AL122" s="2">
        <v>85887100.296119213</v>
      </c>
    </row>
    <row r="123" spans="1:38" ht="12.75" x14ac:dyDescent="0.2">
      <c r="A123" s="8" t="s">
        <v>16</v>
      </c>
      <c r="B123" s="8" t="s">
        <v>17</v>
      </c>
      <c r="C123" s="8" t="s">
        <v>36</v>
      </c>
      <c r="D123" s="8" t="s">
        <v>19</v>
      </c>
      <c r="E123" s="8" t="s">
        <v>44</v>
      </c>
      <c r="F123" s="8" t="s">
        <v>189</v>
      </c>
      <c r="G123" s="8" t="s">
        <v>1130</v>
      </c>
      <c r="H123" s="34">
        <v>4197720.2261782754</v>
      </c>
      <c r="I123" s="21">
        <f>H123/H$194</f>
        <v>2.7121868045658127E-2</v>
      </c>
      <c r="J123" s="38">
        <f>I123*J$202</f>
        <v>5093038.2981334766</v>
      </c>
      <c r="K123" s="2">
        <v>4323651.832963624</v>
      </c>
      <c r="L123" s="21">
        <f>K123/K$194</f>
        <v>2.712186804565813E-2</v>
      </c>
      <c r="M123" s="38">
        <f>L123*M$202</f>
        <v>5626319.3896234697</v>
      </c>
      <c r="N123" s="2">
        <v>10806.521690849455</v>
      </c>
      <c r="O123" s="21">
        <f>N123/N$194</f>
        <v>6.4297789115002967E-5</v>
      </c>
      <c r="P123" s="38">
        <f>O123*P$202</f>
        <v>13685.10658326362</v>
      </c>
      <c r="Q123" s="2">
        <v>355564.31929040636</v>
      </c>
      <c r="R123" s="21">
        <f>Q123/Q$194</f>
        <v>1.4261254743296325E-3</v>
      </c>
      <c r="S123" s="38">
        <f>R123*S$202</f>
        <v>310517.0957267388</v>
      </c>
      <c r="T123" s="2">
        <v>200323.09923839956</v>
      </c>
      <c r="U123" s="21">
        <f>T123/T$194</f>
        <v>1.153864515214229E-3</v>
      </c>
      <c r="V123" s="38">
        <f>U123*V$202</f>
        <v>256512.38444501284</v>
      </c>
      <c r="W123" s="2">
        <v>1066437.9962663043</v>
      </c>
      <c r="X123" s="21">
        <f>W123/W$194</f>
        <v>5.9988347883174606E-3</v>
      </c>
      <c r="Y123" s="38">
        <f>X123*Y$202</f>
        <v>1360255.821239783</v>
      </c>
      <c r="Z123" s="2">
        <v>0</v>
      </c>
      <c r="AA123" s="21">
        <f>Z123/Z$194</f>
        <v>0</v>
      </c>
      <c r="AB123" s="38">
        <f>AA123*AB$202</f>
        <v>0</v>
      </c>
      <c r="AC123" s="2">
        <v>526115.73712428834</v>
      </c>
      <c r="AD123" s="21">
        <f>AC123/AC$194</f>
        <v>2.8703397368986484E-3</v>
      </c>
      <c r="AE123" s="38">
        <f>AD123*AE$202</f>
        <v>675163.50206401059</v>
      </c>
      <c r="AF123" s="2">
        <v>0</v>
      </c>
      <c r="AG123" s="21">
        <f>AF123/AF$194</f>
        <v>0</v>
      </c>
      <c r="AH123" s="38">
        <f>AG123*AH$202</f>
        <v>0</v>
      </c>
      <c r="AI123" s="2">
        <v>3541720.4642495238</v>
      </c>
      <c r="AJ123" s="21">
        <f>AI123/AI$194</f>
        <v>1.2641925445521413E-2</v>
      </c>
      <c r="AK123" s="38">
        <f>AJ123*AK$202</f>
        <v>3081657.9659855068</v>
      </c>
      <c r="AL123" s="2">
        <v>7423074.306086855</v>
      </c>
    </row>
    <row r="124" spans="1:38" ht="12.75" x14ac:dyDescent="0.2">
      <c r="A124" s="8" t="s">
        <v>16</v>
      </c>
      <c r="B124" s="8" t="s">
        <v>17</v>
      </c>
      <c r="C124" s="8" t="s">
        <v>36</v>
      </c>
      <c r="D124" s="8" t="s">
        <v>19</v>
      </c>
      <c r="E124" s="8" t="s">
        <v>150</v>
      </c>
      <c r="F124" s="8" t="s">
        <v>188</v>
      </c>
      <c r="G124" s="8" t="s">
        <v>1131</v>
      </c>
      <c r="H124" s="34">
        <v>4956135.0556671303</v>
      </c>
      <c r="I124" s="21">
        <f t="shared" ref="I124:I125" si="240">H124/H$195</f>
        <v>1.5059464703115215E-2</v>
      </c>
      <c r="J124" s="38">
        <f t="shared" ref="J124:J125" si="241">I124*J$203</f>
        <v>5583070.4120829599</v>
      </c>
      <c r="K124" s="2">
        <v>5104819.1073371442</v>
      </c>
      <c r="L124" s="21">
        <f t="shared" ref="L124:L125" si="242">K124/K$195</f>
        <v>1.50788682362385E-2</v>
      </c>
      <c r="M124" s="38">
        <f t="shared" ref="M124:M125" si="243">L124*M$203</f>
        <v>4964601.8024861524</v>
      </c>
      <c r="N124" s="2">
        <v>50000</v>
      </c>
      <c r="O124" s="21">
        <f t="shared" ref="O124:O125" si="244">N124/N$195</f>
        <v>2.1980481947795366E-4</v>
      </c>
      <c r="P124" s="38">
        <f t="shared" ref="P124:P125" si="245">O124*P$203</f>
        <v>87970.155331476737</v>
      </c>
      <c r="Q124" s="2">
        <v>50000</v>
      </c>
      <c r="R124" s="21">
        <f t="shared" ref="R124:R125" si="246">Q124/Q$195</f>
        <v>1.5040414121570312E-4</v>
      </c>
      <c r="S124" s="38">
        <f t="shared" ref="S124:S125" si="247">R124*S$203</f>
        <v>70966.875167291975</v>
      </c>
      <c r="T124" s="2">
        <v>50000</v>
      </c>
      <c r="U124" s="21">
        <f t="shared" ref="U124:U125" si="248">T124/T$195</f>
        <v>2.0743326783452838E-4</v>
      </c>
      <c r="V124" s="38">
        <f t="shared" ref="V124:V125" si="249">U124*V$203</f>
        <v>99930.955424029118</v>
      </c>
      <c r="W124" s="2">
        <v>50000</v>
      </c>
      <c r="X124" s="21">
        <f t="shared" ref="X124:X125" si="250">W124/W$195</f>
        <v>1.9163371650291708E-4</v>
      </c>
      <c r="Y124" s="38">
        <f t="shared" ref="Y124:Y125" si="251">X124*Y$203</f>
        <v>94165.913660329345</v>
      </c>
      <c r="Z124" s="2">
        <v>50000</v>
      </c>
      <c r="AA124" s="21">
        <f t="shared" ref="AA124:AA125" si="252">Z124/Z$195</f>
        <v>2.0154944985535469E-4</v>
      </c>
      <c r="AB124" s="38">
        <f t="shared" ref="AB124:AB125" si="253">AA124*AB$203</f>
        <v>100821.0456470464</v>
      </c>
      <c r="AC124" s="2">
        <v>50000</v>
      </c>
      <c r="AD124" s="21">
        <f t="shared" ref="AD124:AD125" si="254">AC124/AC$195</f>
        <v>1.9364199887740065E-4</v>
      </c>
      <c r="AE124" s="38">
        <f t="shared" ref="AE124:AE125" si="255">AD124*AE$203</f>
        <v>98705.947397405806</v>
      </c>
      <c r="AF124" s="2">
        <v>50000</v>
      </c>
      <c r="AG124" s="21">
        <f t="shared" ref="AG124:AG125" si="256">AF124/AF$195</f>
        <v>1.9309246200623878E-4</v>
      </c>
      <c r="AH124" s="38">
        <f t="shared" ref="AH124:AH125" si="257">AG124*AH$203</f>
        <v>100197.49459860634</v>
      </c>
      <c r="AI124" s="2">
        <v>50000</v>
      </c>
      <c r="AJ124" s="21">
        <f t="shared" ref="AJ124:AJ125" si="258">AI124/AI$195</f>
        <v>1.2049577276323309E-4</v>
      </c>
      <c r="AK124" s="38">
        <f t="shared" ref="AK124:AK125" si="259">AJ124*AK$203</f>
        <v>63651.86478435633</v>
      </c>
      <c r="AL124" s="2">
        <v>500000</v>
      </c>
    </row>
    <row r="125" spans="1:38" ht="12.75" x14ac:dyDescent="0.2">
      <c r="A125" s="8" t="s">
        <v>16</v>
      </c>
      <c r="B125" s="8" t="s">
        <v>17</v>
      </c>
      <c r="C125" s="8" t="s">
        <v>36</v>
      </c>
      <c r="D125" s="8" t="s">
        <v>31</v>
      </c>
      <c r="E125" s="8" t="s">
        <v>127</v>
      </c>
      <c r="F125" s="8" t="s">
        <v>188</v>
      </c>
      <c r="G125" s="8" t="s">
        <v>1132</v>
      </c>
      <c r="H125" s="34">
        <v>12097271.005105715</v>
      </c>
      <c r="I125" s="21">
        <f t="shared" si="240"/>
        <v>3.6758164105535285E-2</v>
      </c>
      <c r="J125" s="38">
        <f t="shared" si="241"/>
        <v>13627537.396973427</v>
      </c>
      <c r="K125" s="2">
        <v>12343189.135258887</v>
      </c>
      <c r="L125" s="21">
        <f t="shared" si="242"/>
        <v>3.6459925155433545E-2</v>
      </c>
      <c r="M125" s="38">
        <f t="shared" si="243"/>
        <v>12004150.928924702</v>
      </c>
      <c r="N125" s="2">
        <v>0</v>
      </c>
      <c r="O125" s="21">
        <f t="shared" si="244"/>
        <v>0</v>
      </c>
      <c r="P125" s="38">
        <f t="shared" si="245"/>
        <v>0</v>
      </c>
      <c r="Q125" s="2">
        <v>0</v>
      </c>
      <c r="R125" s="21">
        <f t="shared" si="246"/>
        <v>0</v>
      </c>
      <c r="S125" s="38">
        <f t="shared" si="247"/>
        <v>0</v>
      </c>
      <c r="T125" s="2">
        <v>0</v>
      </c>
      <c r="U125" s="21">
        <f t="shared" si="248"/>
        <v>0</v>
      </c>
      <c r="V125" s="38">
        <f t="shared" si="249"/>
        <v>0</v>
      </c>
      <c r="W125" s="2">
        <v>0</v>
      </c>
      <c r="X125" s="21">
        <f t="shared" si="250"/>
        <v>0</v>
      </c>
      <c r="Y125" s="38">
        <f t="shared" si="251"/>
        <v>0</v>
      </c>
      <c r="Z125" s="2">
        <v>0</v>
      </c>
      <c r="AA125" s="21">
        <f t="shared" si="252"/>
        <v>0</v>
      </c>
      <c r="AB125" s="38">
        <f t="shared" si="253"/>
        <v>0</v>
      </c>
      <c r="AC125" s="2">
        <v>154727.10900514311</v>
      </c>
      <c r="AD125" s="21">
        <f t="shared" si="254"/>
        <v>5.9923333336554731E-4</v>
      </c>
      <c r="AE125" s="38">
        <f t="shared" si="255"/>
        <v>305449.71764828655</v>
      </c>
      <c r="AF125" s="2">
        <v>0</v>
      </c>
      <c r="AG125" s="21">
        <f t="shared" si="256"/>
        <v>0</v>
      </c>
      <c r="AH125" s="38">
        <f t="shared" si="257"/>
        <v>0</v>
      </c>
      <c r="AI125" s="2">
        <v>0</v>
      </c>
      <c r="AJ125" s="21">
        <f t="shared" si="258"/>
        <v>0</v>
      </c>
      <c r="AK125" s="38">
        <f t="shared" si="259"/>
        <v>0</v>
      </c>
      <c r="AL125" s="2">
        <v>154727.10900514311</v>
      </c>
    </row>
    <row r="126" spans="1:38" ht="12.75" x14ac:dyDescent="0.2">
      <c r="A126" s="8" t="s">
        <v>16</v>
      </c>
      <c r="B126" s="8" t="s">
        <v>17</v>
      </c>
      <c r="C126" s="8" t="s">
        <v>36</v>
      </c>
      <c r="D126" s="8" t="s">
        <v>31</v>
      </c>
      <c r="E126" s="8" t="s">
        <v>127</v>
      </c>
      <c r="F126" s="8" t="s">
        <v>189</v>
      </c>
      <c r="G126" s="8" t="s">
        <v>1133</v>
      </c>
      <c r="H126" s="34">
        <v>10275560.743027395</v>
      </c>
      <c r="I126" s="21">
        <f>H126/H$194</f>
        <v>6.639137139953305E-2</v>
      </c>
      <c r="J126" s="38">
        <f>I126*J$202</f>
        <v>12467201.618789542</v>
      </c>
      <c r="K126" s="2">
        <v>10583827.565318218</v>
      </c>
      <c r="L126" s="21">
        <f>K126/K$194</f>
        <v>6.6391371399533064E-2</v>
      </c>
      <c r="M126" s="38">
        <f>L126*M$202</f>
        <v>13772615.499052428</v>
      </c>
      <c r="N126" s="2">
        <v>2698633.7236810327</v>
      </c>
      <c r="O126" s="21">
        <f>N126/N$194</f>
        <v>1.6056617200963474E-2</v>
      </c>
      <c r="P126" s="38">
        <f>O126*P$202</f>
        <v>3417481.7017242783</v>
      </c>
      <c r="Q126" s="2">
        <v>2760980.7439594194</v>
      </c>
      <c r="R126" s="21">
        <f>Q126/Q$194</f>
        <v>1.1073959785819118E-2</v>
      </c>
      <c r="S126" s="38">
        <f>R126*S$202</f>
        <v>2411186.037121756</v>
      </c>
      <c r="T126" s="2">
        <v>2724752.6112736054</v>
      </c>
      <c r="U126" s="21">
        <f>T126/T$194</f>
        <v>1.5694622152108043E-2</v>
      </c>
      <c r="V126" s="38">
        <f>U126*V$202</f>
        <v>3489027.4361659368</v>
      </c>
      <c r="W126" s="2">
        <v>2725779.4781108517</v>
      </c>
      <c r="X126" s="21">
        <f>W126/W$194</f>
        <v>1.5332818987902973E-2</v>
      </c>
      <c r="Y126" s="38">
        <f>X126*Y$202</f>
        <v>3476767.9091493525</v>
      </c>
      <c r="Z126" s="2">
        <v>2813575.6663819756</v>
      </c>
      <c r="AA126" s="21">
        <f>Z126/Z$194</f>
        <v>1.5645748716727952E-2</v>
      </c>
      <c r="AB126" s="38">
        <f>AA126*AB$202</f>
        <v>3611584.8340362683</v>
      </c>
      <c r="AC126" s="2">
        <v>2734425.3673820663</v>
      </c>
      <c r="AD126" s="21">
        <f>AC126/AC$194</f>
        <v>1.4918257021698375E-2</v>
      </c>
      <c r="AE126" s="38">
        <f>AD126*AE$202</f>
        <v>3509083.7945001572</v>
      </c>
      <c r="AF126" s="2">
        <v>2717494.9118847451</v>
      </c>
      <c r="AG126" s="21">
        <f>AF126/AF$194</f>
        <v>1.4663274015856232E-2</v>
      </c>
      <c r="AH126" s="38">
        <f>AG126*AH$202</f>
        <v>3511190.4143744563</v>
      </c>
      <c r="AI126" s="2">
        <v>2974268.1512810513</v>
      </c>
      <c r="AJ126" s="21">
        <f>AI126/AI$194</f>
        <v>1.0616443788556092E-2</v>
      </c>
      <c r="AK126" s="38">
        <f>AJ126*AK$202</f>
        <v>2587916.5885313335</v>
      </c>
      <c r="AL126" s="2">
        <v>27550269.830749765</v>
      </c>
    </row>
    <row r="127" spans="1:38" ht="12.75" x14ac:dyDescent="0.2">
      <c r="A127" s="8" t="s">
        <v>16</v>
      </c>
      <c r="B127" s="8" t="s">
        <v>17</v>
      </c>
      <c r="C127" s="8" t="s">
        <v>36</v>
      </c>
      <c r="D127" s="8" t="s">
        <v>31</v>
      </c>
      <c r="E127" s="8" t="s">
        <v>127</v>
      </c>
      <c r="F127" s="8" t="s">
        <v>192</v>
      </c>
      <c r="G127" s="8" t="s">
        <v>1134</v>
      </c>
      <c r="H127" s="34">
        <v>10972924.458320323</v>
      </c>
      <c r="I127" s="21">
        <f t="shared" ref="I127:I128" si="260">H127/H$193</f>
        <v>1.2560744607412199E-2</v>
      </c>
      <c r="J127" s="38">
        <f t="shared" ref="J127:J128" si="261">I127*J$201</f>
        <v>10581858.65370445</v>
      </c>
      <c r="K127" s="2">
        <v>11302112.192069933</v>
      </c>
      <c r="L127" s="21">
        <f t="shared" ref="L127:L128" ca="1" si="262">K127/K$193</f>
        <v>1.2579886471809658E-2</v>
      </c>
      <c r="M127" s="38">
        <f t="shared" ref="M127:M128" ca="1" si="263">L127*M$201</f>
        <v>11092529.025936339</v>
      </c>
      <c r="N127" s="2">
        <v>0</v>
      </c>
      <c r="O127" s="21">
        <f t="shared" ref="O127:O128" ca="1" si="264">N127/N$193</f>
        <v>0</v>
      </c>
      <c r="P127" s="38">
        <f t="shared" ref="P127:P128" ca="1" si="265">O127*P$201</f>
        <v>0</v>
      </c>
      <c r="Q127" s="2">
        <v>219475.91190721141</v>
      </c>
      <c r="R127" s="21">
        <f t="shared" ref="R127:R128" ca="1" si="266">Q127/Q$193</f>
        <v>1.6187274418449186E-4</v>
      </c>
      <c r="S127" s="38">
        <f t="shared" ref="S127:S128" ca="1" si="267">R127*S$201</f>
        <v>149813.37080214301</v>
      </c>
      <c r="T127" s="2">
        <v>29380.721221631939</v>
      </c>
      <c r="U127" s="21">
        <f t="shared" ref="U127:U128" ca="1" si="268">T127/T$193</f>
        <v>3.1534270181002706E-5</v>
      </c>
      <c r="V127" s="38">
        <f t="shared" ref="V127:V128" ca="1" si="269">U127*V$201</f>
        <v>29797.880411567287</v>
      </c>
      <c r="W127" s="2">
        <v>5572592.8121823454</v>
      </c>
      <c r="X127" s="21">
        <f t="shared" ref="X127:X128" ca="1" si="270">W127/W$193</f>
        <v>5.8346994713354772E-3</v>
      </c>
      <c r="Y127" s="38">
        <f t="shared" ref="Y127:Y128" ca="1" si="271">X127*Y$201</f>
        <v>5623688.4382924465</v>
      </c>
      <c r="Z127" s="2">
        <v>0</v>
      </c>
      <c r="AA127" s="21">
        <f t="shared" ref="AA127:AA128" ca="1" si="272">Z127/Z$193</f>
        <v>0</v>
      </c>
      <c r="AB127" s="38">
        <f t="shared" ref="AB127:AB128" ca="1" si="273">AA127*AB$201</f>
        <v>0</v>
      </c>
      <c r="AC127" s="2">
        <v>0</v>
      </c>
      <c r="AD127" s="21">
        <f t="shared" ref="AD127:AD128" ca="1" si="274">AC127/AC$193</f>
        <v>0</v>
      </c>
      <c r="AE127" s="38">
        <f t="shared" ref="AE127:AE128" ca="1" si="275">AD127*AE$201</f>
        <v>0</v>
      </c>
      <c r="AF127" s="2">
        <v>0</v>
      </c>
      <c r="AG127" s="21">
        <f t="shared" ref="AG127:AG128" ca="1" si="276">AF127/AF$193</f>
        <v>0</v>
      </c>
      <c r="AH127" s="38">
        <f t="shared" ref="AH127:AH128" ca="1" si="277">AG127*AH$201</f>
        <v>0</v>
      </c>
      <c r="AI127" s="2">
        <v>0</v>
      </c>
      <c r="AJ127" s="21">
        <f t="shared" ref="AJ127:AJ128" ca="1" si="278">AI127/AI$193</f>
        <v>0</v>
      </c>
      <c r="AK127" s="38">
        <f t="shared" ref="AK127:AK128" ca="1" si="279">AJ127*AK$201</f>
        <v>0</v>
      </c>
      <c r="AL127" s="2">
        <v>5859561.1454453776</v>
      </c>
    </row>
    <row r="128" spans="1:38" ht="12.75" x14ac:dyDescent="0.2">
      <c r="A128" s="8" t="s">
        <v>16</v>
      </c>
      <c r="B128" s="8" t="s">
        <v>17</v>
      </c>
      <c r="C128" s="8" t="s">
        <v>36</v>
      </c>
      <c r="D128" s="8" t="s">
        <v>31</v>
      </c>
      <c r="E128" s="8" t="s">
        <v>127</v>
      </c>
      <c r="F128" s="8" t="s">
        <v>192</v>
      </c>
      <c r="G128" s="8" t="s">
        <v>1135</v>
      </c>
      <c r="H128" s="34">
        <v>706892.2</v>
      </c>
      <c r="I128" s="21">
        <f t="shared" si="260"/>
        <v>8.091819480666423E-4</v>
      </c>
      <c r="J128" s="38">
        <f t="shared" si="261"/>
        <v>681699.15615651745</v>
      </c>
      <c r="K128" s="2">
        <v>706892.2</v>
      </c>
      <c r="L128" s="21">
        <f t="shared" ca="1" si="262"/>
        <v>7.8681077241891375E-4</v>
      </c>
      <c r="M128" s="38">
        <f t="shared" ca="1" si="263"/>
        <v>693783.79133501672</v>
      </c>
      <c r="N128" s="2">
        <v>88976.897030814027</v>
      </c>
      <c r="O128" s="21">
        <f t="shared" ca="1" si="264"/>
        <v>9.8802105406948801E-5</v>
      </c>
      <c r="P128" s="38">
        <f t="shared" ca="1" si="265"/>
        <v>89385.569602897216</v>
      </c>
      <c r="Q128" s="2">
        <v>161332.49549758487</v>
      </c>
      <c r="R128" s="21">
        <f t="shared" ca="1" si="266"/>
        <v>1.1898952165359773E-4</v>
      </c>
      <c r="S128" s="38">
        <f t="shared" ca="1" si="267"/>
        <v>110124.90965583998</v>
      </c>
      <c r="T128" s="2">
        <v>136378.59030831928</v>
      </c>
      <c r="U128" s="21">
        <f t="shared" ca="1" si="268"/>
        <v>1.4637487219069508E-4</v>
      </c>
      <c r="V128" s="38">
        <f t="shared" ca="1" si="269"/>
        <v>138314.94788880154</v>
      </c>
      <c r="W128" s="2">
        <v>60000</v>
      </c>
      <c r="X128" s="21">
        <f t="shared" ca="1" si="270"/>
        <v>6.2822097375356072E-5</v>
      </c>
      <c r="Y128" s="38">
        <f t="shared" ca="1" si="271"/>
        <v>60550.145626987854</v>
      </c>
      <c r="Z128" s="2">
        <v>60000</v>
      </c>
      <c r="AA128" s="21">
        <f t="shared" ca="1" si="272"/>
        <v>6.2074853102154798E-5</v>
      </c>
      <c r="AB128" s="38">
        <f t="shared" ca="1" si="273"/>
        <v>60906.863986775614</v>
      </c>
      <c r="AC128" s="2">
        <v>143948.39437017037</v>
      </c>
      <c r="AD128" s="21">
        <f t="shared" ca="1" si="274"/>
        <v>1.4645688830259893E-4</v>
      </c>
      <c r="AE128" s="38">
        <f t="shared" ca="1" si="275"/>
        <v>146431.50466419899</v>
      </c>
      <c r="AF128" s="2">
        <v>126180.92682176083</v>
      </c>
      <c r="AG128" s="21">
        <f t="shared" ca="1" si="276"/>
        <v>1.2655124761436142E-4</v>
      </c>
      <c r="AH128" s="38">
        <f t="shared" ca="1" si="277"/>
        <v>128806.84163631398</v>
      </c>
      <c r="AI128" s="2">
        <v>291617.31087277603</v>
      </c>
      <c r="AJ128" s="21">
        <f t="shared" ca="1" si="278"/>
        <v>1.9450532683292504E-4</v>
      </c>
      <c r="AK128" s="38">
        <f t="shared" ca="1" si="279"/>
        <v>201535.60248976666</v>
      </c>
      <c r="AL128" s="2">
        <v>1249967.0217057641</v>
      </c>
    </row>
    <row r="129" spans="1:38" ht="12.75" x14ac:dyDescent="0.2">
      <c r="A129" s="8" t="s">
        <v>16</v>
      </c>
      <c r="B129" s="8" t="s">
        <v>17</v>
      </c>
      <c r="C129" s="8" t="s">
        <v>36</v>
      </c>
      <c r="D129" s="8" t="s">
        <v>31</v>
      </c>
      <c r="E129" s="8" t="s">
        <v>128</v>
      </c>
      <c r="F129" s="8" t="s">
        <v>188</v>
      </c>
      <c r="G129" s="8" t="s">
        <v>1136</v>
      </c>
      <c r="H129" s="34">
        <v>7870523.4406885626</v>
      </c>
      <c r="I129" s="21">
        <f>H129/H$195</f>
        <v>2.391497984191553E-2</v>
      </c>
      <c r="J129" s="38">
        <f>I129*J$203</f>
        <v>8866119.6790971681</v>
      </c>
      <c r="K129" s="2">
        <v>8094639.1439092197</v>
      </c>
      <c r="L129" s="21">
        <f>K129/K$195</f>
        <v>2.3910347164990013E-2</v>
      </c>
      <c r="M129" s="38">
        <f>L129*M$203</f>
        <v>7872298.5554113928</v>
      </c>
      <c r="N129" s="2">
        <v>0</v>
      </c>
      <c r="O129" s="21">
        <f>N129/N$195</f>
        <v>0</v>
      </c>
      <c r="P129" s="38">
        <f>O129*P$203</f>
        <v>0</v>
      </c>
      <c r="Q129" s="2">
        <v>0</v>
      </c>
      <c r="R129" s="21">
        <f>Q129/Q$195</f>
        <v>0</v>
      </c>
      <c r="S129" s="38">
        <f>R129*S$203</f>
        <v>0</v>
      </c>
      <c r="T129" s="2">
        <v>0</v>
      </c>
      <c r="U129" s="21">
        <f>T129/T$195</f>
        <v>0</v>
      </c>
      <c r="V129" s="38">
        <f>U129*V$203</f>
        <v>0</v>
      </c>
      <c r="W129" s="2">
        <v>0</v>
      </c>
      <c r="X129" s="21">
        <f>W129/W$195</f>
        <v>0</v>
      </c>
      <c r="Y129" s="38">
        <f>X129*Y$203</f>
        <v>0</v>
      </c>
      <c r="Z129" s="2">
        <v>0</v>
      </c>
      <c r="AA129" s="21">
        <f>Z129/Z$195</f>
        <v>0</v>
      </c>
      <c r="AB129" s="38">
        <f>AA129*AB$203</f>
        <v>0</v>
      </c>
      <c r="AC129" s="2">
        <v>0</v>
      </c>
      <c r="AD129" s="21">
        <f>AC129/AC$195</f>
        <v>0</v>
      </c>
      <c r="AE129" s="38">
        <f>AD129*AE$203</f>
        <v>0</v>
      </c>
      <c r="AF129" s="2">
        <v>0</v>
      </c>
      <c r="AG129" s="21">
        <f>AF129/AF$195</f>
        <v>0</v>
      </c>
      <c r="AH129" s="38">
        <f>AG129*AH$203</f>
        <v>0</v>
      </c>
      <c r="AI129" s="2">
        <v>0</v>
      </c>
      <c r="AJ129" s="21">
        <f>AI129/AI$195</f>
        <v>0</v>
      </c>
      <c r="AK129" s="38">
        <f>AJ129*AK$203</f>
        <v>0</v>
      </c>
      <c r="AL129" s="2">
        <v>0</v>
      </c>
    </row>
    <row r="130" spans="1:38" ht="12.75" x14ac:dyDescent="0.2">
      <c r="A130" s="8" t="s">
        <v>16</v>
      </c>
      <c r="B130" s="8" t="s">
        <v>17</v>
      </c>
      <c r="C130" s="8" t="s">
        <v>36</v>
      </c>
      <c r="D130" s="8" t="s">
        <v>31</v>
      </c>
      <c r="E130" s="8" t="s">
        <v>128</v>
      </c>
      <c r="F130" s="8" t="s">
        <v>189</v>
      </c>
      <c r="G130" s="8" t="s">
        <v>1137</v>
      </c>
      <c r="H130" s="34">
        <v>4199576.997355788</v>
      </c>
      <c r="I130" s="21">
        <f>H130/H$194</f>
        <v>2.7133864820134287E-2</v>
      </c>
      <c r="J130" s="38">
        <f>I130*J$202</f>
        <v>5095291.0939865606</v>
      </c>
      <c r="K130" s="2">
        <v>4325564.3072764622</v>
      </c>
      <c r="L130" s="21">
        <f>K130/K$194</f>
        <v>2.7133864820134294E-2</v>
      </c>
      <c r="M130" s="38">
        <f>L130*M$202</f>
        <v>5628808.0708874064</v>
      </c>
      <c r="N130" s="2">
        <v>610000</v>
      </c>
      <c r="O130" s="21">
        <f>N130/N$194</f>
        <v>3.6294427089674187E-3</v>
      </c>
      <c r="P130" s="38">
        <f>O130*P$202</f>
        <v>772488.61887349945</v>
      </c>
      <c r="Q130" s="2">
        <v>610000</v>
      </c>
      <c r="R130" s="21">
        <f>Q130/Q$194</f>
        <v>2.4466362121969756E-3</v>
      </c>
      <c r="S130" s="38">
        <f>R130*S$202</f>
        <v>532717.76192651666</v>
      </c>
      <c r="T130" s="2">
        <v>610000</v>
      </c>
      <c r="U130" s="21">
        <f>T130/T$194</f>
        <v>3.5136105469446462E-3</v>
      </c>
      <c r="V130" s="38">
        <f>U130*V$202</f>
        <v>781100.90701643808</v>
      </c>
      <c r="W130" s="2">
        <v>610000</v>
      </c>
      <c r="X130" s="21">
        <f>W130/W$194</f>
        <v>3.4313192456431156E-3</v>
      </c>
      <c r="Y130" s="38">
        <f>X130*Y$202</f>
        <v>778063.0977715709</v>
      </c>
      <c r="Z130" s="2">
        <v>610000</v>
      </c>
      <c r="AA130" s="21">
        <f>Z130/Z$194</f>
        <v>3.3920917184632614E-3</v>
      </c>
      <c r="AB130" s="38">
        <f>AA130*AB$202</f>
        <v>783013.15123153746</v>
      </c>
      <c r="AC130" s="2">
        <v>610000</v>
      </c>
      <c r="AD130" s="21">
        <f>AC130/AC$194</f>
        <v>3.3279887217943938E-3</v>
      </c>
      <c r="AE130" s="38">
        <f>AD130*AE$202</f>
        <v>782812.04533091572</v>
      </c>
      <c r="AF130" s="2">
        <v>610000</v>
      </c>
      <c r="AG130" s="21">
        <f>AF130/AF$194</f>
        <v>3.291486254695023E-3</v>
      </c>
      <c r="AH130" s="38">
        <f>AG130*AH$202</f>
        <v>788161.97351513489</v>
      </c>
      <c r="AI130" s="2">
        <v>610000</v>
      </c>
      <c r="AJ130" s="21">
        <f>AI130/AI$194</f>
        <v>2.1773526735408559E-3</v>
      </c>
      <c r="AK130" s="38">
        <f>AJ130*AK$202</f>
        <v>530762.20391365176</v>
      </c>
      <c r="AL130" s="2">
        <v>6100000</v>
      </c>
    </row>
    <row r="131" spans="1:38" ht="12.75" x14ac:dyDescent="0.2">
      <c r="A131" s="8" t="s">
        <v>16</v>
      </c>
      <c r="B131" s="8" t="s">
        <v>17</v>
      </c>
      <c r="C131" s="8" t="s">
        <v>36</v>
      </c>
      <c r="D131" s="8" t="s">
        <v>31</v>
      </c>
      <c r="E131" s="8" t="s">
        <v>128</v>
      </c>
      <c r="F131" s="8" t="s">
        <v>192</v>
      </c>
      <c r="G131" s="8" t="s">
        <v>1138</v>
      </c>
      <c r="H131" s="34">
        <v>683308.51479958114</v>
      </c>
      <c r="I131" s="21">
        <f>H131/H$193</f>
        <v>7.8218562198882537E-4</v>
      </c>
      <c r="J131" s="38">
        <f>I131*J$201</f>
        <v>658955.97367383272</v>
      </c>
      <c r="K131" s="2">
        <v>703807.77024356858</v>
      </c>
      <c r="L131" s="21">
        <f ca="1">K131/K$193</f>
        <v>7.8337762863952328E-4</v>
      </c>
      <c r="M131" s="38">
        <f ca="1">L131*M$201</f>
        <v>690756.55837004201</v>
      </c>
      <c r="N131" s="2">
        <v>0</v>
      </c>
      <c r="O131" s="21">
        <f ca="1">N131/N$193</f>
        <v>0</v>
      </c>
      <c r="P131" s="38">
        <f ca="1">O131*P$201</f>
        <v>0</v>
      </c>
      <c r="Q131" s="2">
        <v>0</v>
      </c>
      <c r="R131" s="21">
        <f ca="1">Q131/Q$193</f>
        <v>0</v>
      </c>
      <c r="S131" s="38">
        <f ca="1">R131*S$201</f>
        <v>0</v>
      </c>
      <c r="T131" s="2">
        <v>0</v>
      </c>
      <c r="U131" s="21">
        <f ca="1">T131/T$193</f>
        <v>0</v>
      </c>
      <c r="V131" s="38">
        <f ca="1">U131*V$201</f>
        <v>0</v>
      </c>
      <c r="W131" s="2">
        <v>55179.982190217917</v>
      </c>
      <c r="X131" s="21">
        <f ca="1">W131/W$193</f>
        <v>5.7775370238738059E-5</v>
      </c>
      <c r="Y131" s="38">
        <f ca="1">X131*Y$201</f>
        <v>55685.932621871514</v>
      </c>
      <c r="Z131" s="2">
        <v>0</v>
      </c>
      <c r="AA131" s="21">
        <f ca="1">Z131/Z$193</f>
        <v>0</v>
      </c>
      <c r="AB131" s="38">
        <f ca="1">AA131*AB$201</f>
        <v>0</v>
      </c>
      <c r="AC131" s="2">
        <v>0</v>
      </c>
      <c r="AD131" s="21">
        <f ca="1">AC131/AC$193</f>
        <v>0</v>
      </c>
      <c r="AE131" s="38">
        <f ca="1">AD131*AE$201</f>
        <v>0</v>
      </c>
      <c r="AF131" s="2">
        <v>0</v>
      </c>
      <c r="AG131" s="21">
        <f ca="1">AF131/AF$193</f>
        <v>0</v>
      </c>
      <c r="AH131" s="38">
        <f ca="1">AG131*AH$201</f>
        <v>0</v>
      </c>
      <c r="AI131" s="2">
        <v>0</v>
      </c>
      <c r="AJ131" s="21">
        <f ca="1">AI131/AI$193</f>
        <v>0</v>
      </c>
      <c r="AK131" s="38">
        <f ca="1">AJ131*AK$201</f>
        <v>0</v>
      </c>
      <c r="AL131" s="2">
        <v>55179.982190217917</v>
      </c>
    </row>
    <row r="132" spans="1:38" ht="12.75" x14ac:dyDescent="0.2">
      <c r="A132" s="8" t="s">
        <v>16</v>
      </c>
      <c r="B132" s="8" t="s">
        <v>17</v>
      </c>
      <c r="C132" s="8" t="s">
        <v>36</v>
      </c>
      <c r="D132" s="8" t="s">
        <v>31</v>
      </c>
      <c r="E132" s="8" t="s">
        <v>129</v>
      </c>
      <c r="F132" s="8" t="s">
        <v>188</v>
      </c>
      <c r="G132" s="8" t="s">
        <v>1139</v>
      </c>
      <c r="H132" s="34">
        <v>29110798.123831838</v>
      </c>
      <c r="I132" s="21">
        <f>H132/H$195</f>
        <v>8.8454618750567413E-2</v>
      </c>
      <c r="J132" s="38">
        <f>I132*J$203</f>
        <v>32793221.704368651</v>
      </c>
      <c r="K132" s="2">
        <v>29960686.067546796</v>
      </c>
      <c r="L132" s="21">
        <f>K132/K$195</f>
        <v>8.8499362657241301E-2</v>
      </c>
      <c r="M132" s="38">
        <f>L132*M$203</f>
        <v>29137736.896666285</v>
      </c>
      <c r="N132" s="2">
        <v>400000</v>
      </c>
      <c r="O132" s="21">
        <f>N132/N$195</f>
        <v>1.7584385558236293E-3</v>
      </c>
      <c r="P132" s="38">
        <f>O132*P$203</f>
        <v>703761.2426518139</v>
      </c>
      <c r="Q132" s="2">
        <v>400000</v>
      </c>
      <c r="R132" s="21">
        <f>Q132/Q$195</f>
        <v>1.2032331297256249E-3</v>
      </c>
      <c r="S132" s="38">
        <f>R132*S$203</f>
        <v>567735.0013383358</v>
      </c>
      <c r="T132" s="2">
        <v>400000</v>
      </c>
      <c r="U132" s="21">
        <f>T132/T$195</f>
        <v>1.659466142676227E-3</v>
      </c>
      <c r="V132" s="38">
        <f>U132*V$203</f>
        <v>799447.64339223295</v>
      </c>
      <c r="W132" s="2">
        <v>400000</v>
      </c>
      <c r="X132" s="21">
        <f>W132/W$195</f>
        <v>1.5330697320233367E-3</v>
      </c>
      <c r="Y132" s="38">
        <f>X132*Y$203</f>
        <v>753327.30928263476</v>
      </c>
      <c r="Z132" s="2">
        <v>400000</v>
      </c>
      <c r="AA132" s="21">
        <f>Z132/Z$195</f>
        <v>1.6123955988428375E-3</v>
      </c>
      <c r="AB132" s="38">
        <f>AA132*AB$203</f>
        <v>806568.36517637118</v>
      </c>
      <c r="AC132" s="2">
        <v>400000</v>
      </c>
      <c r="AD132" s="21">
        <f>AC132/AC$195</f>
        <v>1.5491359910192052E-3</v>
      </c>
      <c r="AE132" s="38">
        <f>AD132*AE$203</f>
        <v>789647.57917924644</v>
      </c>
      <c r="AF132" s="2">
        <v>400000</v>
      </c>
      <c r="AG132" s="21">
        <f>AF132/AF$195</f>
        <v>1.5447396960499103E-3</v>
      </c>
      <c r="AH132" s="38">
        <f>AG132*AH$203</f>
        <v>801579.95678885072</v>
      </c>
      <c r="AI132" s="2">
        <v>400000</v>
      </c>
      <c r="AJ132" s="21">
        <f>AI132/AI$195</f>
        <v>9.639661821058647E-4</v>
      </c>
      <c r="AK132" s="38">
        <f>AJ132*AK$203</f>
        <v>509214.91827485064</v>
      </c>
      <c r="AL132" s="2">
        <v>4000000</v>
      </c>
    </row>
    <row r="133" spans="1:38" ht="12.75" x14ac:dyDescent="0.2">
      <c r="A133" s="8" t="s">
        <v>16</v>
      </c>
      <c r="B133" s="8" t="s">
        <v>17</v>
      </c>
      <c r="C133" s="8" t="s">
        <v>36</v>
      </c>
      <c r="D133" s="8" t="s">
        <v>31</v>
      </c>
      <c r="E133" s="8" t="s">
        <v>129</v>
      </c>
      <c r="F133" s="8" t="s">
        <v>189</v>
      </c>
      <c r="G133" s="8" t="s">
        <v>1140</v>
      </c>
      <c r="H133" s="34">
        <v>4199576.997355788</v>
      </c>
      <c r="I133" s="21">
        <f>H133/H$194</f>
        <v>2.7133864820134287E-2</v>
      </c>
      <c r="J133" s="38">
        <f>I133*J$202</f>
        <v>5095291.0939865606</v>
      </c>
      <c r="K133" s="2">
        <v>4325564.3072764622</v>
      </c>
      <c r="L133" s="21">
        <f>K133/K$194</f>
        <v>2.7133864820134294E-2</v>
      </c>
      <c r="M133" s="38">
        <f>L133*M$202</f>
        <v>5628808.0708874064</v>
      </c>
      <c r="N133" s="2">
        <v>49938.611544895088</v>
      </c>
      <c r="O133" s="21">
        <f>N133/N$194</f>
        <v>2.9713004847143547E-4</v>
      </c>
      <c r="P133" s="38">
        <f>O133*P$202</f>
        <v>63240.998460288851</v>
      </c>
      <c r="Q133" s="2">
        <v>0</v>
      </c>
      <c r="R133" s="21">
        <f>Q133/Q$194</f>
        <v>0</v>
      </c>
      <c r="S133" s="38">
        <f>R133*S$202</f>
        <v>0</v>
      </c>
      <c r="T133" s="2">
        <v>0</v>
      </c>
      <c r="U133" s="21">
        <f>T133/T$194</f>
        <v>0</v>
      </c>
      <c r="V133" s="38">
        <f>U133*V$202</f>
        <v>0</v>
      </c>
      <c r="W133" s="2">
        <v>10008.703147032198</v>
      </c>
      <c r="X133" s="21">
        <f>W133/W$194</f>
        <v>5.6300091364492462E-5</v>
      </c>
      <c r="Y133" s="38">
        <f>X133*Y$202</f>
        <v>12766.233729927775</v>
      </c>
      <c r="Z133" s="2">
        <v>0</v>
      </c>
      <c r="AA133" s="21">
        <f>Z133/Z$194</f>
        <v>0</v>
      </c>
      <c r="AB133" s="38">
        <f>AA133*AB$202</f>
        <v>0</v>
      </c>
      <c r="AC133" s="2">
        <v>9505.4196658449691</v>
      </c>
      <c r="AD133" s="21">
        <f>AC133/AC$194</f>
        <v>5.1858900727630642E-5</v>
      </c>
      <c r="AE133" s="38">
        <f>AD133*AE$202</f>
        <v>12198.290180899687</v>
      </c>
      <c r="AF133" s="2">
        <v>0</v>
      </c>
      <c r="AG133" s="21">
        <f>AF133/AF$194</f>
        <v>0</v>
      </c>
      <c r="AH133" s="38">
        <f>AG133*AH$202</f>
        <v>0</v>
      </c>
      <c r="AI133" s="2">
        <v>0</v>
      </c>
      <c r="AJ133" s="21">
        <f>AI133/AI$194</f>
        <v>0</v>
      </c>
      <c r="AK133" s="38">
        <f>AJ133*AK$202</f>
        <v>0</v>
      </c>
      <c r="AL133" s="2">
        <v>69452.734357772249</v>
      </c>
    </row>
    <row r="134" spans="1:38" ht="12.75" x14ac:dyDescent="0.2">
      <c r="A134" s="8" t="s">
        <v>16</v>
      </c>
      <c r="B134" s="8" t="s">
        <v>17</v>
      </c>
      <c r="C134" s="8" t="s">
        <v>36</v>
      </c>
      <c r="D134" s="8" t="s">
        <v>31</v>
      </c>
      <c r="E134" s="8" t="s">
        <v>32</v>
      </c>
      <c r="F134" s="8" t="s">
        <v>188</v>
      </c>
      <c r="G134" s="8" t="s">
        <v>1141</v>
      </c>
      <c r="H134" s="34">
        <v>13088962.425405852</v>
      </c>
      <c r="I134" s="21">
        <f>H134/H$195</f>
        <v>3.9771468176681479E-2</v>
      </c>
      <c r="J134" s="38">
        <f>I134*J$203</f>
        <v>14744674.634842535</v>
      </c>
      <c r="K134" s="2">
        <v>13481631.298168028</v>
      </c>
      <c r="L134" s="21">
        <f>K134/K$195</f>
        <v>3.9822712162795287E-2</v>
      </c>
      <c r="M134" s="38">
        <f>L134*M$203</f>
        <v>13111322.778732559</v>
      </c>
      <c r="N134" s="2">
        <v>688000</v>
      </c>
      <c r="O134" s="21">
        <f>N134/N$195</f>
        <v>3.0245143160166424E-3</v>
      </c>
      <c r="P134" s="38">
        <f>O134*P$203</f>
        <v>1210469.3373611199</v>
      </c>
      <c r="Q134" s="2">
        <v>688000</v>
      </c>
      <c r="R134" s="21">
        <f>Q134/Q$195</f>
        <v>2.0695609831280748E-3</v>
      </c>
      <c r="S134" s="38">
        <f>R134*S$203</f>
        <v>976504.20230193762</v>
      </c>
      <c r="T134" s="2">
        <v>688000</v>
      </c>
      <c r="U134" s="21">
        <f>T134/T$195</f>
        <v>2.8542817654031104E-3</v>
      </c>
      <c r="V134" s="38">
        <f>U134*V$203</f>
        <v>1375049.9466346407</v>
      </c>
      <c r="W134" s="2">
        <v>688000</v>
      </c>
      <c r="X134" s="21">
        <f>W134/W$195</f>
        <v>2.6368799390801391E-3</v>
      </c>
      <c r="Y134" s="38">
        <f>X134*Y$203</f>
        <v>1295722.9719661318</v>
      </c>
      <c r="Z134" s="2">
        <v>688000</v>
      </c>
      <c r="AA134" s="21">
        <f>Z134/Z$195</f>
        <v>2.7733204300096803E-3</v>
      </c>
      <c r="AB134" s="38">
        <f>AA134*AB$203</f>
        <v>1387297.5881033584</v>
      </c>
      <c r="AC134" s="2">
        <v>688000</v>
      </c>
      <c r="AD134" s="21">
        <f>AC134/AC$195</f>
        <v>2.6645139045530326E-3</v>
      </c>
      <c r="AE134" s="38">
        <f>AD134*AE$203</f>
        <v>1358193.8361883038</v>
      </c>
      <c r="AF134" s="2">
        <v>688000</v>
      </c>
      <c r="AG134" s="21">
        <f>AF134/AF$195</f>
        <v>2.6569522772058457E-3</v>
      </c>
      <c r="AH134" s="38">
        <f>AG134*AH$203</f>
        <v>1378717.5256768232</v>
      </c>
      <c r="AI134" s="2">
        <v>688000</v>
      </c>
      <c r="AJ134" s="21">
        <f>AI134/AI$195</f>
        <v>1.6580218332220872E-3</v>
      </c>
      <c r="AK134" s="38">
        <f>AJ134*AK$203</f>
        <v>875849.65943274309</v>
      </c>
      <c r="AL134" s="2">
        <v>6880000</v>
      </c>
    </row>
    <row r="135" spans="1:38" ht="12.75" x14ac:dyDescent="0.2">
      <c r="A135" s="8" t="s">
        <v>16</v>
      </c>
      <c r="B135" s="8" t="s">
        <v>17</v>
      </c>
      <c r="C135" s="8" t="s">
        <v>36</v>
      </c>
      <c r="D135" s="8" t="s">
        <v>31</v>
      </c>
      <c r="E135" s="8" t="s">
        <v>32</v>
      </c>
      <c r="F135" s="8" t="s">
        <v>189</v>
      </c>
      <c r="G135" s="8" t="s">
        <v>1142</v>
      </c>
      <c r="H135" s="34">
        <v>3191687.1828976595</v>
      </c>
      <c r="I135" s="21">
        <f>H135/H$194</f>
        <v>2.0621793248088726E-2</v>
      </c>
      <c r="J135" s="38">
        <f>I135*J$202</f>
        <v>3872431.7444468886</v>
      </c>
      <c r="K135" s="2">
        <v>3287437.7983845891</v>
      </c>
      <c r="L135" s="21">
        <f>K135/K$194</f>
        <v>2.0621793248088726E-2</v>
      </c>
      <c r="M135" s="38">
        <f>L135*M$202</f>
        <v>4277905.7476869505</v>
      </c>
      <c r="N135" s="2">
        <v>0</v>
      </c>
      <c r="O135" s="21">
        <f>N135/N$194</f>
        <v>0</v>
      </c>
      <c r="P135" s="38">
        <f>O135*P$202</f>
        <v>0</v>
      </c>
      <c r="Q135" s="2">
        <v>0</v>
      </c>
      <c r="R135" s="21">
        <f>Q135/Q$194</f>
        <v>0</v>
      </c>
      <c r="S135" s="38">
        <f>R135*S$202</f>
        <v>0</v>
      </c>
      <c r="T135" s="2">
        <v>0</v>
      </c>
      <c r="U135" s="21">
        <f>T135/T$194</f>
        <v>0</v>
      </c>
      <c r="V135" s="38">
        <f>U135*V$202</f>
        <v>0</v>
      </c>
      <c r="W135" s="2">
        <v>0</v>
      </c>
      <c r="X135" s="21">
        <f>W135/W$194</f>
        <v>0</v>
      </c>
      <c r="Y135" s="38">
        <f>X135*Y$202</f>
        <v>0</v>
      </c>
      <c r="Z135" s="2">
        <v>0</v>
      </c>
      <c r="AA135" s="21">
        <f>Z135/Z$194</f>
        <v>0</v>
      </c>
      <c r="AB135" s="38">
        <f>AA135*AB$202</f>
        <v>0</v>
      </c>
      <c r="AC135" s="2">
        <v>0</v>
      </c>
      <c r="AD135" s="21">
        <f>AC135/AC$194</f>
        <v>0</v>
      </c>
      <c r="AE135" s="38">
        <f>AD135*AE$202</f>
        <v>0</v>
      </c>
      <c r="AF135" s="2">
        <v>0</v>
      </c>
      <c r="AG135" s="21">
        <f>AF135/AF$194</f>
        <v>0</v>
      </c>
      <c r="AH135" s="38">
        <f>AG135*AH$202</f>
        <v>0</v>
      </c>
      <c r="AI135" s="2">
        <v>0</v>
      </c>
      <c r="AJ135" s="21">
        <f>AI135/AI$194</f>
        <v>0</v>
      </c>
      <c r="AK135" s="38">
        <f>AJ135*AK$202</f>
        <v>0</v>
      </c>
      <c r="AL135" s="2">
        <v>0</v>
      </c>
    </row>
    <row r="136" spans="1:38" ht="12.75" x14ac:dyDescent="0.2">
      <c r="A136" s="8" t="s">
        <v>16</v>
      </c>
      <c r="B136" s="8" t="s">
        <v>17</v>
      </c>
      <c r="C136" s="8" t="s">
        <v>36</v>
      </c>
      <c r="D136" s="8" t="s">
        <v>31</v>
      </c>
      <c r="E136" s="8" t="s">
        <v>132</v>
      </c>
      <c r="F136" s="8" t="s">
        <v>188</v>
      </c>
      <c r="G136" s="8" t="s">
        <v>1143</v>
      </c>
      <c r="H136" s="34">
        <v>10145691.012746366</v>
      </c>
      <c r="I136" s="21">
        <f>H136/H$195</f>
        <v>3.0828190511164498E-2</v>
      </c>
      <c r="J136" s="38">
        <f>I136*J$203</f>
        <v>11429088.728853362</v>
      </c>
      <c r="K136" s="2">
        <v>10372061.743128758</v>
      </c>
      <c r="L136" s="21">
        <f>K136/K$195</f>
        <v>3.0637511158422226E-2</v>
      </c>
      <c r="M136" s="38">
        <f>L136*M$203</f>
        <v>10087165.743331375</v>
      </c>
      <c r="N136" s="2">
        <v>0</v>
      </c>
      <c r="O136" s="21">
        <f>N136/N$195</f>
        <v>0</v>
      </c>
      <c r="P136" s="38">
        <f>O136*P$203</f>
        <v>0</v>
      </c>
      <c r="Q136" s="2">
        <v>0</v>
      </c>
      <c r="R136" s="21">
        <f>Q136/Q$195</f>
        <v>0</v>
      </c>
      <c r="S136" s="38">
        <f>R136*S$203</f>
        <v>0</v>
      </c>
      <c r="T136" s="2">
        <v>0</v>
      </c>
      <c r="U136" s="21">
        <f>T136/T$195</f>
        <v>0</v>
      </c>
      <c r="V136" s="38">
        <f>U136*V$203</f>
        <v>0</v>
      </c>
      <c r="W136" s="2">
        <v>0</v>
      </c>
      <c r="X136" s="21">
        <f>W136/W$195</f>
        <v>0</v>
      </c>
      <c r="Y136" s="38">
        <f>X136*Y$203</f>
        <v>0</v>
      </c>
      <c r="Z136" s="2">
        <v>0</v>
      </c>
      <c r="AA136" s="21">
        <f>Z136/Z$195</f>
        <v>0</v>
      </c>
      <c r="AB136" s="38">
        <f>AA136*AB$203</f>
        <v>0</v>
      </c>
      <c r="AC136" s="2">
        <v>0</v>
      </c>
      <c r="AD136" s="21">
        <f>AC136/AC$195</f>
        <v>0</v>
      </c>
      <c r="AE136" s="38">
        <f>AD136*AE$203</f>
        <v>0</v>
      </c>
      <c r="AF136" s="2">
        <v>0</v>
      </c>
      <c r="AG136" s="21">
        <f>AF136/AF$195</f>
        <v>0</v>
      </c>
      <c r="AH136" s="38">
        <f>AG136*AH$203</f>
        <v>0</v>
      </c>
      <c r="AI136" s="2">
        <v>0</v>
      </c>
      <c r="AJ136" s="21">
        <f>AI136/AI$195</f>
        <v>0</v>
      </c>
      <c r="AK136" s="38">
        <f>AJ136*AK$203</f>
        <v>0</v>
      </c>
      <c r="AL136" s="2">
        <v>0</v>
      </c>
    </row>
    <row r="137" spans="1:38" ht="12.75" x14ac:dyDescent="0.2">
      <c r="A137" s="8" t="s">
        <v>16</v>
      </c>
      <c r="B137" s="8" t="s">
        <v>17</v>
      </c>
      <c r="C137" s="8" t="s">
        <v>36</v>
      </c>
      <c r="D137" s="8" t="s">
        <v>31</v>
      </c>
      <c r="E137" s="8" t="s">
        <v>132</v>
      </c>
      <c r="F137" s="8" t="s">
        <v>189</v>
      </c>
      <c r="G137" s="8" t="s">
        <v>1144</v>
      </c>
      <c r="H137" s="34">
        <v>4199576.997355788</v>
      </c>
      <c r="I137" s="21">
        <f>H137/H$194</f>
        <v>2.7133864820134287E-2</v>
      </c>
      <c r="J137" s="38">
        <f>I137*J$202</f>
        <v>5095291.0939865606</v>
      </c>
      <c r="K137" s="2">
        <v>4325564.3072764622</v>
      </c>
      <c r="L137" s="21">
        <f>K137/K$194</f>
        <v>2.7133864820134294E-2</v>
      </c>
      <c r="M137" s="38">
        <f>L137*M$202</f>
        <v>5628808.0708874064</v>
      </c>
      <c r="N137" s="2">
        <v>360000</v>
      </c>
      <c r="O137" s="21">
        <f>N137/N$194</f>
        <v>2.1419661888988045E-3</v>
      </c>
      <c r="P137" s="38">
        <f>O137*P$202</f>
        <v>455894.92261386855</v>
      </c>
      <c r="Q137" s="2">
        <v>360000</v>
      </c>
      <c r="R137" s="21">
        <f>Q137/Q$194</f>
        <v>1.4439164530998545E-3</v>
      </c>
      <c r="S137" s="38">
        <f>R137*S$202</f>
        <v>314390.81031728856</v>
      </c>
      <c r="T137" s="2">
        <v>360000</v>
      </c>
      <c r="U137" s="21">
        <f>T137/T$194</f>
        <v>2.0736062244263486E-3</v>
      </c>
      <c r="V137" s="38">
        <f>U137*V$202</f>
        <v>460977.58446871757</v>
      </c>
      <c r="W137" s="2">
        <v>360000</v>
      </c>
      <c r="X137" s="21">
        <f>W137/W$194</f>
        <v>2.0250408662811832E-3</v>
      </c>
      <c r="Y137" s="38">
        <f>X137*Y$202</f>
        <v>459184.7790127304</v>
      </c>
      <c r="Z137" s="2">
        <v>360000</v>
      </c>
      <c r="AA137" s="21">
        <f>Z137/Z$194</f>
        <v>2.0018901945029082E-3</v>
      </c>
      <c r="AB137" s="38">
        <f>AA137*AB$202</f>
        <v>462106.12203828437</v>
      </c>
      <c r="AC137" s="2">
        <v>360000</v>
      </c>
      <c r="AD137" s="21">
        <f>AC137/AC$194</f>
        <v>1.9640589177802978E-3</v>
      </c>
      <c r="AE137" s="38">
        <f>AD137*AE$202</f>
        <v>461987.43658873707</v>
      </c>
      <c r="AF137" s="2">
        <v>360000</v>
      </c>
      <c r="AG137" s="21">
        <f>AF137/AF$194</f>
        <v>1.9425164781806694E-3</v>
      </c>
      <c r="AH137" s="38">
        <f>AG137*AH$202</f>
        <v>465144.77125483367</v>
      </c>
      <c r="AI137" s="2">
        <v>360000</v>
      </c>
      <c r="AJ137" s="21">
        <f>AI137/AI$194</f>
        <v>1.2849950204503412E-3</v>
      </c>
      <c r="AK137" s="38">
        <f>AJ137*AK$202</f>
        <v>313236.71050641744</v>
      </c>
      <c r="AL137" s="2">
        <v>3600000</v>
      </c>
    </row>
    <row r="138" spans="1:38" ht="12.75" x14ac:dyDescent="0.2">
      <c r="A138" s="8" t="s">
        <v>16</v>
      </c>
      <c r="B138" s="8" t="s">
        <v>17</v>
      </c>
      <c r="C138" s="8" t="s">
        <v>36</v>
      </c>
      <c r="D138" s="8" t="s">
        <v>31</v>
      </c>
      <c r="E138" s="8" t="s">
        <v>133</v>
      </c>
      <c r="F138" s="8" t="s">
        <v>188</v>
      </c>
      <c r="G138" s="8" t="s">
        <v>1145</v>
      </c>
      <c r="H138" s="34">
        <v>10875068.14404558</v>
      </c>
      <c r="I138" s="21">
        <f>H138/H$195</f>
        <v>3.3044439471430459E-2</v>
      </c>
      <c r="J138" s="38">
        <f>I138*J$203</f>
        <v>12250729.752608405</v>
      </c>
      <c r="K138" s="2">
        <v>11123320.188366948</v>
      </c>
      <c r="L138" s="21">
        <f>K138/K$195</f>
        <v>3.2856615669065156E-2</v>
      </c>
      <c r="M138" s="38">
        <f>L138*M$203</f>
        <v>10817788.896265781</v>
      </c>
      <c r="N138" s="2">
        <v>9271500</v>
      </c>
      <c r="O138" s="21">
        <f>N138/N$195</f>
        <v>4.075840767579695E-2</v>
      </c>
      <c r="P138" s="38">
        <f>O138*P$203</f>
        <v>16312305.903115733</v>
      </c>
      <c r="Q138" s="2">
        <v>9271500</v>
      </c>
      <c r="R138" s="21">
        <f>Q138/Q$195</f>
        <v>2.7889439905627828E-2</v>
      </c>
      <c r="S138" s="38">
        <f>R138*S$203</f>
        <v>13159387.662270952</v>
      </c>
      <c r="T138" s="2">
        <v>9271500</v>
      </c>
      <c r="U138" s="21">
        <f>T138/T$195</f>
        <v>3.84643508545566E-2</v>
      </c>
      <c r="V138" s="38">
        <f>U138*V$203</f>
        <v>18530197.064277723</v>
      </c>
      <c r="W138" s="2">
        <v>9431639.2503525149</v>
      </c>
      <c r="X138" s="21">
        <f>W138/W$195</f>
        <v>3.6148401645196789E-2</v>
      </c>
      <c r="Y138" s="38">
        <f>X138*Y$203</f>
        <v>17762778.546481367</v>
      </c>
      <c r="Z138" s="2">
        <v>9323670.7302465923</v>
      </c>
      <c r="AA138" s="21">
        <f>Z138/Z$195</f>
        <v>3.7583614126273472E-2</v>
      </c>
      <c r="AB138" s="38">
        <f>AA138*AB$203</f>
        <v>18800444.645844441</v>
      </c>
      <c r="AC138" s="2">
        <v>9581691.864980299</v>
      </c>
      <c r="AD138" s="21">
        <f>AC138/AC$195</f>
        <v>3.7108359307242274E-2</v>
      </c>
      <c r="AE138" s="38">
        <f>AD138*AE$203</f>
        <v>18915399.46405793</v>
      </c>
      <c r="AF138" s="2">
        <v>9309952.8583837301</v>
      </c>
      <c r="AG138" s="21">
        <f>AF138/AF$195</f>
        <v>3.5953634371746687E-2</v>
      </c>
      <c r="AH138" s="38">
        <f>AG138*AH$203</f>
        <v>18656679.024823666</v>
      </c>
      <c r="AI138" s="2">
        <v>9271500</v>
      </c>
      <c r="AJ138" s="21">
        <f>AI138/AI$195</f>
        <v>2.2343531143486309E-2</v>
      </c>
      <c r="AK138" s="38">
        <f>AJ138*AK$203</f>
        <v>11802965.286963193</v>
      </c>
      <c r="AL138" s="2">
        <v>93335382.856767461</v>
      </c>
    </row>
    <row r="139" spans="1:38" ht="12.75" x14ac:dyDescent="0.2">
      <c r="A139" s="8" t="s">
        <v>16</v>
      </c>
      <c r="B139" s="8" t="s">
        <v>17</v>
      </c>
      <c r="C139" s="8" t="s">
        <v>36</v>
      </c>
      <c r="D139" s="8" t="s">
        <v>31</v>
      </c>
      <c r="E139" s="8" t="s">
        <v>133</v>
      </c>
      <c r="F139" s="8" t="s">
        <v>189</v>
      </c>
      <c r="G139" s="8" t="s">
        <v>1146</v>
      </c>
      <c r="H139" s="34">
        <v>3751509.2240495984</v>
      </c>
      <c r="I139" s="21">
        <f>H139/H$194</f>
        <v>2.4238856489818224E-2</v>
      </c>
      <c r="J139" s="38">
        <f>I139*J$202</f>
        <v>4551656.4050007649</v>
      </c>
      <c r="K139" s="2">
        <v>3864054.5007710867</v>
      </c>
      <c r="L139" s="21">
        <f>K139/K$194</f>
        <v>2.4238856489818227E-2</v>
      </c>
      <c r="M139" s="38">
        <f>L139*M$202</f>
        <v>5028250.5622910801</v>
      </c>
      <c r="N139" s="2">
        <v>600000</v>
      </c>
      <c r="O139" s="21">
        <f>N139/N$194</f>
        <v>3.5699436481646737E-3</v>
      </c>
      <c r="P139" s="38">
        <f>O139*P$202</f>
        <v>759824.87102311419</v>
      </c>
      <c r="Q139" s="2">
        <v>600000</v>
      </c>
      <c r="R139" s="21">
        <f>Q139/Q$194</f>
        <v>2.4065274218330905E-3</v>
      </c>
      <c r="S139" s="38">
        <f>R139*S$202</f>
        <v>523984.68386214756</v>
      </c>
      <c r="T139" s="2">
        <v>600000</v>
      </c>
      <c r="U139" s="21">
        <f>T139/T$194</f>
        <v>3.4560103740439146E-3</v>
      </c>
      <c r="V139" s="38">
        <f>U139*V$202</f>
        <v>768295.97411452932</v>
      </c>
      <c r="W139" s="2">
        <v>600000</v>
      </c>
      <c r="X139" s="21">
        <f>W139/W$194</f>
        <v>3.3750681104686383E-3</v>
      </c>
      <c r="Y139" s="38">
        <f>X139*Y$202</f>
        <v>765307.96502121724</v>
      </c>
      <c r="Z139" s="2">
        <v>600000</v>
      </c>
      <c r="AA139" s="21">
        <f>Z139/Z$194</f>
        <v>3.3364836575048473E-3</v>
      </c>
      <c r="AB139" s="38">
        <f>AA139*AB$202</f>
        <v>770176.87006380735</v>
      </c>
      <c r="AC139" s="2">
        <v>600000</v>
      </c>
      <c r="AD139" s="21">
        <f>AC139/AC$194</f>
        <v>3.2734315296338301E-3</v>
      </c>
      <c r="AE139" s="38">
        <f>AD139*AE$202</f>
        <v>769979.0609812286</v>
      </c>
      <c r="AF139" s="2">
        <v>600000</v>
      </c>
      <c r="AG139" s="21">
        <f>AF139/AF$194</f>
        <v>3.237527463634449E-3</v>
      </c>
      <c r="AH139" s="38">
        <f>AG139*AH$202</f>
        <v>775241.28542472282</v>
      </c>
      <c r="AI139" s="2">
        <v>600000</v>
      </c>
      <c r="AJ139" s="21">
        <f>AI139/AI$194</f>
        <v>2.1416583674172354E-3</v>
      </c>
      <c r="AK139" s="38">
        <f>AJ139*AK$202</f>
        <v>522061.18417736242</v>
      </c>
      <c r="AL139" s="2">
        <v>7963547.9296275321</v>
      </c>
    </row>
    <row r="140" spans="1:38" ht="12.75" x14ac:dyDescent="0.2">
      <c r="A140" s="8" t="s">
        <v>16</v>
      </c>
      <c r="B140" s="8" t="s">
        <v>17</v>
      </c>
      <c r="C140" s="8" t="s">
        <v>36</v>
      </c>
      <c r="D140" s="8" t="s">
        <v>31</v>
      </c>
      <c r="E140" s="8" t="s">
        <v>133</v>
      </c>
      <c r="F140" s="8" t="s">
        <v>192</v>
      </c>
      <c r="G140" s="8" t="s">
        <v>1147</v>
      </c>
      <c r="H140" s="34">
        <v>9094641.7912473306</v>
      </c>
      <c r="I140" s="21">
        <f>H140/H$193</f>
        <v>1.0410667937218451E-2</v>
      </c>
      <c r="J140" s="38">
        <f>I140*J$201</f>
        <v>8770516.4021319021</v>
      </c>
      <c r="K140" s="2">
        <v>9116381.0449847504</v>
      </c>
      <c r="L140" s="21">
        <f ca="1">K140/K$193</f>
        <v>1.0147044785144886E-2</v>
      </c>
      <c r="M140" s="38">
        <f ca="1">L140*M$201</f>
        <v>8947329.4579346068</v>
      </c>
      <c r="N140" s="2">
        <v>199382.31901936262</v>
      </c>
      <c r="O140" s="21">
        <f ca="1">N140/N$193</f>
        <v>2.2139896487074351E-4</v>
      </c>
      <c r="P140" s="38">
        <f ca="1">O140*P$201</f>
        <v>200298.08578422669</v>
      </c>
      <c r="Q140" s="2">
        <v>51909.722216254559</v>
      </c>
      <c r="R140" s="21">
        <f ca="1">Q140/Q$193</f>
        <v>3.8285610078942406E-5</v>
      </c>
      <c r="S140" s="38">
        <f ca="1">R140*S$201</f>
        <v>35433.366673550023</v>
      </c>
      <c r="T140" s="2">
        <v>67575.658809753455</v>
      </c>
      <c r="U140" s="21">
        <f ca="1">T140/T$193</f>
        <v>7.2528821416306224E-5</v>
      </c>
      <c r="V140" s="38">
        <f ca="1">U140*V$201</f>
        <v>68535.124946604759</v>
      </c>
      <c r="W140" s="2">
        <v>0</v>
      </c>
      <c r="X140" s="21">
        <f ca="1">W140/W$193</f>
        <v>0</v>
      </c>
      <c r="Y140" s="38">
        <f ca="1">X140*Y$201</f>
        <v>0</v>
      </c>
      <c r="Z140" s="2">
        <v>670512.71847748559</v>
      </c>
      <c r="AA140" s="21">
        <f ca="1">Z140/Z$193</f>
        <v>6.9369964171027323E-4</v>
      </c>
      <c r="AB140" s="38">
        <f ca="1">AA140*AB$201</f>
        <v>680647.11576185643</v>
      </c>
      <c r="AC140" s="2">
        <v>158423.66109741613</v>
      </c>
      <c r="AD140" s="21">
        <f ca="1">AC140/AC$193</f>
        <v>1.6118440597654303E-4</v>
      </c>
      <c r="AE140" s="38">
        <f ca="1">AD140*AE$201</f>
        <v>161156.46979187848</v>
      </c>
      <c r="AF140" s="2">
        <v>0</v>
      </c>
      <c r="AG140" s="21">
        <f ca="1">AF140/AF$193</f>
        <v>0</v>
      </c>
      <c r="AH140" s="38">
        <f ca="1">AG140*AH$201</f>
        <v>0</v>
      </c>
      <c r="AI140" s="2">
        <v>0</v>
      </c>
      <c r="AJ140" s="21">
        <f ca="1">AI140/AI$193</f>
        <v>0</v>
      </c>
      <c r="AK140" s="38">
        <f ca="1">AJ140*AK$201</f>
        <v>0</v>
      </c>
      <c r="AL140" s="2">
        <v>1147804.0796202724</v>
      </c>
    </row>
    <row r="141" spans="1:38" ht="12.75" x14ac:dyDescent="0.2">
      <c r="A141" s="8" t="s">
        <v>16</v>
      </c>
      <c r="B141" s="8" t="s">
        <v>17</v>
      </c>
      <c r="C141" s="8" t="s">
        <v>36</v>
      </c>
      <c r="D141" s="8" t="s">
        <v>19</v>
      </c>
      <c r="E141" s="8" t="s">
        <v>19</v>
      </c>
      <c r="F141" s="8" t="s">
        <v>188</v>
      </c>
      <c r="G141" s="8" t="s">
        <v>1148</v>
      </c>
      <c r="H141" s="34">
        <v>1907768.2442162507</v>
      </c>
      <c r="I141" s="21">
        <f>H141/H$195</f>
        <v>5.7968494023679226E-3</v>
      </c>
      <c r="J141" s="38">
        <f>I141*J$203</f>
        <v>2149094.8728719582</v>
      </c>
      <c r="K141" s="2">
        <v>1965001.2915427382</v>
      </c>
      <c r="L141" s="21">
        <f>K141/K$195</f>
        <v>5.8043184168121258E-3</v>
      </c>
      <c r="M141" s="38">
        <f>L141*M$203</f>
        <v>1911027.3544970891</v>
      </c>
      <c r="N141" s="2">
        <v>12025256.167230509</v>
      </c>
      <c r="O141" s="21">
        <f>N141/N$195</f>
        <v>5.286418522028502E-2</v>
      </c>
      <c r="P141" s="38">
        <f>O141*P$203</f>
        <v>21157273.058641329</v>
      </c>
      <c r="Q141" s="2">
        <v>11140000</v>
      </c>
      <c r="R141" s="21">
        <f>Q141/Q$195</f>
        <v>3.3510042662858654E-2</v>
      </c>
      <c r="S141" s="38">
        <f>R141*S$203</f>
        <v>15811419.787272653</v>
      </c>
      <c r="T141" s="2">
        <v>11140000</v>
      </c>
      <c r="U141" s="21">
        <f>T141/T$195</f>
        <v>4.6216132073532923E-2</v>
      </c>
      <c r="V141" s="38">
        <f>U141*V$203</f>
        <v>22264616.86847369</v>
      </c>
      <c r="W141" s="2">
        <v>11140000</v>
      </c>
      <c r="X141" s="21">
        <f>W141/W$195</f>
        <v>4.2695992036849928E-2</v>
      </c>
      <c r="Y141" s="38">
        <f>X141*Y$203</f>
        <v>20980165.563521378</v>
      </c>
      <c r="Z141" s="2">
        <v>11140000</v>
      </c>
      <c r="AA141" s="21">
        <f>Z141/Z$195</f>
        <v>4.4905217427773023E-2</v>
      </c>
      <c r="AB141" s="38">
        <f>AA141*AB$203</f>
        <v>22462928.970161937</v>
      </c>
      <c r="AC141" s="2">
        <v>11140000</v>
      </c>
      <c r="AD141" s="21">
        <f>AC141/AC$195</f>
        <v>4.3143437349884864E-2</v>
      </c>
      <c r="AE141" s="38">
        <f>AD141*AE$203</f>
        <v>21991685.080142014</v>
      </c>
      <c r="AF141" s="2">
        <v>11140000</v>
      </c>
      <c r="AG141" s="21">
        <f>AF141/AF$195</f>
        <v>4.302100053499E-2</v>
      </c>
      <c r="AH141" s="38">
        <f>AG141*AH$203</f>
        <v>22324001.796569493</v>
      </c>
      <c r="AI141" s="2">
        <v>11140000</v>
      </c>
      <c r="AJ141" s="21">
        <f>AI141/AI$195</f>
        <v>2.6846458171648331E-2</v>
      </c>
      <c r="AK141" s="38">
        <f>AJ141*AK$203</f>
        <v>14181635.47395459</v>
      </c>
      <c r="AL141" s="2">
        <v>112285256.16723052</v>
      </c>
    </row>
    <row r="142" spans="1:38" ht="12.75" x14ac:dyDescent="0.2">
      <c r="A142" s="8" t="s">
        <v>16</v>
      </c>
      <c r="B142" s="8" t="s">
        <v>17</v>
      </c>
      <c r="C142" s="8" t="s">
        <v>36</v>
      </c>
      <c r="D142" s="8" t="s">
        <v>19</v>
      </c>
      <c r="E142" s="8" t="s">
        <v>19</v>
      </c>
      <c r="F142" s="8" t="s">
        <v>189</v>
      </c>
      <c r="G142" s="8" t="s">
        <v>1149</v>
      </c>
      <c r="H142" s="34">
        <v>6075983.7456716057</v>
      </c>
      <c r="I142" s="21">
        <f>H142/H$194</f>
        <v>3.9257506579398763E-2</v>
      </c>
      <c r="J142" s="38">
        <f>I142*J$202</f>
        <v>7371910.5248029819</v>
      </c>
      <c r="K142" s="2">
        <v>6258263.2580417544</v>
      </c>
      <c r="L142" s="21">
        <f>K142/K$194</f>
        <v>3.925750657939877E-2</v>
      </c>
      <c r="M142" s="38">
        <f>L142*M$202</f>
        <v>8143807.4281650223</v>
      </c>
      <c r="N142" s="2">
        <v>0</v>
      </c>
      <c r="O142" s="21">
        <f>N142/N$194</f>
        <v>0</v>
      </c>
      <c r="P142" s="38">
        <f>O142*P$202</f>
        <v>0</v>
      </c>
      <c r="Q142" s="2">
        <v>0</v>
      </c>
      <c r="R142" s="21">
        <f>Q142/Q$194</f>
        <v>0</v>
      </c>
      <c r="S142" s="38">
        <f>R142*S$202</f>
        <v>0</v>
      </c>
      <c r="T142" s="2">
        <v>0</v>
      </c>
      <c r="U142" s="21">
        <f>T142/T$194</f>
        <v>0</v>
      </c>
      <c r="V142" s="38">
        <f>U142*V$202</f>
        <v>0</v>
      </c>
      <c r="W142" s="2">
        <v>0</v>
      </c>
      <c r="X142" s="21">
        <f>W142/W$194</f>
        <v>0</v>
      </c>
      <c r="Y142" s="38">
        <f>X142*Y$202</f>
        <v>0</v>
      </c>
      <c r="Z142" s="2">
        <v>0</v>
      </c>
      <c r="AA142" s="21">
        <f>Z142/Z$194</f>
        <v>0</v>
      </c>
      <c r="AB142" s="38">
        <f>AA142*AB$202</f>
        <v>0</v>
      </c>
      <c r="AC142" s="2">
        <v>0</v>
      </c>
      <c r="AD142" s="21">
        <f>AC142/AC$194</f>
        <v>0</v>
      </c>
      <c r="AE142" s="38">
        <f>AD142*AE$202</f>
        <v>0</v>
      </c>
      <c r="AF142" s="2">
        <v>0</v>
      </c>
      <c r="AG142" s="21">
        <f>AF142/AF$194</f>
        <v>0</v>
      </c>
      <c r="AH142" s="38">
        <f>AG142*AH$202</f>
        <v>0</v>
      </c>
      <c r="AI142" s="2">
        <v>760205.71342312137</v>
      </c>
      <c r="AJ142" s="21">
        <f>AI142/AI$194</f>
        <v>2.7135015451850279E-3</v>
      </c>
      <c r="AK142" s="38">
        <f>AJ142*AK$202</f>
        <v>661456.49161345221</v>
      </c>
      <c r="AL142" s="2">
        <v>760205.71342312137</v>
      </c>
    </row>
    <row r="143" spans="1:38" ht="12.75" x14ac:dyDescent="0.2">
      <c r="A143" s="8" t="s">
        <v>16</v>
      </c>
      <c r="B143" s="8" t="s">
        <v>17</v>
      </c>
      <c r="C143" s="8" t="s">
        <v>36</v>
      </c>
      <c r="D143" s="8" t="s">
        <v>31</v>
      </c>
      <c r="E143" s="8" t="s">
        <v>151</v>
      </c>
      <c r="F143" s="8" t="s">
        <v>188</v>
      </c>
      <c r="G143" s="8" t="s">
        <v>1150</v>
      </c>
      <c r="H143" s="34">
        <v>2189786.5635069846</v>
      </c>
      <c r="I143" s="21">
        <f t="shared" ref="I143:I144" si="280">H143/H$195</f>
        <v>6.6537761965912495E-3</v>
      </c>
      <c r="J143" s="38">
        <f t="shared" ref="J143:J144" si="281">I143*J$203</f>
        <v>2466787.6145774238</v>
      </c>
      <c r="K143" s="2">
        <v>2255480.1604121942</v>
      </c>
      <c r="L143" s="21">
        <f t="shared" ref="L143:L144" si="282">K143/K$195</f>
        <v>6.6623493277994774E-3</v>
      </c>
      <c r="M143" s="38">
        <f t="shared" ref="M143:M144" si="283">L143*M$203</f>
        <v>2193527.455999353</v>
      </c>
      <c r="N143" s="2">
        <v>219000</v>
      </c>
      <c r="O143" s="21">
        <f t="shared" ref="O143:O144" si="284">N143/N$195</f>
        <v>9.6274510931343698E-4</v>
      </c>
      <c r="P143" s="38">
        <f t="shared" ref="P143:P144" si="285">O143*P$203</f>
        <v>385309.28035186807</v>
      </c>
      <c r="Q143" s="2">
        <v>219000</v>
      </c>
      <c r="R143" s="21">
        <f t="shared" ref="R143:R144" si="286">Q143/Q$195</f>
        <v>6.5877013852477957E-4</v>
      </c>
      <c r="S143" s="38">
        <f t="shared" ref="S143:S144" si="287">R143*S$203</f>
        <v>310834.91323273885</v>
      </c>
      <c r="T143" s="2">
        <v>703139.53075203579</v>
      </c>
      <c r="U143" s="21">
        <f t="shared" ref="U143:U144" si="288">T143/T$195</f>
        <v>2.9170906121506329E-3</v>
      </c>
      <c r="V143" s="38">
        <f t="shared" ref="V143:V144" si="289">U143*V$203</f>
        <v>1405308.1020890889</v>
      </c>
      <c r="W143" s="2">
        <v>219000</v>
      </c>
      <c r="X143" s="21">
        <f t="shared" ref="X143:X144" si="290">W143/W$195</f>
        <v>8.3935567828277691E-4</v>
      </c>
      <c r="Y143" s="38">
        <f t="shared" ref="Y143:Y144" si="291">X143*Y$203</f>
        <v>412446.70183224254</v>
      </c>
      <c r="Z143" s="2">
        <v>219000</v>
      </c>
      <c r="AA143" s="21">
        <f t="shared" ref="AA143:AA144" si="292">Z143/Z$195</f>
        <v>8.8278659036645352E-4</v>
      </c>
      <c r="AB143" s="38">
        <f t="shared" ref="AB143:AB144" si="293">AA143*AB$203</f>
        <v>441596.17993406323</v>
      </c>
      <c r="AC143" s="2">
        <v>219000</v>
      </c>
      <c r="AD143" s="21">
        <f t="shared" ref="AD143:AD144" si="294">AC143/AC$195</f>
        <v>8.4815195508301474E-4</v>
      </c>
      <c r="AE143" s="38">
        <f t="shared" ref="AE143:AE144" si="295">AD143*AE$203</f>
        <v>432332.0496006374</v>
      </c>
      <c r="AF143" s="2">
        <v>219000</v>
      </c>
      <c r="AG143" s="21">
        <f t="shared" ref="AG143:AG144" si="296">AF143/AF$195</f>
        <v>8.457449835873259E-4</v>
      </c>
      <c r="AH143" s="38">
        <f t="shared" ref="AH143:AH144" si="297">AG143*AH$203</f>
        <v>438865.02634189575</v>
      </c>
      <c r="AI143" s="2">
        <v>1265081.4450740737</v>
      </c>
      <c r="AJ143" s="21">
        <f t="shared" ref="AJ143:AJ144" si="298">AI143/AI$195</f>
        <v>3.0487393266525626E-3</v>
      </c>
      <c r="AK143" s="38">
        <f t="shared" ref="AK143:AK144" si="299">AJ143*AK$203</f>
        <v>1610495.8616610609</v>
      </c>
      <c r="AL143" s="2">
        <v>3720220.9758261098</v>
      </c>
    </row>
    <row r="144" spans="1:38" ht="12.75" x14ac:dyDescent="0.2">
      <c r="A144" s="8" t="s">
        <v>16</v>
      </c>
      <c r="B144" s="8" t="s">
        <v>17</v>
      </c>
      <c r="C144" s="8" t="s">
        <v>36</v>
      </c>
      <c r="D144" s="8" t="s">
        <v>31</v>
      </c>
      <c r="E144" s="8" t="s">
        <v>151</v>
      </c>
      <c r="F144" s="8" t="s">
        <v>188</v>
      </c>
      <c r="G144" s="8" t="s">
        <v>1151</v>
      </c>
      <c r="H144" s="34">
        <v>240000</v>
      </c>
      <c r="I144" s="21">
        <f t="shared" si="280"/>
        <v>7.2925202565149742E-4</v>
      </c>
      <c r="J144" s="38">
        <f t="shared" si="281"/>
        <v>270359.23836816137</v>
      </c>
      <c r="K144" s="2">
        <v>240000</v>
      </c>
      <c r="L144" s="21">
        <f t="shared" si="282"/>
        <v>7.089239208291951E-4</v>
      </c>
      <c r="M144" s="38">
        <f t="shared" si="283"/>
        <v>233407.76774717247</v>
      </c>
      <c r="N144" s="2">
        <v>0</v>
      </c>
      <c r="O144" s="21">
        <f t="shared" si="284"/>
        <v>0</v>
      </c>
      <c r="P144" s="38">
        <f t="shared" si="285"/>
        <v>0</v>
      </c>
      <c r="Q144" s="2">
        <v>320594.77528920613</v>
      </c>
      <c r="R144" s="21">
        <f t="shared" si="286"/>
        <v>9.6437563711228725E-4</v>
      </c>
      <c r="S144" s="38">
        <f t="shared" si="287"/>
        <v>455032.18794470228</v>
      </c>
      <c r="T144" s="2">
        <v>0</v>
      </c>
      <c r="U144" s="21">
        <f t="shared" si="288"/>
        <v>0</v>
      </c>
      <c r="V144" s="38">
        <f t="shared" si="289"/>
        <v>0</v>
      </c>
      <c r="W144" s="2">
        <v>0</v>
      </c>
      <c r="X144" s="21">
        <f t="shared" si="290"/>
        <v>0</v>
      </c>
      <c r="Y144" s="38">
        <f t="shared" si="291"/>
        <v>0</v>
      </c>
      <c r="Z144" s="2">
        <v>0</v>
      </c>
      <c r="AA144" s="21">
        <f t="shared" si="292"/>
        <v>0</v>
      </c>
      <c r="AB144" s="38">
        <f t="shared" si="293"/>
        <v>0</v>
      </c>
      <c r="AC144" s="2">
        <v>0</v>
      </c>
      <c r="AD144" s="21">
        <f t="shared" si="294"/>
        <v>0</v>
      </c>
      <c r="AE144" s="38">
        <f t="shared" si="295"/>
        <v>0</v>
      </c>
      <c r="AF144" s="2">
        <v>0</v>
      </c>
      <c r="AG144" s="21">
        <f t="shared" si="296"/>
        <v>0</v>
      </c>
      <c r="AH144" s="38">
        <f t="shared" si="297"/>
        <v>0</v>
      </c>
      <c r="AI144" s="2">
        <v>0</v>
      </c>
      <c r="AJ144" s="21">
        <f t="shared" si="298"/>
        <v>0</v>
      </c>
      <c r="AK144" s="38">
        <f t="shared" si="299"/>
        <v>0</v>
      </c>
      <c r="AL144" s="2">
        <v>320594.77528920613</v>
      </c>
    </row>
    <row r="145" spans="1:38" ht="12.75" x14ac:dyDescent="0.2">
      <c r="A145" s="8" t="s">
        <v>16</v>
      </c>
      <c r="B145" s="8" t="s">
        <v>17</v>
      </c>
      <c r="C145" s="8" t="s">
        <v>36</v>
      </c>
      <c r="D145" s="8" t="s">
        <v>31</v>
      </c>
      <c r="E145" s="8" t="s">
        <v>151</v>
      </c>
      <c r="F145" s="8" t="s">
        <v>189</v>
      </c>
      <c r="G145" s="8" t="s">
        <v>1152</v>
      </c>
      <c r="H145" s="34">
        <v>4193912.0199299781</v>
      </c>
      <c r="I145" s="21">
        <f>H145/H$194</f>
        <v>2.709726286432354E-2</v>
      </c>
      <c r="J145" s="38">
        <f>I145*J$202</f>
        <v>5088417.8519806303</v>
      </c>
      <c r="K145" s="2">
        <v>4319729.3805278772</v>
      </c>
      <c r="L145" s="21">
        <f>K145/K$194</f>
        <v>2.7097262864323544E-2</v>
      </c>
      <c r="M145" s="38">
        <f>L145*M$202</f>
        <v>5621215.1464867163</v>
      </c>
      <c r="N145" s="2">
        <v>935234.66853136348</v>
      </c>
      <c r="O145" s="21">
        <f>N145/N$194</f>
        <v>5.5645584407782254E-3</v>
      </c>
      <c r="P145" s="38">
        <f>O145*P$202</f>
        <v>1184357.6023219803</v>
      </c>
      <c r="Q145" s="2">
        <v>0</v>
      </c>
      <c r="R145" s="21">
        <f>Q145/Q$194</f>
        <v>0</v>
      </c>
      <c r="S145" s="38">
        <f>R145*S$202</f>
        <v>0</v>
      </c>
      <c r="T145" s="2">
        <v>0</v>
      </c>
      <c r="U145" s="21">
        <f>T145/T$194</f>
        <v>0</v>
      </c>
      <c r="V145" s="38">
        <f>U145*V$202</f>
        <v>0</v>
      </c>
      <c r="W145" s="2">
        <v>0</v>
      </c>
      <c r="X145" s="21">
        <f>W145/W$194</f>
        <v>0</v>
      </c>
      <c r="Y145" s="38">
        <f>X145*Y$202</f>
        <v>0</v>
      </c>
      <c r="Z145" s="2">
        <v>0</v>
      </c>
      <c r="AA145" s="21">
        <f>Z145/Z$194</f>
        <v>0</v>
      </c>
      <c r="AB145" s="38">
        <f>AA145*AB$202</f>
        <v>0</v>
      </c>
      <c r="AC145" s="2">
        <v>0</v>
      </c>
      <c r="AD145" s="21">
        <f>AC145/AC$194</f>
        <v>0</v>
      </c>
      <c r="AE145" s="38">
        <f>AD145*AE$202</f>
        <v>0</v>
      </c>
      <c r="AF145" s="2">
        <v>0</v>
      </c>
      <c r="AG145" s="21">
        <f>AF145/AF$194</f>
        <v>0</v>
      </c>
      <c r="AH145" s="38">
        <f>AG145*AH$202</f>
        <v>0</v>
      </c>
      <c r="AI145" s="2">
        <v>0</v>
      </c>
      <c r="AJ145" s="21">
        <f>AI145/AI$194</f>
        <v>0</v>
      </c>
      <c r="AK145" s="38">
        <f>AJ145*AK$202</f>
        <v>0</v>
      </c>
      <c r="AL145" s="2">
        <v>935234.66853136348</v>
      </c>
    </row>
    <row r="146" spans="1:38" ht="12.75" x14ac:dyDescent="0.2">
      <c r="A146" s="8" t="s">
        <v>16</v>
      </c>
      <c r="B146" s="8" t="s">
        <v>17</v>
      </c>
      <c r="C146" s="8" t="s">
        <v>36</v>
      </c>
      <c r="D146" s="8" t="s">
        <v>31</v>
      </c>
      <c r="E146" s="8" t="s">
        <v>151</v>
      </c>
      <c r="F146" s="8" t="s">
        <v>192</v>
      </c>
      <c r="G146" s="8" t="s">
        <v>1153</v>
      </c>
      <c r="H146" s="34">
        <v>0</v>
      </c>
      <c r="I146" s="21">
        <f t="shared" ref="I146:I147" si="300">H146/H$193</f>
        <v>0</v>
      </c>
      <c r="J146" s="38">
        <f t="shared" ref="J146:J147" si="301">I146*J$201</f>
        <v>0</v>
      </c>
      <c r="K146" s="2">
        <v>0</v>
      </c>
      <c r="L146" s="21">
        <f t="shared" ref="L146:L147" ca="1" si="302">K146/K$193</f>
        <v>0</v>
      </c>
      <c r="M146" s="38">
        <f t="shared" ref="M146:M147" ca="1" si="303">L146*M$201</f>
        <v>0</v>
      </c>
      <c r="N146" s="2">
        <v>100000</v>
      </c>
      <c r="O146" s="21">
        <f t="shared" ref="O146:O147" ca="1" si="304">N146/N$193</f>
        <v>1.1104242640955681E-4</v>
      </c>
      <c r="P146" s="38">
        <f t="shared" ref="P146:P147" ca="1" si="305">O146*P$201</f>
        <v>100459.30189264934</v>
      </c>
      <c r="Q146" s="2">
        <v>100000</v>
      </c>
      <c r="R146" s="21">
        <f t="shared" ref="R146:R147" ca="1" si="306">Q146/Q$193</f>
        <v>7.3754218755873021E-5</v>
      </c>
      <c r="S146" s="38">
        <f t="shared" ref="S146:S147" ca="1" si="307">R146*S$201</f>
        <v>68259.596007729604</v>
      </c>
      <c r="T146" s="2">
        <v>100000</v>
      </c>
      <c r="U146" s="21">
        <f t="shared" ref="U146:U147" ca="1" si="308">T146/T$193</f>
        <v>1.0732980291098228E-4</v>
      </c>
      <c r="V146" s="38">
        <f t="shared" ref="V146:V147" ca="1" si="309">U146*V$201</f>
        <v>101419.83985617143</v>
      </c>
      <c r="W146" s="2">
        <v>100000</v>
      </c>
      <c r="X146" s="21">
        <f t="shared" ref="X146:X147" ca="1" si="310">W146/W$193</f>
        <v>1.0470349562559345E-4</v>
      </c>
      <c r="Y146" s="38">
        <f t="shared" ref="Y146:Y147" ca="1" si="311">X146*Y$201</f>
        <v>100916.90937831308</v>
      </c>
      <c r="Z146" s="2">
        <v>100000</v>
      </c>
      <c r="AA146" s="21">
        <f t="shared" ref="AA146:AA147" ca="1" si="312">Z146/Z$193</f>
        <v>1.0345808850359132E-4</v>
      </c>
      <c r="AB146" s="38">
        <f t="shared" ref="AB146:AB147" ca="1" si="313">AA146*AB$201</f>
        <v>101511.43997795935</v>
      </c>
      <c r="AC146" s="2">
        <v>100000</v>
      </c>
      <c r="AD146" s="21">
        <f t="shared" ref="AD146:AD147" ca="1" si="314">AC146/AC$193</f>
        <v>1.0174263418734484E-4</v>
      </c>
      <c r="AE146" s="38">
        <f t="shared" ref="AE146:AE147" ca="1" si="315">AD146*AE$201</f>
        <v>101725.00034119394</v>
      </c>
      <c r="AF146" s="2">
        <v>100000</v>
      </c>
      <c r="AG146" s="21">
        <f t="shared" ref="AG146:AG147" ca="1" si="316">AF146/AF$193</f>
        <v>1.0029348396935115E-4</v>
      </c>
      <c r="AH146" s="38">
        <f t="shared" ref="AH146:AH147" ca="1" si="317">AG146*AH$201</f>
        <v>102081.07111010716</v>
      </c>
      <c r="AI146" s="2">
        <v>100000</v>
      </c>
      <c r="AJ146" s="21">
        <f t="shared" ref="AJ146:AJ147" ca="1" si="318">AI146/AI$193</f>
        <v>6.669882739498341E-5</v>
      </c>
      <c r="AK146" s="38">
        <f t="shared" ref="AK146:AK147" ca="1" si="319">AJ146*AK$201</f>
        <v>69109.615573435789</v>
      </c>
      <c r="AL146" s="2">
        <v>1000000</v>
      </c>
    </row>
    <row r="147" spans="1:38" ht="12.75" x14ac:dyDescent="0.2">
      <c r="A147" s="8" t="s">
        <v>16</v>
      </c>
      <c r="B147" s="8" t="s">
        <v>17</v>
      </c>
      <c r="C147" s="8" t="s">
        <v>36</v>
      </c>
      <c r="D147" s="8" t="s">
        <v>31</v>
      </c>
      <c r="E147" s="8" t="s">
        <v>151</v>
      </c>
      <c r="F147" s="8" t="s">
        <v>192</v>
      </c>
      <c r="G147" s="8" t="s">
        <v>1154</v>
      </c>
      <c r="H147" s="34">
        <v>553330.17265667429</v>
      </c>
      <c r="I147" s="21">
        <f t="shared" si="300"/>
        <v>6.3339896385103585E-4</v>
      </c>
      <c r="J147" s="38">
        <f t="shared" si="301"/>
        <v>533609.95039412659</v>
      </c>
      <c r="K147" s="2">
        <v>569930.07783637452</v>
      </c>
      <c r="L147" s="21">
        <f t="shared" ca="1" si="302"/>
        <v>6.3436422804949541E-4</v>
      </c>
      <c r="M147" s="38">
        <f t="shared" ca="1" si="303"/>
        <v>559361.4559577558</v>
      </c>
      <c r="N147" s="2">
        <v>0</v>
      </c>
      <c r="O147" s="21">
        <f t="shared" ca="1" si="304"/>
        <v>0</v>
      </c>
      <c r="P147" s="38">
        <f t="shared" ca="1" si="305"/>
        <v>0</v>
      </c>
      <c r="Q147" s="2">
        <v>0</v>
      </c>
      <c r="R147" s="21">
        <f t="shared" ca="1" si="306"/>
        <v>0</v>
      </c>
      <c r="S147" s="38">
        <f t="shared" ca="1" si="307"/>
        <v>0</v>
      </c>
      <c r="T147" s="2">
        <v>0</v>
      </c>
      <c r="U147" s="21">
        <f t="shared" ca="1" si="308"/>
        <v>0</v>
      </c>
      <c r="V147" s="38">
        <f t="shared" ca="1" si="309"/>
        <v>0</v>
      </c>
      <c r="W147" s="2">
        <v>0</v>
      </c>
      <c r="X147" s="21">
        <f t="shared" ca="1" si="310"/>
        <v>0</v>
      </c>
      <c r="Y147" s="38">
        <f t="shared" ca="1" si="311"/>
        <v>0</v>
      </c>
      <c r="Z147" s="2">
        <v>0</v>
      </c>
      <c r="AA147" s="21">
        <f t="shared" ca="1" si="312"/>
        <v>0</v>
      </c>
      <c r="AB147" s="38">
        <f t="shared" ca="1" si="313"/>
        <v>0</v>
      </c>
      <c r="AC147" s="2">
        <v>0</v>
      </c>
      <c r="AD147" s="21">
        <f t="shared" ca="1" si="314"/>
        <v>0</v>
      </c>
      <c r="AE147" s="38">
        <f t="shared" ca="1" si="315"/>
        <v>0</v>
      </c>
      <c r="AF147" s="2">
        <v>0</v>
      </c>
      <c r="AG147" s="21">
        <f t="shared" ca="1" si="316"/>
        <v>0</v>
      </c>
      <c r="AH147" s="38">
        <f t="shared" ca="1" si="317"/>
        <v>0</v>
      </c>
      <c r="AI147" s="2">
        <v>0</v>
      </c>
      <c r="AJ147" s="21">
        <f t="shared" ca="1" si="318"/>
        <v>0</v>
      </c>
      <c r="AK147" s="38">
        <f t="shared" ca="1" si="319"/>
        <v>0</v>
      </c>
      <c r="AL147" s="2">
        <v>0</v>
      </c>
    </row>
    <row r="148" spans="1:38" ht="12.75" x14ac:dyDescent="0.2">
      <c r="A148" s="8" t="s">
        <v>152</v>
      </c>
      <c r="B148" s="8" t="s">
        <v>17</v>
      </c>
      <c r="C148" s="8" t="s">
        <v>36</v>
      </c>
      <c r="D148" s="8" t="s">
        <v>19</v>
      </c>
      <c r="E148" s="8" t="s">
        <v>19</v>
      </c>
      <c r="F148" s="8" t="s">
        <v>188</v>
      </c>
      <c r="G148" s="8" t="s">
        <v>1155</v>
      </c>
      <c r="H148" s="34">
        <v>0</v>
      </c>
      <c r="I148" s="21">
        <f>H148/H$195</f>
        <v>0</v>
      </c>
      <c r="J148" s="38">
        <f>I148*J$203</f>
        <v>0</v>
      </c>
      <c r="K148" s="2">
        <v>0</v>
      </c>
      <c r="L148" s="21">
        <f>K148/K$195</f>
        <v>0</v>
      </c>
      <c r="M148" s="38">
        <f>L148*M$203</f>
        <v>0</v>
      </c>
      <c r="N148" s="2">
        <v>0</v>
      </c>
      <c r="O148" s="21">
        <f>N148/N$195</f>
        <v>0</v>
      </c>
      <c r="P148" s="38">
        <f>O148*P$203</f>
        <v>0</v>
      </c>
      <c r="Q148" s="2">
        <v>0</v>
      </c>
      <c r="R148" s="21">
        <f>Q148/Q$195</f>
        <v>0</v>
      </c>
      <c r="S148" s="38">
        <f>R148*S$203</f>
        <v>0</v>
      </c>
      <c r="T148" s="2">
        <v>0</v>
      </c>
      <c r="U148" s="21">
        <f>T148/T$195</f>
        <v>0</v>
      </c>
      <c r="V148" s="38">
        <f>U148*V$203</f>
        <v>0</v>
      </c>
      <c r="W148" s="2">
        <v>0</v>
      </c>
      <c r="X148" s="21">
        <f>W148/W$195</f>
        <v>0</v>
      </c>
      <c r="Y148" s="38">
        <f>X148*Y$203</f>
        <v>0</v>
      </c>
      <c r="Z148" s="2">
        <v>0</v>
      </c>
      <c r="AA148" s="21">
        <f>Z148/Z$195</f>
        <v>0</v>
      </c>
      <c r="AB148" s="38">
        <f>AA148*AB$203</f>
        <v>0</v>
      </c>
      <c r="AC148" s="2">
        <v>0</v>
      </c>
      <c r="AD148" s="21">
        <f>AC148/AC$195</f>
        <v>0</v>
      </c>
      <c r="AE148" s="38">
        <f>AD148*AE$203</f>
        <v>0</v>
      </c>
      <c r="AF148" s="2">
        <v>0</v>
      </c>
      <c r="AG148" s="21">
        <f>AF148/AF$195</f>
        <v>0</v>
      </c>
      <c r="AH148" s="38">
        <f>AG148*AH$203</f>
        <v>0</v>
      </c>
      <c r="AI148" s="2">
        <v>0</v>
      </c>
      <c r="AJ148" s="21">
        <f>AI148/AI$195</f>
        <v>0</v>
      </c>
      <c r="AK148" s="38">
        <f>AJ148*AK$203</f>
        <v>0</v>
      </c>
      <c r="AL148" s="2">
        <v>0</v>
      </c>
    </row>
    <row r="149" spans="1:38" ht="12.75" x14ac:dyDescent="0.2">
      <c r="A149" s="8" t="s">
        <v>152</v>
      </c>
      <c r="B149" s="8" t="s">
        <v>17</v>
      </c>
      <c r="C149" s="8" t="s">
        <v>36</v>
      </c>
      <c r="D149" s="8" t="s">
        <v>19</v>
      </c>
      <c r="E149" s="8" t="s">
        <v>19</v>
      </c>
      <c r="F149" s="8" t="s">
        <v>189</v>
      </c>
      <c r="G149" s="8" t="s">
        <v>1156</v>
      </c>
      <c r="H149" s="34">
        <v>6025630.3000738844</v>
      </c>
      <c r="I149" s="21">
        <f>H149/H$194</f>
        <v>3.8932168197238645E-2</v>
      </c>
      <c r="J149" s="38">
        <f>I149*J$202</f>
        <v>7310817.3568322193</v>
      </c>
      <c r="K149" s="2">
        <v>6206399.209076101</v>
      </c>
      <c r="L149" s="21">
        <f>K149/K$194</f>
        <v>3.8932168197238652E-2</v>
      </c>
      <c r="M149" s="38">
        <f>L149*M$202</f>
        <v>8076317.3259104602</v>
      </c>
      <c r="N149" s="2">
        <v>6367765.5885120798</v>
      </c>
      <c r="O149" s="21">
        <f>N149/N$194</f>
        <v>3.7887607192850475E-2</v>
      </c>
      <c r="P149" s="38">
        <f>O149*P$202</f>
        <v>8063977.7783276923</v>
      </c>
      <c r="Q149" s="2">
        <v>9737738.1718007829</v>
      </c>
      <c r="R149" s="21">
        <f>Q149/Q$194</f>
        <v>3.9056889895115687E-2</v>
      </c>
      <c r="S149" s="38">
        <f>R149*S$202</f>
        <v>8504042.7624723334</v>
      </c>
      <c r="T149" s="2">
        <v>6621661.9568245318</v>
      </c>
      <c r="U149" s="21">
        <f>T149/T$194</f>
        <v>3.8140887360329181E-2</v>
      </c>
      <c r="V149" s="38">
        <f>U149*V$202</f>
        <v>8478993.7056260407</v>
      </c>
      <c r="W149" s="2">
        <v>6754095.1959610227</v>
      </c>
      <c r="X149" s="21">
        <f>W149/W$194</f>
        <v>3.7992552184929126E-2</v>
      </c>
      <c r="Y149" s="38">
        <f>X149*Y$202</f>
        <v>8614938.0833008494</v>
      </c>
      <c r="Z149" s="2">
        <v>6875668.9094883213</v>
      </c>
      <c r="AA149" s="21">
        <f>Z149/Z$194</f>
        <v>3.8234261584869929E-2</v>
      </c>
      <c r="AB149" s="38">
        <f>AA149*AB$202</f>
        <v>8825801.9338412452</v>
      </c>
      <c r="AC149" s="2">
        <v>6999430.9498591116</v>
      </c>
      <c r="AD149" s="21">
        <f>AC149/AC$194</f>
        <v>3.8186929934606137E-2</v>
      </c>
      <c r="AE149" s="38">
        <f>AD149*AE$202</f>
        <v>8982358.7836257778</v>
      </c>
      <c r="AF149" s="2">
        <v>7105822.3002969706</v>
      </c>
      <c r="AG149" s="21">
        <f>AF149/AF$194</f>
        <v>3.8342158081529264E-2</v>
      </c>
      <c r="AH149" s="38">
        <f>AG149*AH$202</f>
        <v>9181211.3568031415</v>
      </c>
      <c r="AI149" s="2">
        <v>10820746.198892228</v>
      </c>
      <c r="AJ149" s="21">
        <f>AI149/AI$194</f>
        <v>3.8623902730926307E-2</v>
      </c>
      <c r="AK149" s="38">
        <f>AJ149*AK$202</f>
        <v>9415152.6237939503</v>
      </c>
      <c r="AL149" s="2">
        <v>73514958.780785024</v>
      </c>
    </row>
    <row r="150" spans="1:38" ht="12.75" x14ac:dyDescent="0.2">
      <c r="A150" s="8" t="s">
        <v>152</v>
      </c>
      <c r="B150" s="8" t="s">
        <v>17</v>
      </c>
      <c r="C150" s="8" t="s">
        <v>36</v>
      </c>
      <c r="D150" s="8" t="s">
        <v>19</v>
      </c>
      <c r="E150" s="8" t="s">
        <v>19</v>
      </c>
      <c r="F150" s="8" t="s">
        <v>192</v>
      </c>
      <c r="G150" s="8" t="s">
        <v>1157</v>
      </c>
      <c r="H150" s="34">
        <v>-9713560.7791361194</v>
      </c>
      <c r="I150" s="21">
        <f>H150/H$193</f>
        <v>-1.1119146644884606E-2</v>
      </c>
      <c r="J150" s="38">
        <f>I150*J$201</f>
        <v>-9367377.6375126764</v>
      </c>
      <c r="K150" s="2">
        <v>-10004967.602510203</v>
      </c>
      <c r="L150" s="21">
        <f ca="1">K150/K$193</f>
        <v>-1.1136091595518045E-2</v>
      </c>
      <c r="M150" s="38">
        <f ca="1">L150*M$201</f>
        <v>-9819438.318110656</v>
      </c>
      <c r="N150" s="2">
        <v>-10265096.760175468</v>
      </c>
      <c r="O150" s="21">
        <f ca="1">N150/N$193</f>
        <v>-1.1398612515787644E-2</v>
      </c>
      <c r="P150" s="38">
        <f ca="1">O150*P$201</f>
        <v>-10312244.54387724</v>
      </c>
      <c r="Q150" s="2">
        <v>-15674802.75278794</v>
      </c>
      <c r="R150" s="21">
        <f ca="1">Q150/Q$193</f>
        <v>-1.1560828311842823E-2</v>
      </c>
      <c r="S150" s="38">
        <f ca="1">R150*S$201</f>
        <v>-10699557.034061525</v>
      </c>
      <c r="T150" s="2">
        <v>-10635410.272614319</v>
      </c>
      <c r="U150" s="21">
        <f ca="1">T150/T$193</f>
        <v>-1.1414964884371312E-2</v>
      </c>
      <c r="V150" s="38">
        <f ca="1">U150*V$201</f>
        <v>-10786416.066532247</v>
      </c>
      <c r="W150" s="2">
        <v>-10848118.478066605</v>
      </c>
      <c r="X150" s="21">
        <f ca="1">W150/W$193</f>
        <v>-1.1358359256141662E-2</v>
      </c>
      <c r="Y150" s="38">
        <f ca="1">X150*Y$201</f>
        <v>-10947585.893762512</v>
      </c>
      <c r="Z150" s="2">
        <v>-11043384.610671803</v>
      </c>
      <c r="AA150" s="21">
        <f ca="1">Z150/Z$193</f>
        <v>-1.1425274624300819E-2</v>
      </c>
      <c r="AB150" s="38">
        <f ca="1">AA150*AB$201</f>
        <v>-11210298.740597308</v>
      </c>
      <c r="AC150" s="2">
        <v>-11242165.533663897</v>
      </c>
      <c r="AD150" s="21">
        <f ca="1">AC150/AC$193</f>
        <v>-1.1438075353651421E-2</v>
      </c>
      <c r="AE150" s="38">
        <f ca="1">AD150*AE$201</f>
        <v>-11436092.927477185</v>
      </c>
      <c r="AF150" s="2">
        <v>-11413046.44977559</v>
      </c>
      <c r="AG150" s="21">
        <f ca="1">AF150/AF$193</f>
        <v>-1.1446541911520282E-2</v>
      </c>
      <c r="AH150" s="38">
        <f ca="1">AG150*AH$201</f>
        <v>-11650560.062224982</v>
      </c>
      <c r="AI150" s="2">
        <v>-17379787.133718267</v>
      </c>
      <c r="AJ150" s="21">
        <f ca="1">AI150/AI$193</f>
        <v>-1.1592114221934281E-2</v>
      </c>
      <c r="AK150" s="38">
        <f ca="1">AJ150*AK$201</f>
        <v>-12011104.07559415</v>
      </c>
      <c r="AL150" s="2">
        <v>-118220340.37312022</v>
      </c>
    </row>
    <row r="151" spans="1:38" ht="12.75" x14ac:dyDescent="0.2">
      <c r="A151" s="8" t="s">
        <v>152</v>
      </c>
      <c r="B151" s="8" t="s">
        <v>17</v>
      </c>
      <c r="C151" s="8" t="s">
        <v>36</v>
      </c>
      <c r="D151" s="8" t="s">
        <v>156</v>
      </c>
      <c r="E151" s="8" t="s">
        <v>208</v>
      </c>
      <c r="F151" s="8" t="s">
        <v>188</v>
      </c>
      <c r="G151" s="8" t="s">
        <v>1158</v>
      </c>
      <c r="H151" s="34">
        <v>3690208.484721256</v>
      </c>
      <c r="I151" s="21">
        <f t="shared" ref="I151:I155" si="320">H151/H$195</f>
        <v>1.1212883385663827E-2</v>
      </c>
      <c r="J151" s="38">
        <f t="shared" ref="J151:J155" si="321">I151*J$203</f>
        <v>4157008.1472873562</v>
      </c>
      <c r="K151" s="2">
        <v>3800914.7392628938</v>
      </c>
      <c r="L151" s="21">
        <f t="shared" ref="L151:L155" si="322">K151/K$195</f>
        <v>1.1227330748732202E-2</v>
      </c>
      <c r="M151" s="38">
        <f t="shared" ref="M151:M155" si="323">L151*M$203</f>
        <v>3696512.6028694925</v>
      </c>
      <c r="N151" s="2">
        <v>3899738.5224837293</v>
      </c>
      <c r="O151" s="21">
        <f t="shared" ref="O151:O155" si="324">N151/N$195</f>
        <v>1.7143626438915156E-2</v>
      </c>
      <c r="P151" s="38">
        <f t="shared" ref="P151:P155" si="325">O151*P$203</f>
        <v>6861212.0715007447</v>
      </c>
      <c r="Q151" s="2">
        <v>6010180.2544394415</v>
      </c>
      <c r="R151" s="21">
        <f t="shared" ref="R151:R155" si="326">Q151/Q$195</f>
        <v>1.8079119994410805E-2</v>
      </c>
      <c r="S151" s="38">
        <f t="shared" ref="S151:S155" si="327">R151*S$203</f>
        <v>8530474.2369945403</v>
      </c>
      <c r="T151" s="2">
        <v>4126990.4413817497</v>
      </c>
      <c r="U151" s="21">
        <f t="shared" ref="U151:U155" si="328">T151/T$195</f>
        <v>1.7121502271553578E-2</v>
      </c>
      <c r="V151" s="38">
        <f t="shared" ref="V151:V155" si="329">U151*V$203</f>
        <v>8248281.9566622777</v>
      </c>
      <c r="W151" s="2">
        <v>4242546.1737404391</v>
      </c>
      <c r="X151" s="21">
        <f t="shared" ref="X151:X155" si="330">W151/W$195</f>
        <v>1.6260297814182218E-2</v>
      </c>
      <c r="Y151" s="38">
        <f t="shared" ref="Y151:Y155" si="331">X151*Y$203</f>
        <v>7990064.7339280555</v>
      </c>
      <c r="Z151" s="2">
        <v>4361337.4666051716</v>
      </c>
      <c r="AA151" s="21">
        <f t="shared" ref="AA151:AA155" si="332">Z151/Z$195</f>
        <v>1.7580503340556372E-2</v>
      </c>
      <c r="AB151" s="38">
        <f t="shared" ref="AB151:AB155" si="333">AA151*AB$203</f>
        <v>8794292.0760554727</v>
      </c>
      <c r="AC151" s="2">
        <v>4439841.5410040645</v>
      </c>
      <c r="AD151" s="21">
        <f t="shared" ref="AD151:AD155" si="334">AC151/AC$195</f>
        <v>1.7194795813978914E-2</v>
      </c>
      <c r="AE151" s="38">
        <f t="shared" ref="AE151:AE155" si="335">AD151*AE$203</f>
        <v>8764775.3119832855</v>
      </c>
      <c r="AF151" s="2">
        <v>4507327.1324273264</v>
      </c>
      <c r="AG151" s="21">
        <f t="shared" ref="AG151:AG155" si="336">AF151/AF$195</f>
        <v>1.7406617861358255E-2</v>
      </c>
      <c r="AH151" s="38">
        <f t="shared" ref="AH151:AH155" si="337">AG151*AH$203</f>
        <v>9032457.7201107759</v>
      </c>
      <c r="AI151" s="2">
        <v>6863757.7572603337</v>
      </c>
      <c r="AJ151" s="21">
        <f t="shared" ref="AJ151:AJ155" si="338">AI151/AI$195</f>
        <v>1.6541075900414391E-2</v>
      </c>
      <c r="AK151" s="38">
        <f t="shared" ref="AK151:AK155" si="339">AJ151*AK$203</f>
        <v>8737819.6135542318</v>
      </c>
      <c r="AL151" s="2">
        <v>45942842.513326406</v>
      </c>
    </row>
    <row r="152" spans="1:38" ht="12.75" x14ac:dyDescent="0.2">
      <c r="A152" s="8" t="s">
        <v>152</v>
      </c>
      <c r="B152" s="8" t="s">
        <v>17</v>
      </c>
      <c r="C152" s="8" t="s">
        <v>36</v>
      </c>
      <c r="D152" s="8" t="s">
        <v>156</v>
      </c>
      <c r="E152" s="8" t="s">
        <v>129</v>
      </c>
      <c r="F152" s="8" t="s">
        <v>188</v>
      </c>
      <c r="G152" s="8" t="s">
        <v>1159</v>
      </c>
      <c r="H152" s="34">
        <v>0</v>
      </c>
      <c r="I152" s="21">
        <f t="shared" si="320"/>
        <v>0</v>
      </c>
      <c r="J152" s="38">
        <f t="shared" si="321"/>
        <v>0</v>
      </c>
      <c r="K152" s="2">
        <v>0</v>
      </c>
      <c r="L152" s="21">
        <f t="shared" si="322"/>
        <v>0</v>
      </c>
      <c r="M152" s="38">
        <f t="shared" si="323"/>
        <v>0</v>
      </c>
      <c r="N152" s="2">
        <v>0</v>
      </c>
      <c r="O152" s="21">
        <f t="shared" si="324"/>
        <v>0</v>
      </c>
      <c r="P152" s="38">
        <f t="shared" si="325"/>
        <v>0</v>
      </c>
      <c r="Q152" s="2">
        <v>0</v>
      </c>
      <c r="R152" s="21">
        <f t="shared" si="326"/>
        <v>0</v>
      </c>
      <c r="S152" s="38">
        <f t="shared" si="327"/>
        <v>0</v>
      </c>
      <c r="T152" s="2">
        <v>0</v>
      </c>
      <c r="U152" s="21">
        <f t="shared" si="328"/>
        <v>0</v>
      </c>
      <c r="V152" s="38">
        <f t="shared" si="329"/>
        <v>0</v>
      </c>
      <c r="W152" s="2">
        <v>0</v>
      </c>
      <c r="X152" s="21">
        <f t="shared" si="330"/>
        <v>0</v>
      </c>
      <c r="Y152" s="38">
        <f t="shared" si="331"/>
        <v>0</v>
      </c>
      <c r="Z152" s="2">
        <v>0</v>
      </c>
      <c r="AA152" s="21">
        <f t="shared" si="332"/>
        <v>0</v>
      </c>
      <c r="AB152" s="38">
        <f t="shared" si="333"/>
        <v>0</v>
      </c>
      <c r="AC152" s="2">
        <v>0</v>
      </c>
      <c r="AD152" s="21">
        <f t="shared" si="334"/>
        <v>0</v>
      </c>
      <c r="AE152" s="38">
        <f t="shared" si="335"/>
        <v>0</v>
      </c>
      <c r="AF152" s="2">
        <v>0</v>
      </c>
      <c r="AG152" s="21">
        <f t="shared" si="336"/>
        <v>0</v>
      </c>
      <c r="AH152" s="38">
        <f t="shared" si="337"/>
        <v>0</v>
      </c>
      <c r="AI152" s="2">
        <v>0</v>
      </c>
      <c r="AJ152" s="21">
        <f t="shared" si="338"/>
        <v>0</v>
      </c>
      <c r="AK152" s="38">
        <f t="shared" si="339"/>
        <v>0</v>
      </c>
      <c r="AL152" s="2">
        <v>0</v>
      </c>
    </row>
    <row r="153" spans="1:38" ht="12.75" x14ac:dyDescent="0.2">
      <c r="A153" s="8" t="s">
        <v>152</v>
      </c>
      <c r="B153" s="8" t="s">
        <v>17</v>
      </c>
      <c r="C153" s="8" t="s">
        <v>36</v>
      </c>
      <c r="D153" s="8" t="s">
        <v>19</v>
      </c>
      <c r="E153" s="8" t="s">
        <v>153</v>
      </c>
      <c r="F153" s="8" t="s">
        <v>188</v>
      </c>
      <c r="G153" s="8" t="s">
        <v>1160</v>
      </c>
      <c r="H153" s="34">
        <v>5217290.3894634526</v>
      </c>
      <c r="I153" s="21">
        <f t="shared" si="320"/>
        <v>1.5852998270534636E-2</v>
      </c>
      <c r="J153" s="38">
        <f t="shared" si="321"/>
        <v>5877261.0668369457</v>
      </c>
      <c r="K153" s="2">
        <v>5373809.1011473564</v>
      </c>
      <c r="L153" s="21">
        <f t="shared" si="322"/>
        <v>1.5873424240720819E-2</v>
      </c>
      <c r="M153" s="38">
        <f t="shared" si="323"/>
        <v>5226203.2774926824</v>
      </c>
      <c r="N153" s="2">
        <v>5513528.1377771879</v>
      </c>
      <c r="O153" s="21">
        <f t="shared" si="324"/>
        <v>2.4238001140214654E-2</v>
      </c>
      <c r="P153" s="38">
        <f t="shared" si="325"/>
        <v>9700518.5340945367</v>
      </c>
      <c r="Q153" s="2">
        <v>8497312.7697955742</v>
      </c>
      <c r="R153" s="21">
        <f t="shared" si="326"/>
        <v>2.5560620595646618E-2</v>
      </c>
      <c r="S153" s="38">
        <f t="shared" si="327"/>
        <v>12060554.691830371</v>
      </c>
      <c r="T153" s="2">
        <v>5834821.4352596272</v>
      </c>
      <c r="U153" s="21">
        <f t="shared" si="328"/>
        <v>2.4206721550937151E-2</v>
      </c>
      <c r="V153" s="38">
        <f t="shared" si="329"/>
        <v>11661585.615081988</v>
      </c>
      <c r="W153" s="2">
        <v>5998196.4354468966</v>
      </c>
      <c r="X153" s="21">
        <f t="shared" si="330"/>
        <v>2.2989133504784768E-2</v>
      </c>
      <c r="Y153" s="38">
        <f t="shared" si="331"/>
        <v>11296512.953159753</v>
      </c>
      <c r="Z153" s="2">
        <v>6166145.9356394103</v>
      </c>
      <c r="AA153" s="21">
        <f t="shared" si="332"/>
        <v>2.4855666421119089E-2</v>
      </c>
      <c r="AB153" s="38">
        <f t="shared" si="333"/>
        <v>12433545.616869012</v>
      </c>
      <c r="AC153" s="2">
        <v>6277136.56248092</v>
      </c>
      <c r="AD153" s="21">
        <f t="shared" si="334"/>
        <v>2.4310345423704416E-2</v>
      </c>
      <c r="AE153" s="38">
        <f t="shared" si="335"/>
        <v>12391814.226851488</v>
      </c>
      <c r="AF153" s="2">
        <v>6372549.0382306306</v>
      </c>
      <c r="AG153" s="21">
        <f t="shared" si="336"/>
        <v>2.460982366094883E-2</v>
      </c>
      <c r="AH153" s="38">
        <f t="shared" si="337"/>
        <v>12770268.956749352</v>
      </c>
      <c r="AI153" s="2">
        <v>9704117.6754176058</v>
      </c>
      <c r="AJ153" s="21">
        <f t="shared" si="338"/>
        <v>2.3386103165695869E-2</v>
      </c>
      <c r="AK153" s="38">
        <f t="shared" si="339"/>
        <v>12353703.722543273</v>
      </c>
      <c r="AL153" s="2">
        <v>64954907.48065865</v>
      </c>
    </row>
    <row r="154" spans="1:38" ht="12.75" x14ac:dyDescent="0.2">
      <c r="A154" s="8" t="s">
        <v>152</v>
      </c>
      <c r="B154" s="8" t="s">
        <v>17</v>
      </c>
      <c r="C154" s="8" t="s">
        <v>36</v>
      </c>
      <c r="D154" s="8" t="s">
        <v>19</v>
      </c>
      <c r="E154" s="8" t="s">
        <v>41</v>
      </c>
      <c r="F154" s="8" t="s">
        <v>188</v>
      </c>
      <c r="G154" s="8" t="s">
        <v>1161</v>
      </c>
      <c r="H154" s="34">
        <v>9653841.8489719518</v>
      </c>
      <c r="I154" s="21">
        <f t="shared" si="320"/>
        <v>2.9333682182008304E-2</v>
      </c>
      <c r="J154" s="38">
        <f t="shared" si="321"/>
        <v>10875022.20672808</v>
      </c>
      <c r="K154" s="2">
        <v>9943457.10444111</v>
      </c>
      <c r="L154" s="21">
        <f t="shared" si="322"/>
        <v>2.9371477487822109E-2</v>
      </c>
      <c r="M154" s="38">
        <f t="shared" si="323"/>
        <v>9670333.8601556774</v>
      </c>
      <c r="N154" s="2">
        <v>10201986.98915658</v>
      </c>
      <c r="O154" s="21">
        <f t="shared" si="324"/>
        <v>4.4848918169359882E-2</v>
      </c>
      <c r="P154" s="38">
        <f t="shared" si="325"/>
        <v>17949407.602516182</v>
      </c>
      <c r="Q154" s="2">
        <v>15723049.226188932</v>
      </c>
      <c r="R154" s="21">
        <f t="shared" si="326"/>
        <v>4.7296234323143428E-2</v>
      </c>
      <c r="S154" s="38">
        <f t="shared" si="327"/>
        <v>22316313.433682732</v>
      </c>
      <c r="T154" s="2">
        <v>10796493.801983066</v>
      </c>
      <c r="U154" s="21">
        <f t="shared" si="328"/>
        <v>4.4791039810011576E-2</v>
      </c>
      <c r="V154" s="38">
        <f t="shared" si="329"/>
        <v>21578078.817235529</v>
      </c>
      <c r="W154" s="2">
        <v>11098795.628438592</v>
      </c>
      <c r="X154" s="21">
        <f t="shared" si="330"/>
        <v>4.2538069099680331E-2</v>
      </c>
      <c r="Y154" s="38">
        <f t="shared" si="331"/>
        <v>20902564.617623784</v>
      </c>
      <c r="Z154" s="2">
        <v>11409561.906034872</v>
      </c>
      <c r="AA154" s="21">
        <f t="shared" si="332"/>
        <v>4.5991818505038806E-2</v>
      </c>
      <c r="AB154" s="38">
        <f t="shared" si="333"/>
        <v>23006479.234822869</v>
      </c>
      <c r="AC154" s="2">
        <v>11614934.020343499</v>
      </c>
      <c r="AD154" s="21">
        <f t="shared" si="334"/>
        <v>4.4982780810568765E-2</v>
      </c>
      <c r="AE154" s="38">
        <f t="shared" si="335"/>
        <v>22929261.32872729</v>
      </c>
      <c r="AF154" s="2">
        <v>11791481.017452722</v>
      </c>
      <c r="AG154" s="21">
        <f t="shared" si="336"/>
        <v>4.5536922007195509E-2</v>
      </c>
      <c r="AH154" s="38">
        <f t="shared" si="337"/>
        <v>23629537.111115765</v>
      </c>
      <c r="AI154" s="2">
        <v>17956067.293377008</v>
      </c>
      <c r="AJ154" s="21">
        <f t="shared" si="338"/>
        <v>4.3272604086081551E-2</v>
      </c>
      <c r="AK154" s="38">
        <f t="shared" si="339"/>
        <v>22858743.348336726</v>
      </c>
      <c r="AL154" s="2">
        <v>120189668.83638832</v>
      </c>
    </row>
    <row r="155" spans="1:38" ht="12.75" x14ac:dyDescent="0.2">
      <c r="A155" s="8" t="s">
        <v>152</v>
      </c>
      <c r="B155" s="8" t="s">
        <v>17</v>
      </c>
      <c r="C155" s="8" t="s">
        <v>36</v>
      </c>
      <c r="D155" s="8" t="s">
        <v>19</v>
      </c>
      <c r="E155" s="8" t="s">
        <v>154</v>
      </c>
      <c r="F155" s="8" t="s">
        <v>188</v>
      </c>
      <c r="G155" s="8" t="s">
        <v>1162</v>
      </c>
      <c r="H155" s="34">
        <v>9235511.0604296066</v>
      </c>
      <c r="I155" s="21">
        <f t="shared" si="320"/>
        <v>2.8062563119771247E-2</v>
      </c>
      <c r="J155" s="38">
        <f t="shared" si="321"/>
        <v>10403773.90099366</v>
      </c>
      <c r="K155" s="2">
        <v>9512576.392242495</v>
      </c>
      <c r="L155" s="21">
        <f t="shared" si="322"/>
        <v>2.809872063823245E-2</v>
      </c>
      <c r="M155" s="38">
        <f t="shared" si="323"/>
        <v>9251288.4218240492</v>
      </c>
      <c r="N155" s="2">
        <v>9759903.3784407992</v>
      </c>
      <c r="O155" s="21">
        <f t="shared" si="324"/>
        <v>4.2905476004408999E-2</v>
      </c>
      <c r="P155" s="38">
        <f t="shared" si="325"/>
        <v>17171604.324432835</v>
      </c>
      <c r="Q155" s="2">
        <v>15041720.933890237</v>
      </c>
      <c r="R155" s="21">
        <f t="shared" si="326"/>
        <v>4.5246742389360495E-2</v>
      </c>
      <c r="S155" s="38">
        <f t="shared" si="327"/>
        <v>21349278.63633262</v>
      </c>
      <c r="T155" s="2">
        <v>10328648.374604629</v>
      </c>
      <c r="U155" s="21">
        <f t="shared" si="328"/>
        <v>4.2850105693160563E-2</v>
      </c>
      <c r="V155" s="38">
        <f t="shared" si="329"/>
        <v>20643034.006261721</v>
      </c>
      <c r="W155" s="2">
        <v>10617850.52909356</v>
      </c>
      <c r="X155" s="21">
        <f t="shared" si="330"/>
        <v>4.0694763163253267E-2</v>
      </c>
      <c r="Y155" s="38">
        <f t="shared" si="331"/>
        <v>19996791.923618127</v>
      </c>
      <c r="Z155" s="2">
        <v>10915150.34390818</v>
      </c>
      <c r="AA155" s="21">
        <f t="shared" si="332"/>
        <v>4.3998850938063584E-2</v>
      </c>
      <c r="AB155" s="38">
        <f t="shared" si="333"/>
        <v>22009537.421350818</v>
      </c>
      <c r="AC155" s="2">
        <v>11111623.050098527</v>
      </c>
      <c r="AD155" s="21">
        <f t="shared" si="334"/>
        <v>4.303353796386556E-2</v>
      </c>
      <c r="AE155" s="38">
        <f t="shared" si="335"/>
        <v>21935665.605656542</v>
      </c>
      <c r="AF155" s="2">
        <v>11280519.720460026</v>
      </c>
      <c r="AG155" s="21">
        <f t="shared" si="336"/>
        <v>4.3563666510671097E-2</v>
      </c>
      <c r="AH155" s="38">
        <f t="shared" si="337"/>
        <v>22605596.275205314</v>
      </c>
      <c r="AI155" s="2">
        <v>17177975.430316526</v>
      </c>
      <c r="AJ155" s="21">
        <f t="shared" si="338"/>
        <v>4.1397468479676423E-2</v>
      </c>
      <c r="AK155" s="38">
        <f t="shared" si="339"/>
        <v>21868203.387190055</v>
      </c>
      <c r="AL155" s="2">
        <v>114981479.21348457</v>
      </c>
    </row>
    <row r="156" spans="1:38" ht="12.75" x14ac:dyDescent="0.2">
      <c r="A156" s="8" t="s">
        <v>152</v>
      </c>
      <c r="B156" s="8" t="s">
        <v>17</v>
      </c>
      <c r="C156" s="8" t="s">
        <v>36</v>
      </c>
      <c r="D156" s="8" t="s">
        <v>156</v>
      </c>
      <c r="E156" s="8" t="s">
        <v>209</v>
      </c>
      <c r="F156" s="8" t="s">
        <v>192</v>
      </c>
      <c r="G156" s="8" t="s">
        <v>1163</v>
      </c>
      <c r="H156" s="34">
        <v>4583613.7025438724</v>
      </c>
      <c r="I156" s="21">
        <f>H156/H$193</f>
        <v>5.2468784703090599E-3</v>
      </c>
      <c r="J156" s="38">
        <f>I156*J$201</f>
        <v>4420257.5628527356</v>
      </c>
      <c r="K156" s="2">
        <v>4700122.1136201881</v>
      </c>
      <c r="L156" s="21">
        <f ca="1">K156/K$193</f>
        <v>5.2315002353692935E-3</v>
      </c>
      <c r="M156" s="38">
        <f ca="1">L156*M$201</f>
        <v>4612964.3808843363</v>
      </c>
      <c r="N156" s="2">
        <v>4804125.2885743137</v>
      </c>
      <c r="O156" s="21">
        <f ca="1">N156/N$193</f>
        <v>5.334617288188041E-3</v>
      </c>
      <c r="P156" s="38">
        <f ca="1">O156*P$201</f>
        <v>4826190.7269499814</v>
      </c>
      <c r="Q156" s="2">
        <v>6966999.3156529767</v>
      </c>
      <c r="R156" s="21">
        <f ca="1">Q156/Q$193</f>
        <v>5.1384559159868724E-3</v>
      </c>
      <c r="S156" s="38">
        <f ca="1">R156*S$201</f>
        <v>4755645.586726008</v>
      </c>
      <c r="T156" s="2">
        <v>4952181.6670584735</v>
      </c>
      <c r="U156" s="21">
        <f ca="1">T156/T$193</f>
        <v>5.3151668230476566E-3</v>
      </c>
      <c r="V156" s="38">
        <f ca="1">U156*V$201</f>
        <v>5022494.7161173848</v>
      </c>
      <c r="W156" s="2">
        <v>5037225.3003996434</v>
      </c>
      <c r="X156" s="21">
        <f ca="1">W156/W$193</f>
        <v>5.2741509720552271E-3</v>
      </c>
      <c r="Y156" s="38">
        <f ca="1">X156*Y$201</f>
        <v>5083412.0915857675</v>
      </c>
      <c r="Z156" s="2">
        <v>5115295.3558068369</v>
      </c>
      <c r="AA156" s="21">
        <f ca="1">Z156/Z$193</f>
        <v>5.2921867964307338E-3</v>
      </c>
      <c r="AB156" s="38">
        <f ca="1">AA156*AB$201</f>
        <v>5192609.9748051995</v>
      </c>
      <c r="AC156" s="2">
        <v>5194770.6722113602</v>
      </c>
      <c r="AD156" s="21">
        <f ca="1">AC156/AC$193</f>
        <v>5.2852965218994786E-3</v>
      </c>
      <c r="AE156" s="38">
        <f ca="1">AD156*AE$201</f>
        <v>5284380.4840312488</v>
      </c>
      <c r="AF156" s="2">
        <v>5263091.1864289735</v>
      </c>
      <c r="AG156" s="21">
        <f ca="1">AF156/AF$193</f>
        <v>5.2785375153534759E-3</v>
      </c>
      <c r="AH156" s="38">
        <f ca="1">AG156*AH$201</f>
        <v>5372619.8566083433</v>
      </c>
      <c r="AI156" s="2">
        <v>7648675.2586940415</v>
      </c>
      <c r="AJ156" s="21">
        <f ca="1">AI156/AI$193</f>
        <v>5.1015767087991392E-3</v>
      </c>
      <c r="AK156" s="38">
        <f ca="1">AJ156*AK$201</f>
        <v>5285970.0677439477</v>
      </c>
      <c r="AL156" s="2">
        <v>54266099.860990688</v>
      </c>
    </row>
    <row r="157" spans="1:38" ht="12.75" x14ac:dyDescent="0.2">
      <c r="A157" s="8" t="s">
        <v>152</v>
      </c>
      <c r="B157" s="8" t="s">
        <v>17</v>
      </c>
      <c r="C157" s="8" t="s">
        <v>36</v>
      </c>
      <c r="D157" s="8" t="s">
        <v>19</v>
      </c>
      <c r="E157" s="8" t="s">
        <v>42</v>
      </c>
      <c r="F157" s="8" t="s">
        <v>188</v>
      </c>
      <c r="G157" s="8" t="s">
        <v>1164</v>
      </c>
      <c r="H157" s="34">
        <v>1401848.3896917924</v>
      </c>
      <c r="I157" s="21">
        <f>H157/H$195</f>
        <v>4.2595865743292891E-3</v>
      </c>
      <c r="J157" s="38">
        <f>I157*J$203</f>
        <v>1579177.7622696103</v>
      </c>
      <c r="K157" s="2">
        <v>1443903.8413825464</v>
      </c>
      <c r="L157" s="21">
        <f>K157/K$195</f>
        <v>4.2650748855552123E-3</v>
      </c>
      <c r="M157" s="38">
        <f>L157*M$203</f>
        <v>1404243.2185777815</v>
      </c>
      <c r="N157" s="2">
        <v>1481445.3412584926</v>
      </c>
      <c r="O157" s="21">
        <f>N157/N$195</f>
        <v>6.5125765160355684E-3</v>
      </c>
      <c r="P157" s="38">
        <f>O157*P$203</f>
        <v>2606459.5357120433</v>
      </c>
      <c r="Q157" s="2">
        <v>2283166.8038072265</v>
      </c>
      <c r="R157" s="21">
        <f>Q157/Q$195</f>
        <v>6.8679548475765522E-3</v>
      </c>
      <c r="S157" s="38">
        <f>R157*S$203</f>
        <v>3240584.2710378491</v>
      </c>
      <c r="T157" s="2">
        <v>1567774.5386142954</v>
      </c>
      <c r="U157" s="21">
        <f>T157/T$195</f>
        <v>6.5041719154506662E-3</v>
      </c>
      <c r="V157" s="38">
        <f>U157*V$203</f>
        <v>3133384.1506638597</v>
      </c>
      <c r="W157" s="2">
        <v>1611672.2256954957</v>
      </c>
      <c r="X157" s="21">
        <f>W157/W$195</f>
        <v>6.1770147678911211E-3</v>
      </c>
      <c r="Y157" s="38">
        <f>X157*Y$203</f>
        <v>3035291.7530718576</v>
      </c>
      <c r="Z157" s="2">
        <v>1656799.0480149696</v>
      </c>
      <c r="AA157" s="21">
        <f>Z157/Z$195</f>
        <v>6.6785387329658498E-3</v>
      </c>
      <c r="AB157" s="38">
        <f>AA157*AB$203</f>
        <v>3340804.2489580056</v>
      </c>
      <c r="AC157" s="2">
        <v>1686621.430879239</v>
      </c>
      <c r="AD157" s="21">
        <f>AC157/AC$195</f>
        <v>6.5320149044983487E-3</v>
      </c>
      <c r="AE157" s="38">
        <f>AD157*AE$203</f>
        <v>3329591.3247140693</v>
      </c>
      <c r="AF157" s="2">
        <v>1712258.0766286035</v>
      </c>
      <c r="AG157" s="21">
        <f>AF157/AF$195</f>
        <v>6.6124825521256822E-3</v>
      </c>
      <c r="AH157" s="38">
        <f>AG157*AH$203</f>
        <v>3431279.3876882913</v>
      </c>
      <c r="AI157" s="2">
        <v>2607426.5990900379</v>
      </c>
      <c r="AJ157" s="21">
        <f>AI157/AI$195</f>
        <v>6.283677659615257E-3</v>
      </c>
      <c r="AK157" s="38">
        <f>AJ157*AK$203</f>
        <v>3319351.3064082633</v>
      </c>
      <c r="AL157" s="2">
        <v>17452916.295062698</v>
      </c>
    </row>
    <row r="158" spans="1:38" ht="12.75" x14ac:dyDescent="0.2">
      <c r="A158" s="8" t="s">
        <v>152</v>
      </c>
      <c r="B158" s="8" t="s">
        <v>17</v>
      </c>
      <c r="C158" s="8" t="s">
        <v>36</v>
      </c>
      <c r="D158" s="8" t="s">
        <v>19</v>
      </c>
      <c r="E158" s="8" t="s">
        <v>42</v>
      </c>
      <c r="F158" s="8" t="s">
        <v>191</v>
      </c>
      <c r="G158" s="8" t="s">
        <v>1165</v>
      </c>
      <c r="H158" s="34">
        <v>6723476.6399999997</v>
      </c>
      <c r="I158" s="21">
        <f>H158/H$196</f>
        <v>0.30339028552712494</v>
      </c>
      <c r="J158" s="38">
        <f>I158*J$204</f>
        <v>6743830.3085661922</v>
      </c>
      <c r="K158" s="2">
        <v>6891563.5560000008</v>
      </c>
      <c r="L158" s="21">
        <f>K158/K$196</f>
        <v>0.30339028552712494</v>
      </c>
      <c r="M158" s="38">
        <f>L158*M$204</f>
        <v>8741782.3166985121</v>
      </c>
      <c r="N158" s="2">
        <v>7036286.390676002</v>
      </c>
      <c r="O158" s="21">
        <f>N158/N$196</f>
        <v>0.44727258528728958</v>
      </c>
      <c r="P158" s="38">
        <f>O158*P$204</f>
        <v>13222633.410439087</v>
      </c>
      <c r="Q158" s="2">
        <v>10744409.318562254</v>
      </c>
      <c r="R158" s="21">
        <f>Q158/Q$196</f>
        <v>0.44939715059373297</v>
      </c>
      <c r="S158" s="38">
        <f>R158*S$204</f>
        <v>13591006.682768235</v>
      </c>
      <c r="T158" s="2">
        <v>7259777.2236055778</v>
      </c>
      <c r="U158" s="21">
        <f>T158/T$196</f>
        <v>0.44754526619671953</v>
      </c>
      <c r="V158" s="38">
        <f>U158*V$204</f>
        <v>13819235.611258734</v>
      </c>
      <c r="W158" s="2">
        <v>7346894.5502888449</v>
      </c>
      <c r="X158" s="21">
        <f>W158/W$196</f>
        <v>0.44706308465516215</v>
      </c>
      <c r="Y158" s="38">
        <f>X158*Y$204</f>
        <v>14080433.81930168</v>
      </c>
      <c r="Z158" s="2">
        <v>7420363.4957917333</v>
      </c>
      <c r="AA158" s="21">
        <f>Z158/Z$196</f>
        <v>0.44939715059373292</v>
      </c>
      <c r="AB158" s="38">
        <f>AA158*AB$204</f>
        <v>14408717.208796032</v>
      </c>
      <c r="AC158" s="2">
        <v>7494567.1307496503</v>
      </c>
      <c r="AD158" s="21">
        <f>AC158/AC$196</f>
        <v>0.44788477796566628</v>
      </c>
      <c r="AE158" s="38">
        <f>AD158*AE$204</f>
        <v>14633071.339283574</v>
      </c>
      <c r="AF158" s="2">
        <v>7533538.8798295492</v>
      </c>
      <c r="AG158" s="21">
        <f>AF158/AF$196</f>
        <v>0.44905380061035371</v>
      </c>
      <c r="AH158" s="38">
        <f>AG158*AH$204</f>
        <v>14935347.846867701</v>
      </c>
      <c r="AI158" s="2">
        <v>11359069.923006997</v>
      </c>
      <c r="AJ158" s="21">
        <f>AI158/AI$196</f>
        <v>0.44939715059373303</v>
      </c>
      <c r="AK158" s="38">
        <f>AJ158*AK$204</f>
        <v>15215809.342997832</v>
      </c>
      <c r="AL158" s="2">
        <v>79809947.108510613</v>
      </c>
    </row>
    <row r="159" spans="1:38" ht="12.75" x14ac:dyDescent="0.2">
      <c r="A159" s="8" t="s">
        <v>152</v>
      </c>
      <c r="B159" s="8" t="s">
        <v>17</v>
      </c>
      <c r="C159" s="8" t="s">
        <v>36</v>
      </c>
      <c r="D159" s="8" t="s">
        <v>156</v>
      </c>
      <c r="E159" s="8" t="s">
        <v>157</v>
      </c>
      <c r="F159" s="8" t="s">
        <v>188</v>
      </c>
      <c r="G159" s="8" t="s">
        <v>1166</v>
      </c>
      <c r="H159" s="34">
        <v>11862463.419051079</v>
      </c>
      <c r="I159" s="21">
        <f>H159/H$195</f>
        <v>3.6044689489832443E-2</v>
      </c>
      <c r="J159" s="38">
        <f>I159*J$203</f>
        <v>13363027.39643677</v>
      </c>
      <c r="K159" s="2">
        <v>12218337.321622612</v>
      </c>
      <c r="L159" s="21">
        <f>K159/K$195</f>
        <v>3.6091131666909949E-2</v>
      </c>
      <c r="M159" s="38">
        <f>L159*M$203</f>
        <v>11882728.499257917</v>
      </c>
      <c r="N159" s="2">
        <v>12536014.091984801</v>
      </c>
      <c r="O159" s="21">
        <f>N159/N$195</f>
        <v>5.5109526289236044E-2</v>
      </c>
      <c r="P159" s="38">
        <f>O159*P$203</f>
        <v>22055902.138189685</v>
      </c>
      <c r="Q159" s="2">
        <v>19320193.887521341</v>
      </c>
      <c r="R159" s="21">
        <f>Q159/Q$195</f>
        <v>5.8116743395470474E-2</v>
      </c>
      <c r="S159" s="38">
        <f>R159*S$203</f>
        <v>27421875.756472088</v>
      </c>
      <c r="T159" s="2">
        <v>13266533.136097986</v>
      </c>
      <c r="U159" s="21">
        <f>T159/T$195</f>
        <v>5.503840642511719E-2</v>
      </c>
      <c r="V159" s="38">
        <f>U159*V$203</f>
        <v>26514746.629096266</v>
      </c>
      <c r="W159" s="2">
        <v>13637996.06390873</v>
      </c>
      <c r="X159" s="21">
        <f>W159/W$195</f>
        <v>5.2269997427579692E-2</v>
      </c>
      <c r="Y159" s="38">
        <f>X159*Y$203</f>
        <v>25684687.197078817</v>
      </c>
      <c r="Z159" s="2">
        <v>14019859.953698175</v>
      </c>
      <c r="AA159" s="21">
        <f>Z159/Z$195</f>
        <v>5.6513901214339711E-2</v>
      </c>
      <c r="AB159" s="38">
        <f>AA159*AB$203</f>
        <v>28269938.80714003</v>
      </c>
      <c r="AC159" s="2">
        <v>14272217.432864742</v>
      </c>
      <c r="AD159" s="21">
        <f>AC159/AC$195</f>
        <v>5.5274014242256246E-2</v>
      </c>
      <c r="AE159" s="38">
        <f>AD159*AE$203</f>
        <v>28175054.863453709</v>
      </c>
      <c r="AF159" s="2">
        <v>14489155.137844289</v>
      </c>
      <c r="AG159" s="21">
        <f>AF159/AF$195</f>
        <v>5.5954932759133956E-2</v>
      </c>
      <c r="AH159" s="38">
        <f>AG159*AH$203</f>
        <v>29035540.873250447</v>
      </c>
      <c r="AI159" s="2">
        <v>22064085.443909287</v>
      </c>
      <c r="AJ159" s="21">
        <f>AI159/AI$195</f>
        <v>5.3172580517557043E-2</v>
      </c>
      <c r="AK159" s="38">
        <f>AJ159*AK$203</f>
        <v>28088403.665323973</v>
      </c>
      <c r="AL159" s="2">
        <v>147686855.88850304</v>
      </c>
    </row>
    <row r="160" spans="1:38" ht="12.75" x14ac:dyDescent="0.2">
      <c r="A160" s="8" t="s">
        <v>152</v>
      </c>
      <c r="B160" s="8" t="s">
        <v>17</v>
      </c>
      <c r="C160" s="8" t="s">
        <v>36</v>
      </c>
      <c r="D160" s="8" t="s">
        <v>156</v>
      </c>
      <c r="E160" s="8" t="s">
        <v>157</v>
      </c>
      <c r="F160" s="8" t="s">
        <v>189</v>
      </c>
      <c r="G160" s="8" t="s">
        <v>1167</v>
      </c>
      <c r="H160" s="34">
        <v>4165294.0635049464</v>
      </c>
      <c r="I160" s="21">
        <f>H160/H$194</f>
        <v>2.6912359536785023E-2</v>
      </c>
      <c r="J160" s="38">
        <f>I160*J$202</f>
        <v>5053696.0648596007</v>
      </c>
      <c r="K160" s="2">
        <v>4290252.8854100946</v>
      </c>
      <c r="L160" s="21">
        <f>K160/K$194</f>
        <v>2.6912359536785026E-2</v>
      </c>
      <c r="M160" s="38">
        <f>L160*M$202</f>
        <v>5582857.7156790551</v>
      </c>
      <c r="N160" s="2">
        <v>4401799.4604307571</v>
      </c>
      <c r="O160" s="21">
        <f>N160/N$194</f>
        <v>2.6190293373765786E-2</v>
      </c>
      <c r="P160" s="38">
        <f>O160*P$202</f>
        <v>5574327.84548569</v>
      </c>
      <c r="Q160" s="2">
        <v>6731336.1389712151</v>
      </c>
      <c r="R160" s="21">
        <f>Q160/Q$194</f>
        <v>2.6998575006683848E-2</v>
      </c>
      <c r="S160" s="38">
        <f>R160*S$202</f>
        <v>5878528.3979144683</v>
      </c>
      <c r="T160" s="2">
        <v>4577308.5745004267</v>
      </c>
      <c r="U160" s="21">
        <f>T160/T$194</f>
        <v>2.6365376531122729E-2</v>
      </c>
      <c r="V160" s="38">
        <f>U160*V$202</f>
        <v>5861212.9167809887</v>
      </c>
      <c r="W160" s="2">
        <v>4668854.7459904356</v>
      </c>
      <c r="X160" s="21">
        <f>W160/W$194</f>
        <v>2.6262837942670793E-2</v>
      </c>
      <c r="Y160" s="38">
        <f>X160*Y$202</f>
        <v>5955186.2077226546</v>
      </c>
      <c r="Z160" s="2">
        <v>4752894.1314182635</v>
      </c>
      <c r="AA160" s="21">
        <f>Z160/Z$194</f>
        <v>2.6429922658879553E-2</v>
      </c>
      <c r="AB160" s="38">
        <f>AA160*AB$202</f>
        <v>6100948.5431339275</v>
      </c>
      <c r="AC160" s="2">
        <v>4838446.2257837923</v>
      </c>
      <c r="AD160" s="21">
        <f>AC160/AC$194</f>
        <v>2.6397204049864117E-2</v>
      </c>
      <c r="AE160" s="38">
        <f>AD160*AE$202</f>
        <v>6209170.4692286225</v>
      </c>
      <c r="AF160" s="2">
        <v>4911990.6084157061</v>
      </c>
      <c r="AG160" s="21">
        <f>AF160/AF$194</f>
        <v>2.6504507493100557E-2</v>
      </c>
      <c r="AH160" s="38">
        <f>AG160*AH$202</f>
        <v>6346629.8554372638</v>
      </c>
      <c r="AI160" s="2">
        <v>7479979.2984954379</v>
      </c>
      <c r="AJ160" s="21">
        <f>AI160/AI$194</f>
        <v>2.6699267087884095E-2</v>
      </c>
      <c r="AK160" s="38">
        <f>AJ160*AK$202</f>
        <v>6508344.7503244746</v>
      </c>
      <c r="AL160" s="2">
        <v>50818156.132921085</v>
      </c>
    </row>
    <row r="161" spans="1:38" ht="12.75" x14ac:dyDescent="0.2">
      <c r="A161" s="8" t="s">
        <v>152</v>
      </c>
      <c r="B161" s="8" t="s">
        <v>17</v>
      </c>
      <c r="C161" s="8" t="s">
        <v>36</v>
      </c>
      <c r="D161" s="8" t="s">
        <v>156</v>
      </c>
      <c r="E161" s="8" t="s">
        <v>210</v>
      </c>
      <c r="F161" s="8" t="s">
        <v>188</v>
      </c>
      <c r="G161" s="8" t="s">
        <v>1168</v>
      </c>
      <c r="H161" s="34">
        <v>2067002.6702558482</v>
      </c>
      <c r="I161" s="21">
        <f>H161/H$195</f>
        <v>6.280691184629714E-3</v>
      </c>
      <c r="J161" s="38">
        <f>I161*J$203</f>
        <v>2328471.9484805283</v>
      </c>
      <c r="K161" s="2">
        <v>2129012.7503635236</v>
      </c>
      <c r="L161" s="21">
        <f>K161/K$195</f>
        <v>6.2887836103460723E-3</v>
      </c>
      <c r="M161" s="38">
        <f>L161*M$203</f>
        <v>2070533.8065317424</v>
      </c>
      <c r="N161" s="2">
        <v>2184367.0818729755</v>
      </c>
      <c r="O161" s="21">
        <f>N161/N$195</f>
        <v>9.6026882420934753E-3</v>
      </c>
      <c r="P161" s="38">
        <f>O161*P$203</f>
        <v>3843182.2298666039</v>
      </c>
      <c r="Q161" s="2">
        <v>3366492.3502509613</v>
      </c>
      <c r="R161" s="21">
        <f>Q161/Q$195</f>
        <v>1.0126687816974596E-2</v>
      </c>
      <c r="S161" s="38">
        <f>R161*S$203</f>
        <v>4778188.8474380672</v>
      </c>
      <c r="T161" s="2">
        <v>2311658.0805056598</v>
      </c>
      <c r="U161" s="21">
        <f>T161/T$195</f>
        <v>9.5902957951076468E-3</v>
      </c>
      <c r="V161" s="38">
        <f>U161*V$203</f>
        <v>4620124.0119721573</v>
      </c>
      <c r="W161" s="2">
        <v>2376384.5067598182</v>
      </c>
      <c r="X161" s="21">
        <f>W161/W$195</f>
        <v>9.1079078974067099E-3</v>
      </c>
      <c r="Y161" s="38">
        <f>X161*Y$203</f>
        <v>4475488.3657457875</v>
      </c>
      <c r="Z161" s="2">
        <v>2442923.272949093</v>
      </c>
      <c r="AA161" s="21">
        <f>Z161/Z$195</f>
        <v>9.847396834034643E-3</v>
      </c>
      <c r="AB161" s="38">
        <f>AA161*AB$203</f>
        <v>4925961.5762846498</v>
      </c>
      <c r="AC161" s="2">
        <v>2486895.8918621768</v>
      </c>
      <c r="AD161" s="21">
        <f>AC161/AC$195</f>
        <v>9.6313498300037576E-3</v>
      </c>
      <c r="AE161" s="38">
        <f>AD161*AE$203</f>
        <v>4909428.3016994521</v>
      </c>
      <c r="AF161" s="2">
        <v>2524696.7094184821</v>
      </c>
      <c r="AG161" s="21">
        <f>AF161/AF$195</f>
        <v>9.749998068813286E-3</v>
      </c>
      <c r="AH161" s="38">
        <f>AG161*AH$203</f>
        <v>5059365.6981015503</v>
      </c>
      <c r="AI161" s="2">
        <v>3844608.1491024652</v>
      </c>
      <c r="AJ161" s="21">
        <f>AI161/AI$195</f>
        <v>9.2651805979584948E-3</v>
      </c>
      <c r="AK161" s="38">
        <f>AJ161*AK$203</f>
        <v>4894329.5611100905</v>
      </c>
      <c r="AL161" s="2">
        <v>25734041.463341005</v>
      </c>
    </row>
    <row r="162" spans="1:38" ht="12.75" x14ac:dyDescent="0.2">
      <c r="A162" s="8" t="s">
        <v>152</v>
      </c>
      <c r="B162" s="8" t="s">
        <v>17</v>
      </c>
      <c r="C162" s="8" t="s">
        <v>36</v>
      </c>
      <c r="D162" s="8" t="s">
        <v>156</v>
      </c>
      <c r="E162" s="8" t="s">
        <v>210</v>
      </c>
      <c r="F162" s="8" t="s">
        <v>192</v>
      </c>
      <c r="G162" s="8" t="s">
        <v>1169</v>
      </c>
      <c r="H162" s="34">
        <v>0</v>
      </c>
      <c r="I162" s="21">
        <f t="shared" ref="I162:I163" si="340">H162/H$193</f>
        <v>0</v>
      </c>
      <c r="J162" s="38">
        <f t="shared" ref="J162:J163" si="341">I162*J$201</f>
        <v>0</v>
      </c>
      <c r="K162" s="2">
        <v>0</v>
      </c>
      <c r="L162" s="21">
        <f t="shared" ref="L162:L163" ca="1" si="342">K162/K$193</f>
        <v>0</v>
      </c>
      <c r="M162" s="38">
        <f t="shared" ref="M162:M163" ca="1" si="343">L162*M$201</f>
        <v>0</v>
      </c>
      <c r="N162" s="2">
        <v>0</v>
      </c>
      <c r="O162" s="21">
        <f t="shared" ref="O162:O163" ca="1" si="344">N162/N$193</f>
        <v>0</v>
      </c>
      <c r="P162" s="38">
        <f t="shared" ref="P162:P163" ca="1" si="345">O162*P$201</f>
        <v>0</v>
      </c>
      <c r="Q162" s="2">
        <v>0</v>
      </c>
      <c r="R162" s="21">
        <f t="shared" ref="R162:R163" ca="1" si="346">Q162/Q$193</f>
        <v>0</v>
      </c>
      <c r="S162" s="38">
        <f t="shared" ref="S162:S163" ca="1" si="347">R162*S$201</f>
        <v>0</v>
      </c>
      <c r="T162" s="2">
        <v>0</v>
      </c>
      <c r="U162" s="21">
        <f t="shared" ref="U162:U163" ca="1" si="348">T162/T$193</f>
        <v>0</v>
      </c>
      <c r="V162" s="38">
        <f t="shared" ref="V162:V163" ca="1" si="349">U162*V$201</f>
        <v>0</v>
      </c>
      <c r="W162" s="2">
        <v>0</v>
      </c>
      <c r="X162" s="21">
        <f t="shared" ref="X162:X163" ca="1" si="350">W162/W$193</f>
        <v>0</v>
      </c>
      <c r="Y162" s="38">
        <f t="shared" ref="Y162:Y163" ca="1" si="351">X162*Y$201</f>
        <v>0</v>
      </c>
      <c r="Z162" s="2">
        <v>0</v>
      </c>
      <c r="AA162" s="21">
        <f t="shared" ref="AA162:AA163" ca="1" si="352">Z162/Z$193</f>
        <v>0</v>
      </c>
      <c r="AB162" s="38">
        <f t="shared" ref="AB162:AB163" ca="1" si="353">AA162*AB$201</f>
        <v>0</v>
      </c>
      <c r="AC162" s="2">
        <v>0</v>
      </c>
      <c r="AD162" s="21">
        <f t="shared" ref="AD162:AD163" ca="1" si="354">AC162/AC$193</f>
        <v>0</v>
      </c>
      <c r="AE162" s="38">
        <f t="shared" ref="AE162:AE163" ca="1" si="355">AD162*AE$201</f>
        <v>0</v>
      </c>
      <c r="AF162" s="2">
        <v>0</v>
      </c>
      <c r="AG162" s="21">
        <f t="shared" ref="AG162:AG163" ca="1" si="356">AF162/AF$193</f>
        <v>0</v>
      </c>
      <c r="AH162" s="38">
        <f t="shared" ref="AH162:AH163" ca="1" si="357">AG162*AH$201</f>
        <v>0</v>
      </c>
      <c r="AI162" s="2">
        <v>0</v>
      </c>
      <c r="AJ162" s="21">
        <f t="shared" ref="AJ162:AJ163" ca="1" si="358">AI162/AI$193</f>
        <v>0</v>
      </c>
      <c r="AK162" s="38">
        <f t="shared" ref="AK162:AK163" ca="1" si="359">AJ162*AK$201</f>
        <v>0</v>
      </c>
      <c r="AL162" s="2">
        <v>0</v>
      </c>
    </row>
    <row r="163" spans="1:38" ht="12.75" x14ac:dyDescent="0.2">
      <c r="A163" s="8" t="s">
        <v>152</v>
      </c>
      <c r="B163" s="8" t="s">
        <v>17</v>
      </c>
      <c r="C163" s="8" t="s">
        <v>36</v>
      </c>
      <c r="D163" s="8" t="s">
        <v>156</v>
      </c>
      <c r="E163" s="8" t="s">
        <v>210</v>
      </c>
      <c r="F163" s="8" t="s">
        <v>192</v>
      </c>
      <c r="G163" s="8" t="s">
        <v>1170</v>
      </c>
      <c r="H163" s="34">
        <v>0</v>
      </c>
      <c r="I163" s="21">
        <f t="shared" si="340"/>
        <v>0</v>
      </c>
      <c r="J163" s="38">
        <f t="shared" si="341"/>
        <v>0</v>
      </c>
      <c r="K163" s="2">
        <v>0</v>
      </c>
      <c r="L163" s="21">
        <f t="shared" ca="1" si="342"/>
        <v>0</v>
      </c>
      <c r="M163" s="38">
        <f t="shared" ca="1" si="343"/>
        <v>0</v>
      </c>
      <c r="N163" s="2">
        <v>0</v>
      </c>
      <c r="O163" s="21">
        <f t="shared" ca="1" si="344"/>
        <v>0</v>
      </c>
      <c r="P163" s="38">
        <f t="shared" ca="1" si="345"/>
        <v>0</v>
      </c>
      <c r="Q163" s="2">
        <v>0</v>
      </c>
      <c r="R163" s="21">
        <f t="shared" ca="1" si="346"/>
        <v>0</v>
      </c>
      <c r="S163" s="38">
        <f t="shared" ca="1" si="347"/>
        <v>0</v>
      </c>
      <c r="T163" s="2">
        <v>0</v>
      </c>
      <c r="U163" s="21">
        <f t="shared" ca="1" si="348"/>
        <v>0</v>
      </c>
      <c r="V163" s="38">
        <f t="shared" ca="1" si="349"/>
        <v>0</v>
      </c>
      <c r="W163" s="2">
        <v>0</v>
      </c>
      <c r="X163" s="21">
        <f t="shared" ca="1" si="350"/>
        <v>0</v>
      </c>
      <c r="Y163" s="38">
        <f t="shared" ca="1" si="351"/>
        <v>0</v>
      </c>
      <c r="Z163" s="2">
        <v>0</v>
      </c>
      <c r="AA163" s="21">
        <f t="shared" ca="1" si="352"/>
        <v>0</v>
      </c>
      <c r="AB163" s="38">
        <f t="shared" ca="1" si="353"/>
        <v>0</v>
      </c>
      <c r="AC163" s="2">
        <v>0</v>
      </c>
      <c r="AD163" s="21">
        <f t="shared" ca="1" si="354"/>
        <v>0</v>
      </c>
      <c r="AE163" s="38">
        <f t="shared" ca="1" si="355"/>
        <v>0</v>
      </c>
      <c r="AF163" s="2">
        <v>0</v>
      </c>
      <c r="AG163" s="21">
        <f t="shared" ca="1" si="356"/>
        <v>0</v>
      </c>
      <c r="AH163" s="38">
        <f t="shared" ca="1" si="357"/>
        <v>0</v>
      </c>
      <c r="AI163" s="2">
        <v>0</v>
      </c>
      <c r="AJ163" s="21">
        <f t="shared" ca="1" si="358"/>
        <v>0</v>
      </c>
      <c r="AK163" s="38">
        <f t="shared" ca="1" si="359"/>
        <v>0</v>
      </c>
      <c r="AL163" s="2">
        <v>0</v>
      </c>
    </row>
    <row r="164" spans="1:38" ht="12.75" x14ac:dyDescent="0.2">
      <c r="A164" s="8" t="s">
        <v>152</v>
      </c>
      <c r="B164" s="8" t="s">
        <v>17</v>
      </c>
      <c r="C164" s="8" t="s">
        <v>36</v>
      </c>
      <c r="D164" s="8" t="s">
        <v>159</v>
      </c>
      <c r="E164" s="8" t="s">
        <v>161</v>
      </c>
      <c r="F164" s="8" t="s">
        <v>188</v>
      </c>
      <c r="G164" s="8" t="s">
        <v>1171</v>
      </c>
      <c r="H164" s="34">
        <v>18513.434995776304</v>
      </c>
      <c r="I164" s="21">
        <f>H164/H$195</f>
        <v>5.6253999885154964E-5</v>
      </c>
      <c r="J164" s="38">
        <f>I164*J$203</f>
        <v>20855.325770985608</v>
      </c>
      <c r="K164" s="2">
        <v>19068.838045649594</v>
      </c>
      <c r="L164" s="21">
        <f>K164/K$195</f>
        <v>5.6326480970745147E-5</v>
      </c>
      <c r="M164" s="38">
        <f>L164*M$203</f>
        <v>18545.062174030943</v>
      </c>
      <c r="N164" s="2">
        <v>19564.627834836483</v>
      </c>
      <c r="O164" s="21">
        <f>N164/N$195</f>
        <v>8.6007989787791609E-5</v>
      </c>
      <c r="P164" s="38">
        <f>O164*P$203</f>
        <v>34422.066992661974</v>
      </c>
      <c r="Q164" s="2">
        <v>30152.519001068773</v>
      </c>
      <c r="R164" s="21">
        <f>Q164/Q$195</f>
        <v>9.0701274516918377E-5</v>
      </c>
      <c r="S164" s="38">
        <f>R164*S$203</f>
        <v>42796.601038564942</v>
      </c>
      <c r="T164" s="2">
        <v>20704.729714067224</v>
      </c>
      <c r="U164" s="21">
        <f>T164/T$195</f>
        <v>8.5896994884392499E-5</v>
      </c>
      <c r="V164" s="38">
        <f>U164*V$203</f>
        <v>41380.868442460465</v>
      </c>
      <c r="W164" s="2">
        <v>21284.462146061105</v>
      </c>
      <c r="X164" s="21">
        <f>W164/W$195</f>
        <v>8.1576411696306881E-5</v>
      </c>
      <c r="Y164" s="38">
        <f>X164*Y$203</f>
        <v>40085.416495050762</v>
      </c>
      <c r="Z164" s="2">
        <v>21880.427086150816</v>
      </c>
      <c r="AA164" s="21">
        <f>Z164/Z$195</f>
        <v>8.8199760836277959E-5</v>
      </c>
      <c r="AB164" s="38">
        <f>AA164*AB$203</f>
        <v>44120.150760593635</v>
      </c>
      <c r="AC164" s="2">
        <v>22274.274773701531</v>
      </c>
      <c r="AD164" s="21">
        <f>AC164/AC$195</f>
        <v>8.6264701814480499E-5</v>
      </c>
      <c r="AE164" s="38">
        <f>AD164*AE$203</f>
        <v>43972.067882566924</v>
      </c>
      <c r="AF164" s="2">
        <v>22612.843750261796</v>
      </c>
      <c r="AG164" s="21">
        <f>AF164/AF$195</f>
        <v>8.7327393454008793E-5</v>
      </c>
      <c r="AH164" s="38">
        <f>AG164*AH$203</f>
        <v>45315.005790519703</v>
      </c>
      <c r="AI164" s="2">
        <v>34434.838462898668</v>
      </c>
      <c r="AJ164" s="21">
        <f>AI164/AI$195</f>
        <v>8.2985049411281523E-5</v>
      </c>
      <c r="AK164" s="38">
        <f>AJ164*AK$203</f>
        <v>43836.833634231567</v>
      </c>
      <c r="AL164" s="2">
        <v>230490.99581047229</v>
      </c>
    </row>
    <row r="165" spans="1:38" ht="12.75" x14ac:dyDescent="0.2">
      <c r="A165" s="8" t="s">
        <v>152</v>
      </c>
      <c r="B165" s="8" t="s">
        <v>17</v>
      </c>
      <c r="C165" s="8" t="s">
        <v>36</v>
      </c>
      <c r="D165" s="8" t="s">
        <v>159</v>
      </c>
      <c r="E165" s="8" t="s">
        <v>161</v>
      </c>
      <c r="F165" s="8" t="s">
        <v>192</v>
      </c>
      <c r="G165" s="8" t="s">
        <v>1172</v>
      </c>
      <c r="H165" s="34">
        <v>121463.30131289441</v>
      </c>
      <c r="I165" s="21">
        <f>H165/H$193</f>
        <v>1.3903946142703719E-4</v>
      </c>
      <c r="J165" s="38">
        <f>I165*J$201</f>
        <v>117134.45134772311</v>
      </c>
      <c r="K165" s="2">
        <v>125107.20035228124</v>
      </c>
      <c r="L165" s="21">
        <f ca="1">K165/K$193</f>
        <v>1.3925134970274987E-4</v>
      </c>
      <c r="M165" s="38">
        <f ca="1">L165*M$201</f>
        <v>122787.24787699626</v>
      </c>
      <c r="N165" s="2">
        <v>128359.98756144056</v>
      </c>
      <c r="O165" s="21">
        <f ca="1">N165/N$193</f>
        <v>1.4253404472722891E-4</v>
      </c>
      <c r="P165" s="38">
        <f ca="1">O165*P$201</f>
        <v>128949.54741371471</v>
      </c>
      <c r="Q165" s="2">
        <v>196005.70100631972</v>
      </c>
      <c r="R165" s="21">
        <f ca="1">Q165/Q$193</f>
        <v>1.4456247349418347E-4</v>
      </c>
      <c r="S165" s="38">
        <f ca="1">R165*S$201</f>
        <v>133792.69965903225</v>
      </c>
      <c r="T165" s="2">
        <v>132990.5759485754</v>
      </c>
      <c r="U165" s="21">
        <f ca="1">T165/T$193</f>
        <v>1.4273852305578618E-4</v>
      </c>
      <c r="V165" s="38">
        <f ca="1">U165*V$201</f>
        <v>134878.82915084521</v>
      </c>
      <c r="W165" s="2">
        <v>135650.38746754691</v>
      </c>
      <c r="X165" s="21">
        <f ca="1">W165/W$193</f>
        <v>1.4203069750818356E-4</v>
      </c>
      <c r="Y165" s="38">
        <f ca="1">X165*Y$201</f>
        <v>136894.1785919549</v>
      </c>
      <c r="Z165" s="2">
        <v>138092.09444196275</v>
      </c>
      <c r="AA165" s="21">
        <f ca="1">Z165/Z$193</f>
        <v>1.4286744128422875E-4</v>
      </c>
      <c r="AB165" s="38">
        <f ca="1">AA165*AB$201</f>
        <v>140179.27356375995</v>
      </c>
      <c r="AC165" s="2">
        <v>140577.75214191808</v>
      </c>
      <c r="AD165" s="21">
        <f ca="1">AC165/AC$193</f>
        <v>1.4302750811054403E-4</v>
      </c>
      <c r="AE165" s="38">
        <f ca="1">AD165*AE$201</f>
        <v>143002.71884600894</v>
      </c>
      <c r="AF165" s="2">
        <v>142714.53397447526</v>
      </c>
      <c r="AG165" s="21">
        <f ca="1">AF165/AF$193</f>
        <v>1.4313337825362453E-4</v>
      </c>
      <c r="AH165" s="38">
        <f ca="1">AG165*AH$201</f>
        <v>145684.52491094213</v>
      </c>
      <c r="AI165" s="2">
        <v>217325.69233633095</v>
      </c>
      <c r="AJ165" s="21">
        <f ca="1">AI165/AI$193</f>
        <v>1.4495368841636205E-4</v>
      </c>
      <c r="AK165" s="38">
        <f ca="1">AJ165*AK$201</f>
        <v>150192.95051594611</v>
      </c>
      <c r="AL165" s="2">
        <v>1478287.2265437453</v>
      </c>
    </row>
    <row r="166" spans="1:38" ht="12.75" x14ac:dyDescent="0.2">
      <c r="A166" s="8" t="s">
        <v>152</v>
      </c>
      <c r="B166" s="8" t="s">
        <v>17</v>
      </c>
      <c r="C166" s="8" t="s">
        <v>36</v>
      </c>
      <c r="D166" s="8" t="s">
        <v>159</v>
      </c>
      <c r="E166" s="8" t="s">
        <v>161</v>
      </c>
      <c r="F166" s="8" t="s">
        <v>191</v>
      </c>
      <c r="G166" s="8" t="s">
        <v>1173</v>
      </c>
      <c r="H166" s="34">
        <v>0</v>
      </c>
      <c r="I166" s="21">
        <f>H166/H$196</f>
        <v>0</v>
      </c>
      <c r="J166" s="38">
        <f>I166*J$204</f>
        <v>0</v>
      </c>
      <c r="K166" s="2">
        <v>0</v>
      </c>
      <c r="L166" s="21">
        <f>K166/K$196</f>
        <v>0</v>
      </c>
      <c r="M166" s="38">
        <f>L166*M$204</f>
        <v>0</v>
      </c>
      <c r="N166" s="2">
        <v>0</v>
      </c>
      <c r="O166" s="21">
        <f>N166/N$196</f>
        <v>0</v>
      </c>
      <c r="P166" s="38">
        <f>O166*P$204</f>
        <v>0</v>
      </c>
      <c r="Q166" s="2">
        <v>0</v>
      </c>
      <c r="R166" s="21">
        <f>Q166/Q$196</f>
        <v>0</v>
      </c>
      <c r="S166" s="38">
        <f>R166*S$204</f>
        <v>0</v>
      </c>
      <c r="T166" s="2">
        <v>0</v>
      </c>
      <c r="U166" s="21">
        <f>T166/T$196</f>
        <v>0</v>
      </c>
      <c r="V166" s="38">
        <f>U166*V$204</f>
        <v>0</v>
      </c>
      <c r="W166" s="2">
        <v>0</v>
      </c>
      <c r="X166" s="21">
        <f>W166/W$196</f>
        <v>0</v>
      </c>
      <c r="Y166" s="38">
        <f>X166*Y$204</f>
        <v>0</v>
      </c>
      <c r="Z166" s="2">
        <v>0</v>
      </c>
      <c r="AA166" s="21">
        <f>Z166/Z$196</f>
        <v>0</v>
      </c>
      <c r="AB166" s="38">
        <f>AA166*AB$204</f>
        <v>0</v>
      </c>
      <c r="AC166" s="2">
        <v>0</v>
      </c>
      <c r="AD166" s="21">
        <f>AC166/AC$196</f>
        <v>0</v>
      </c>
      <c r="AE166" s="38">
        <f>AD166*AE$204</f>
        <v>0</v>
      </c>
      <c r="AF166" s="2">
        <v>0</v>
      </c>
      <c r="AG166" s="21">
        <f>AF166/AF$196</f>
        <v>0</v>
      </c>
      <c r="AH166" s="38">
        <f>AG166*AH$204</f>
        <v>0</v>
      </c>
      <c r="AI166" s="2">
        <v>0</v>
      </c>
      <c r="AJ166" s="21">
        <f>AI166/AI$196</f>
        <v>0</v>
      </c>
      <c r="AK166" s="38">
        <f>AJ166*AK$204</f>
        <v>0</v>
      </c>
      <c r="AL166" s="2">
        <v>0</v>
      </c>
    </row>
    <row r="167" spans="1:38" ht="12.75" x14ac:dyDescent="0.2">
      <c r="A167" s="8" t="s">
        <v>152</v>
      </c>
      <c r="B167" s="8" t="s">
        <v>17</v>
      </c>
      <c r="C167" s="8" t="s">
        <v>36</v>
      </c>
      <c r="D167" s="8" t="s">
        <v>164</v>
      </c>
      <c r="E167" s="8" t="s">
        <v>165</v>
      </c>
      <c r="F167" s="8" t="s">
        <v>192</v>
      </c>
      <c r="G167" s="8" t="s">
        <v>1174</v>
      </c>
      <c r="H167" s="34">
        <v>15948745.004322698</v>
      </c>
      <c r="I167" s="21">
        <f t="shared" ref="I167:I186" si="360">H167/H$193</f>
        <v>1.825658360895193E-2</v>
      </c>
      <c r="J167" s="38">
        <f t="shared" ref="J167:J186" si="361">I167*J$201</f>
        <v>15380345.137776675</v>
      </c>
      <c r="K167" s="2">
        <v>16427207.354452379</v>
      </c>
      <c r="L167" s="21">
        <f t="shared" ref="L167:L186" ca="1" si="362">K167/K$193</f>
        <v>1.8284405609854427E-2</v>
      </c>
      <c r="M167" s="38">
        <f t="shared" ref="M167:M186" ca="1" si="363">L167*M$201</f>
        <v>16122585.875779139</v>
      </c>
      <c r="N167" s="2">
        <v>16854314.745668143</v>
      </c>
      <c r="O167" s="21">
        <f t="shared" ref="O167:O186" ca="1" si="364">N167/N$193</f>
        <v>1.8715440048293629E-2</v>
      </c>
      <c r="P167" s="38">
        <f t="shared" ref="P167:P186" ca="1" si="365">O167*P$201</f>
        <v>16931726.932288073</v>
      </c>
      <c r="Q167" s="2">
        <v>25736538.616635256</v>
      </c>
      <c r="R167" s="21">
        <f t="shared" ref="R167:R186" ca="1" si="366">Q167/Q$193</f>
        <v>1.8981782991502903E-2</v>
      </c>
      <c r="S167" s="38">
        <f t="shared" ref="S167:S186" ca="1" si="367">R167*S$201</f>
        <v>17567657.286088549</v>
      </c>
      <c r="T167" s="2">
        <v>17462334.391175274</v>
      </c>
      <c r="U167" s="21">
        <f t="shared" ref="U167:U186" ca="1" si="368">T167/T$193</f>
        <v>1.8742289085705098E-2</v>
      </c>
      <c r="V167" s="38">
        <f t="shared" ref="V167:V186" ca="1" si="369">U167*V$201</f>
        <v>17710271.57467911</v>
      </c>
      <c r="W167" s="2">
        <v>17811581.078998778</v>
      </c>
      <c r="X167" s="21">
        <f t="shared" ref="X167:X186" ca="1" si="370">W167/W$193</f>
        <v>1.8649348015898515E-2</v>
      </c>
      <c r="Y167" s="38">
        <f t="shared" ref="Y167:Y186" ca="1" si="371">X167*Y$201</f>
        <v>17974897.136337955</v>
      </c>
      <c r="Z167" s="2">
        <v>18132189.538420755</v>
      </c>
      <c r="AA167" s="21">
        <f t="shared" ref="AA167:AA186" ca="1" si="372">Z167/Z$193</f>
        <v>1.8759216700298273E-2</v>
      </c>
      <c r="AB167" s="38">
        <f t="shared" ref="AB167:AB186" ca="1" si="373">AA167*AB$201</f>
        <v>18406246.699983809</v>
      </c>
      <c r="AC167" s="2">
        <v>18458568.950112328</v>
      </c>
      <c r="AD167" s="21">
        <f t="shared" ref="AD167:AD186" ca="1" si="374">AC167/AC$193</f>
        <v>1.8780234283131605E-2</v>
      </c>
      <c r="AE167" s="38">
        <f t="shared" ref="AE167:AE186" ca="1" si="375">AD167*AE$201</f>
        <v>18776979.327481285</v>
      </c>
      <c r="AF167" s="2">
        <v>18739139.198154036</v>
      </c>
      <c r="AG167" s="21">
        <f t="shared" ref="AG167:AG186" ca="1" si="376">AF167/AF$193</f>
        <v>1.8794135567695016E-2</v>
      </c>
      <c r="AH167" s="38">
        <f t="shared" ref="AH167:AH186" ca="1" si="377">AG167*AH$201</f>
        <v>19129114.010289587</v>
      </c>
      <c r="AI167" s="2">
        <v>28535961.170948971</v>
      </c>
      <c r="AJ167" s="21">
        <f t="shared" ref="AJ167:AJ186" ca="1" si="378">AI167/AI$193</f>
        <v>1.9033151486910739E-2</v>
      </c>
      <c r="AK167" s="38">
        <f t="shared" ref="AK167:AK186" ca="1" si="379">AJ167*AK$201</f>
        <v>19721093.065427739</v>
      </c>
      <c r="AL167" s="2">
        <v>194106580.04888862</v>
      </c>
    </row>
    <row r="168" spans="1:38" ht="12.75" x14ac:dyDescent="0.2">
      <c r="A168" s="8" t="s">
        <v>152</v>
      </c>
      <c r="B168" s="8" t="s">
        <v>17</v>
      </c>
      <c r="C168" s="8" t="s">
        <v>36</v>
      </c>
      <c r="D168" s="8" t="s">
        <v>164</v>
      </c>
      <c r="E168" s="8" t="s">
        <v>166</v>
      </c>
      <c r="F168" s="8" t="s">
        <v>192</v>
      </c>
      <c r="G168" s="8" t="s">
        <v>1175</v>
      </c>
      <c r="H168" s="34">
        <v>21471951.861134913</v>
      </c>
      <c r="I168" s="21">
        <f t="shared" si="360"/>
        <v>2.4579017615113472E-2</v>
      </c>
      <c r="J168" s="38">
        <f t="shared" si="361"/>
        <v>20706709.544636421</v>
      </c>
      <c r="K168" s="2">
        <v>22116110.41696896</v>
      </c>
      <c r="L168" s="21">
        <f t="shared" ca="1" si="362"/>
        <v>2.4616474647870402E-2</v>
      </c>
      <c r="M168" s="38">
        <f t="shared" ca="1" si="363"/>
        <v>21705995.5318061</v>
      </c>
      <c r="N168" s="2">
        <v>22691129.287810154</v>
      </c>
      <c r="O168" s="21">
        <f t="shared" ca="1" si="364"/>
        <v>2.5196780540913982E-2</v>
      </c>
      <c r="P168" s="38">
        <f t="shared" ca="1" si="365"/>
        <v>22795350.074092574</v>
      </c>
      <c r="Q168" s="2">
        <v>34649354.422486104</v>
      </c>
      <c r="R168" s="21">
        <f t="shared" ca="1" si="366"/>
        <v>2.5555360658258162E-2</v>
      </c>
      <c r="S168" s="38">
        <f t="shared" ca="1" si="367"/>
        <v>23651509.348075405</v>
      </c>
      <c r="T168" s="2">
        <v>23509712.101405509</v>
      </c>
      <c r="U168" s="21">
        <f t="shared" ca="1" si="368"/>
        <v>2.5232927663377883E-2</v>
      </c>
      <c r="V168" s="38">
        <f t="shared" ca="1" si="369"/>
        <v>23843512.363892421</v>
      </c>
      <c r="W168" s="2">
        <v>23979906.343433619</v>
      </c>
      <c r="X168" s="21">
        <f t="shared" ca="1" si="370"/>
        <v>2.5107800189318425E-2</v>
      </c>
      <c r="Y168" s="38">
        <f t="shared" ca="1" si="371"/>
        <v>24199780.353607256</v>
      </c>
      <c r="Z168" s="2">
        <v>24411544.657615423</v>
      </c>
      <c r="AA168" s="21">
        <f t="shared" ca="1" si="372"/>
        <v>2.5255717476969485E-2</v>
      </c>
      <c r="AB168" s="38">
        <f t="shared" ca="1" si="373"/>
        <v>24780510.502808023</v>
      </c>
      <c r="AC168" s="2">
        <v>24850952.461452503</v>
      </c>
      <c r="AD168" s="21">
        <f t="shared" ca="1" si="374"/>
        <v>2.5284013654926586E-2</v>
      </c>
      <c r="AE168" s="38">
        <f t="shared" ca="1" si="375"/>
        <v>25279631.476202499</v>
      </c>
      <c r="AF168" s="2">
        <v>25228686.938866582</v>
      </c>
      <c r="AG168" s="21">
        <f t="shared" ca="1" si="376"/>
        <v>2.5302729090709943E-2</v>
      </c>
      <c r="AH168" s="38">
        <f t="shared" ca="1" si="377"/>
        <v>25753713.854210716</v>
      </c>
      <c r="AI168" s="2">
        <v>38418244.470506035</v>
      </c>
      <c r="AJ168" s="21">
        <f t="shared" ca="1" si="378"/>
        <v>2.5624518567565577E-2</v>
      </c>
      <c r="AK168" s="38">
        <f t="shared" ca="1" si="379"/>
        <v>26550701.063629474</v>
      </c>
      <c r="AL168" s="2">
        <v>261327592.96167982</v>
      </c>
    </row>
    <row r="169" spans="1:38" ht="12.75" x14ac:dyDescent="0.2">
      <c r="A169" s="8" t="s">
        <v>152</v>
      </c>
      <c r="B169" s="8" t="s">
        <v>17</v>
      </c>
      <c r="C169" s="8" t="s">
        <v>36</v>
      </c>
      <c r="D169" s="8" t="s">
        <v>164</v>
      </c>
      <c r="E169" s="8" t="s">
        <v>167</v>
      </c>
      <c r="F169" s="8" t="s">
        <v>192</v>
      </c>
      <c r="G169" s="8" t="s">
        <v>1176</v>
      </c>
      <c r="H169" s="34">
        <v>8633087.973532008</v>
      </c>
      <c r="I169" s="21">
        <f t="shared" si="360"/>
        <v>9.8823256845291703E-3</v>
      </c>
      <c r="J169" s="38">
        <f t="shared" si="361"/>
        <v>8325411.9745298494</v>
      </c>
      <c r="K169" s="2">
        <v>8892080.6127379686</v>
      </c>
      <c r="L169" s="21">
        <f t="shared" ca="1" si="362"/>
        <v>9.897385789968554E-3</v>
      </c>
      <c r="M169" s="38">
        <f t="shared" ca="1" si="363"/>
        <v>8727188.3893498145</v>
      </c>
      <c r="N169" s="2">
        <v>9123274.7086691558</v>
      </c>
      <c r="O169" s="21">
        <f t="shared" ca="1" si="364"/>
        <v>1.0130705604515655E-2</v>
      </c>
      <c r="P169" s="38">
        <f t="shared" ca="1" si="365"/>
        <v>9165178.0820776708</v>
      </c>
      <c r="Q169" s="2">
        <v>13931240.480137799</v>
      </c>
      <c r="R169" s="21">
        <f t="shared" ca="1" si="366"/>
        <v>1.0274877579127567E-2</v>
      </c>
      <c r="S169" s="38">
        <f t="shared" ca="1" si="367"/>
        <v>9509408.4706073515</v>
      </c>
      <c r="T169" s="2">
        <v>9452396.9742691182</v>
      </c>
      <c r="U169" s="21">
        <f t="shared" ca="1" si="368"/>
        <v>1.0145239042846697E-2</v>
      </c>
      <c r="V169" s="38">
        <f t="shared" ca="1" si="369"/>
        <v>9586605.8738733325</v>
      </c>
      <c r="W169" s="2">
        <v>9641444.9137545004</v>
      </c>
      <c r="X169" s="21">
        <f t="shared" ca="1" si="370"/>
        <v>1.0094929853516945E-2</v>
      </c>
      <c r="Y169" s="38">
        <f t="shared" ca="1" si="371"/>
        <v>9729848.2263736054</v>
      </c>
      <c r="Z169" s="2">
        <v>9814990.9222020824</v>
      </c>
      <c r="AA169" s="21">
        <f t="shared" ca="1" si="372"/>
        <v>1.0154401994911284E-2</v>
      </c>
      <c r="AB169" s="38">
        <f t="shared" ca="1" si="373"/>
        <v>9963338.6188333258</v>
      </c>
      <c r="AC169" s="2">
        <v>9991660.7588017192</v>
      </c>
      <c r="AD169" s="21">
        <f t="shared" ca="1" si="374"/>
        <v>1.0165778855068116E-2</v>
      </c>
      <c r="AE169" s="38">
        <f t="shared" ca="1" si="375"/>
        <v>10164016.940981988</v>
      </c>
      <c r="AF169" s="2">
        <v>10143534.002335506</v>
      </c>
      <c r="AG169" s="21">
        <f t="shared" ca="1" si="376"/>
        <v>1.0173303648558044E-2</v>
      </c>
      <c r="AH169" s="38">
        <f t="shared" ca="1" si="377"/>
        <v>10354628.158002008</v>
      </c>
      <c r="AI169" s="2">
        <v>15446573.578756509</v>
      </c>
      <c r="AJ169" s="21">
        <f t="shared" ca="1" si="378"/>
        <v>1.0302683449733915E-2</v>
      </c>
      <c r="AK169" s="38">
        <f t="shared" ca="1" si="379"/>
        <v>10675067.619546527</v>
      </c>
      <c r="AL169" s="2">
        <v>105070284.92519636</v>
      </c>
    </row>
    <row r="170" spans="1:38" ht="12.75" x14ac:dyDescent="0.2">
      <c r="A170" s="8" t="s">
        <v>152</v>
      </c>
      <c r="B170" s="8" t="s">
        <v>17</v>
      </c>
      <c r="C170" s="8" t="s">
        <v>36</v>
      </c>
      <c r="D170" s="8" t="s">
        <v>169</v>
      </c>
      <c r="E170" s="8" t="s">
        <v>170</v>
      </c>
      <c r="F170" s="8" t="s">
        <v>192</v>
      </c>
      <c r="G170" s="8" t="s">
        <v>1177</v>
      </c>
      <c r="H170" s="34">
        <v>29029367.559592128</v>
      </c>
      <c r="I170" s="21">
        <f t="shared" si="360"/>
        <v>3.3230017523199928E-2</v>
      </c>
      <c r="J170" s="38">
        <f t="shared" si="361"/>
        <v>27994785.29983969</v>
      </c>
      <c r="K170" s="2">
        <v>29900248.586379893</v>
      </c>
      <c r="L170" s="21">
        <f t="shared" ca="1" si="362"/>
        <v>3.3280658190551683E-2</v>
      </c>
      <c r="M170" s="38">
        <f t="shared" ca="1" si="363"/>
        <v>29345786.848571986</v>
      </c>
      <c r="N170" s="2">
        <v>30677655.049625769</v>
      </c>
      <c r="O170" s="21">
        <f t="shared" ca="1" si="364"/>
        <v>3.406521253265838E-2</v>
      </c>
      <c r="P170" s="38">
        <f t="shared" ca="1" si="365"/>
        <v>30818558.099889133</v>
      </c>
      <c r="Q170" s="2">
        <v>46844779.260778546</v>
      </c>
      <c r="R170" s="21">
        <f t="shared" ca="1" si="366"/>
        <v>3.4550000971700447E-2</v>
      </c>
      <c r="S170" s="38">
        <f t="shared" ca="1" si="367"/>
        <v>31976057.074120138</v>
      </c>
      <c r="T170" s="2">
        <v>31784351.89430511</v>
      </c>
      <c r="U170" s="21">
        <f t="shared" ca="1" si="368"/>
        <v>3.4114082244690737E-2</v>
      </c>
      <c r="V170" s="38">
        <f t="shared" ca="1" si="369"/>
        <v>32235638.79052623</v>
      </c>
      <c r="W170" s="2">
        <v>32420038.932191212</v>
      </c>
      <c r="X170" s="21">
        <f t="shared" ca="1" si="370"/>
        <v>3.3944914045182517E-2</v>
      </c>
      <c r="Y170" s="38">
        <f t="shared" ca="1" si="371"/>
        <v>32717301.309613224</v>
      </c>
      <c r="Z170" s="2">
        <v>33003599.632970653</v>
      </c>
      <c r="AA170" s="21">
        <f t="shared" ca="1" si="372"/>
        <v>3.4144893317649722E-2</v>
      </c>
      <c r="AB170" s="38">
        <f t="shared" ca="1" si="373"/>
        <v>33502429.231989019</v>
      </c>
      <c r="AC170" s="2">
        <v>33597664.426364124</v>
      </c>
      <c r="AD170" s="21">
        <f t="shared" ca="1" si="374"/>
        <v>3.4183148812807339E-2</v>
      </c>
      <c r="AE170" s="38">
        <f t="shared" ca="1" si="375"/>
        <v>34177224.252352096</v>
      </c>
      <c r="AF170" s="2">
        <v>34108348.92564486</v>
      </c>
      <c r="AG170" s="21">
        <f t="shared" ca="1" si="376"/>
        <v>3.4208451461951984E-2</v>
      </c>
      <c r="AH170" s="38">
        <f t="shared" ca="1" si="377"/>
        <v>34818167.921271004</v>
      </c>
      <c r="AI170" s="2">
        <v>51940193.743971996</v>
      </c>
      <c r="AJ170" s="21">
        <f t="shared" ca="1" si="378"/>
        <v>3.4643500173911851E-2</v>
      </c>
      <c r="AK170" s="38">
        <f t="shared" ca="1" si="379"/>
        <v>35895668.224556796</v>
      </c>
      <c r="AL170" s="2">
        <v>353306248.01182431</v>
      </c>
    </row>
    <row r="171" spans="1:38" ht="12.75" x14ac:dyDescent="0.2">
      <c r="A171" s="8" t="s">
        <v>152</v>
      </c>
      <c r="B171" s="8" t="s">
        <v>17</v>
      </c>
      <c r="C171" s="8" t="s">
        <v>36</v>
      </c>
      <c r="D171" s="8" t="s">
        <v>169</v>
      </c>
      <c r="E171" s="8" t="s">
        <v>171</v>
      </c>
      <c r="F171" s="8" t="s">
        <v>192</v>
      </c>
      <c r="G171" s="8" t="s">
        <v>1178</v>
      </c>
      <c r="H171" s="34">
        <v>2879937.5658759219</v>
      </c>
      <c r="I171" s="21">
        <f t="shared" si="360"/>
        <v>3.2966744998258325E-3</v>
      </c>
      <c r="J171" s="38">
        <f t="shared" si="361"/>
        <v>2777299.0117037236</v>
      </c>
      <c r="K171" s="2">
        <v>2897335.6928521995</v>
      </c>
      <c r="L171" s="21">
        <f t="shared" ca="1" si="362"/>
        <v>3.2248975649327122E-3</v>
      </c>
      <c r="M171" s="38">
        <f t="shared" ca="1" si="363"/>
        <v>2843608.3206990636</v>
      </c>
      <c r="N171" s="2">
        <v>2912866.4208663567</v>
      </c>
      <c r="O171" s="21">
        <f t="shared" ca="1" si="364"/>
        <v>3.2345175517992154E-3</v>
      </c>
      <c r="P171" s="38">
        <f t="shared" ca="1" si="365"/>
        <v>2926245.271467743</v>
      </c>
      <c r="Q171" s="2">
        <v>3235847.0246629268</v>
      </c>
      <c r="R171" s="21">
        <f t="shared" ca="1" si="366"/>
        <v>2.3865736931753035E-3</v>
      </c>
      <c r="S171" s="38">
        <f t="shared" ca="1" si="367"/>
        <v>2208776.1064630523</v>
      </c>
      <c r="T171" s="2">
        <v>2934975.5857645711</v>
      </c>
      <c r="U171" s="21">
        <f t="shared" ca="1" si="368"/>
        <v>3.1501035116865621E-3</v>
      </c>
      <c r="V171" s="38">
        <f t="shared" ca="1" si="369"/>
        <v>2976647.5389001574</v>
      </c>
      <c r="W171" s="2">
        <v>2947675.0974798626</v>
      </c>
      <c r="X171" s="21">
        <f t="shared" ca="1" si="370"/>
        <v>3.0863188667465354E-3</v>
      </c>
      <c r="Y171" s="38">
        <f t="shared" ca="1" si="371"/>
        <v>2974702.6068908549</v>
      </c>
      <c r="Z171" s="2">
        <v>2959333.2492345003</v>
      </c>
      <c r="AA171" s="21">
        <f t="shared" ca="1" si="372"/>
        <v>3.0616696121092343E-3</v>
      </c>
      <c r="AB171" s="38">
        <f t="shared" ca="1" si="373"/>
        <v>3004061.7950444743</v>
      </c>
      <c r="AC171" s="2">
        <v>2971201.2477207212</v>
      </c>
      <c r="AD171" s="21">
        <f t="shared" ca="1" si="374"/>
        <v>3.0229784164383187E-3</v>
      </c>
      <c r="AE171" s="38">
        <f t="shared" ca="1" si="375"/>
        <v>3022454.4793814621</v>
      </c>
      <c r="AF171" s="2">
        <v>2981403.5066860765</v>
      </c>
      <c r="AG171" s="21">
        <f t="shared" ca="1" si="376"/>
        <v>2.9901534480398732E-3</v>
      </c>
      <c r="AH171" s="38">
        <f t="shared" ca="1" si="377"/>
        <v>3043448.6337394426</v>
      </c>
      <c r="AI171" s="2">
        <v>3337641.2599815573</v>
      </c>
      <c r="AJ171" s="21">
        <f t="shared" ca="1" si="378"/>
        <v>2.226167583058848E-3</v>
      </c>
      <c r="AK171" s="38">
        <f t="shared" ca="1" si="379"/>
        <v>2306631.0439936328</v>
      </c>
      <c r="AL171" s="2">
        <v>30058216.651124693</v>
      </c>
    </row>
    <row r="172" spans="1:38" ht="12.75" x14ac:dyDescent="0.2">
      <c r="A172" s="8" t="s">
        <v>152</v>
      </c>
      <c r="B172" s="8" t="s">
        <v>17</v>
      </c>
      <c r="C172" s="8" t="s">
        <v>36</v>
      </c>
      <c r="D172" s="8" t="s">
        <v>173</v>
      </c>
      <c r="E172" s="8" t="s">
        <v>174</v>
      </c>
      <c r="F172" s="8" t="s">
        <v>192</v>
      </c>
      <c r="G172" s="8" t="s">
        <v>1179</v>
      </c>
      <c r="H172" s="34">
        <v>21559614.524223726</v>
      </c>
      <c r="I172" s="21">
        <f t="shared" si="360"/>
        <v>2.4679365368973135E-2</v>
      </c>
      <c r="J172" s="38">
        <f t="shared" si="361"/>
        <v>20791247.984095898</v>
      </c>
      <c r="K172" s="2">
        <v>22206402.95995044</v>
      </c>
      <c r="L172" s="21">
        <f t="shared" ca="1" si="362"/>
        <v>2.471697532603169E-2</v>
      </c>
      <c r="M172" s="38">
        <f t="shared" ca="1" si="363"/>
        <v>21794613.715454143</v>
      </c>
      <c r="N172" s="2">
        <v>22783769.43690915</v>
      </c>
      <c r="O172" s="21">
        <f t="shared" ca="1" si="364"/>
        <v>2.5299650410302937E-2</v>
      </c>
      <c r="P172" s="38">
        <f t="shared" ca="1" si="365"/>
        <v>22888415.721149735</v>
      </c>
      <c r="Q172" s="2">
        <v>34790815.930160269</v>
      </c>
      <c r="R172" s="21">
        <f t="shared" ca="1" si="366"/>
        <v>2.5659694488083525E-2</v>
      </c>
      <c r="S172" s="38">
        <f t="shared" ca="1" si="367"/>
        <v>23748070.401720233</v>
      </c>
      <c r="T172" s="2">
        <v>23605694.245208226</v>
      </c>
      <c r="U172" s="21">
        <f t="shared" ca="1" si="368"/>
        <v>2.5335945109151076E-2</v>
      </c>
      <c r="V172" s="38">
        <f t="shared" ca="1" si="369"/>
        <v>23940857.300427657</v>
      </c>
      <c r="W172" s="2">
        <v>24077808.130112391</v>
      </c>
      <c r="X172" s="21">
        <f t="shared" ca="1" si="370"/>
        <v>2.5210306782251012E-2</v>
      </c>
      <c r="Y172" s="38">
        <f t="shared" ca="1" si="371"/>
        <v>24298579.810949624</v>
      </c>
      <c r="Z172" s="2">
        <v>24511208.676454414</v>
      </c>
      <c r="AA172" s="21">
        <f t="shared" ca="1" si="372"/>
        <v>2.5358827965786163E-2</v>
      </c>
      <c r="AB172" s="38">
        <f t="shared" ca="1" si="373"/>
        <v>24881680.883471388</v>
      </c>
      <c r="AC172" s="2">
        <v>24952410.432630595</v>
      </c>
      <c r="AD172" s="21">
        <f t="shared" ca="1" si="374"/>
        <v>2.5387239667396214E-2</v>
      </c>
      <c r="AE172" s="38">
        <f t="shared" ca="1" si="375"/>
        <v>25382839.597729582</v>
      </c>
      <c r="AF172" s="2">
        <v>25331687.071206581</v>
      </c>
      <c r="AG172" s="21">
        <f t="shared" ca="1" si="376"/>
        <v>2.5406031511926771E-2</v>
      </c>
      <c r="AH172" s="38">
        <f t="shared" ca="1" si="377"/>
        <v>25858857.492548216</v>
      </c>
      <c r="AI172" s="2">
        <v>38575093.072033383</v>
      </c>
      <c r="AJ172" s="21">
        <f t="shared" ca="1" si="378"/>
        <v>2.5729134745569746E-2</v>
      </c>
      <c r="AK172" s="38">
        <f t="shared" ca="1" si="379"/>
        <v>26659098.52917733</v>
      </c>
      <c r="AL172" s="2">
        <v>262394504.47888917</v>
      </c>
    </row>
    <row r="173" spans="1:38" ht="12.75" x14ac:dyDescent="0.2">
      <c r="A173" s="8" t="s">
        <v>152</v>
      </c>
      <c r="B173" s="8" t="s">
        <v>17</v>
      </c>
      <c r="C173" s="8" t="s">
        <v>36</v>
      </c>
      <c r="D173" s="8" t="s">
        <v>173</v>
      </c>
      <c r="E173" s="8" t="s">
        <v>211</v>
      </c>
      <c r="F173" s="8" t="s">
        <v>192</v>
      </c>
      <c r="G173" s="8" t="s">
        <v>1180</v>
      </c>
      <c r="H173" s="34">
        <v>4215009.2329458287</v>
      </c>
      <c r="I173" s="21">
        <f t="shared" si="360"/>
        <v>4.8249356581300364E-3</v>
      </c>
      <c r="J173" s="38">
        <f t="shared" si="361"/>
        <v>4064789.8467278341</v>
      </c>
      <c r="K173" s="2">
        <v>4341459.5099342037</v>
      </c>
      <c r="L173" s="21">
        <f t="shared" ca="1" si="362"/>
        <v>4.8322885871944403E-3</v>
      </c>
      <c r="M173" s="38">
        <f t="shared" ca="1" si="363"/>
        <v>4260952.7148971455</v>
      </c>
      <c r="N173" s="2">
        <v>4454337.4571924927</v>
      </c>
      <c r="O173" s="21">
        <f t="shared" ca="1" si="364"/>
        <v>4.9462043929362973E-3</v>
      </c>
      <c r="P173" s="38">
        <f t="shared" ca="1" si="365"/>
        <v>4474796.3134383662</v>
      </c>
      <c r="Q173" s="2">
        <v>6801773.2971329363</v>
      </c>
      <c r="R173" s="21">
        <f t="shared" ca="1" si="366"/>
        <v>5.0165947568459827E-3</v>
      </c>
      <c r="S173" s="38">
        <f t="shared" ca="1" si="367"/>
        <v>4642862.9739845721</v>
      </c>
      <c r="T173" s="2">
        <v>4615027.7446684279</v>
      </c>
      <c r="U173" s="21">
        <f t="shared" ca="1" si="368"/>
        <v>4.9533001826397739E-3</v>
      </c>
      <c r="V173" s="38">
        <f t="shared" ca="1" si="369"/>
        <v>4680553.7479605991</v>
      </c>
      <c r="W173" s="2">
        <v>4707328.2995617967</v>
      </c>
      <c r="X173" s="21">
        <f t="shared" ca="1" si="370"/>
        <v>4.9287372802140081E-3</v>
      </c>
      <c r="Y173" s="38">
        <f t="shared" ca="1" si="371"/>
        <v>4750490.2342084646</v>
      </c>
      <c r="Z173" s="2">
        <v>4792060.2089539096</v>
      </c>
      <c r="AA173" s="21">
        <f t="shared" ca="1" si="372"/>
        <v>4.9577738921249195E-3</v>
      </c>
      <c r="AB173" s="38">
        <f t="shared" ca="1" si="373"/>
        <v>4864489.3227199214</v>
      </c>
      <c r="AC173" s="2">
        <v>4878317.2927150801</v>
      </c>
      <c r="AD173" s="21">
        <f t="shared" ca="1" si="374"/>
        <v>4.9633285176250881E-3</v>
      </c>
      <c r="AE173" s="38">
        <f t="shared" ca="1" si="375"/>
        <v>4962468.2826589383</v>
      </c>
      <c r="AF173" s="2">
        <v>4952467.7155643497</v>
      </c>
      <c r="AG173" s="21">
        <f t="shared" ca="1" si="376"/>
        <v>4.9670024143968223E-3</v>
      </c>
      <c r="AH173" s="38">
        <f t="shared" ca="1" si="377"/>
        <v>5055532.0904303445</v>
      </c>
      <c r="AI173" s="2">
        <v>7541617.8372613918</v>
      </c>
      <c r="AJ173" s="21">
        <f t="shared" ca="1" si="378"/>
        <v>5.0301706640642563E-3</v>
      </c>
      <c r="AK173" s="38">
        <f t="shared" ca="1" si="379"/>
        <v>5211983.0953490101</v>
      </c>
      <c r="AL173" s="2">
        <v>51299398.595930412</v>
      </c>
    </row>
    <row r="174" spans="1:38" ht="12.75" x14ac:dyDescent="0.2">
      <c r="A174" s="8" t="s">
        <v>152</v>
      </c>
      <c r="B174" s="8" t="s">
        <v>17</v>
      </c>
      <c r="C174" s="8" t="s">
        <v>36</v>
      </c>
      <c r="D174" s="8" t="s">
        <v>173</v>
      </c>
      <c r="E174" s="8" t="s">
        <v>175</v>
      </c>
      <c r="F174" s="8" t="s">
        <v>192</v>
      </c>
      <c r="G174" s="8" t="s">
        <v>1181</v>
      </c>
      <c r="H174" s="34">
        <v>7190161.7783734594</v>
      </c>
      <c r="I174" s="21">
        <f t="shared" si="360"/>
        <v>8.2306030746110218E-3</v>
      </c>
      <c r="J174" s="38">
        <f t="shared" si="361"/>
        <v>6933910.4561431473</v>
      </c>
      <c r="K174" s="2">
        <v>7405866.6317246631</v>
      </c>
      <c r="L174" s="21">
        <f t="shared" ca="1" si="362"/>
        <v>8.2431460482075506E-3</v>
      </c>
      <c r="M174" s="38">
        <f t="shared" ca="1" si="363"/>
        <v>7268534.3392944876</v>
      </c>
      <c r="N174" s="2">
        <v>7598419.1641495042</v>
      </c>
      <c r="O174" s="21">
        <f t="shared" ca="1" si="364"/>
        <v>8.4374690086403744E-3</v>
      </c>
      <c r="P174" s="38">
        <f t="shared" ca="1" si="365"/>
        <v>7633318.8471818725</v>
      </c>
      <c r="Q174" s="2">
        <v>11602786.063656293</v>
      </c>
      <c r="R174" s="21">
        <f t="shared" ca="1" si="366"/>
        <v>8.5575442151650111E-3</v>
      </c>
      <c r="S174" s="38">
        <f t="shared" ca="1" si="367"/>
        <v>7920014.8926929384</v>
      </c>
      <c r="T174" s="2">
        <v>7872532.244171828</v>
      </c>
      <c r="U174" s="21">
        <f t="shared" ca="1" si="368"/>
        <v>8.4495733417731533E-3</v>
      </c>
      <c r="V174" s="38">
        <f t="shared" ca="1" si="369"/>
        <v>7984309.5946645271</v>
      </c>
      <c r="W174" s="2">
        <v>8029982.8890552651</v>
      </c>
      <c r="X174" s="21">
        <f t="shared" ca="1" si="370"/>
        <v>8.4076727829778819E-3</v>
      </c>
      <c r="Y174" s="38">
        <f t="shared" ca="1" si="371"/>
        <v>8103610.5552419489</v>
      </c>
      <c r="Z174" s="2">
        <v>8174522.5810582601</v>
      </c>
      <c r="AA174" s="21">
        <f t="shared" ca="1" si="372"/>
        <v>8.4572048066573133E-3</v>
      </c>
      <c r="AB174" s="38">
        <f t="shared" ca="1" si="373"/>
        <v>8298075.5833556904</v>
      </c>
      <c r="AC174" s="2">
        <v>8321663.9875173084</v>
      </c>
      <c r="AD174" s="21">
        <f t="shared" ca="1" si="374"/>
        <v>8.4666801491197485E-3</v>
      </c>
      <c r="AE174" s="38">
        <f t="shared" ca="1" si="375"/>
        <v>8465212.7196949944</v>
      </c>
      <c r="AF174" s="2">
        <v>8448153.2801275719</v>
      </c>
      <c r="AG174" s="21">
        <f t="shared" ca="1" si="376"/>
        <v>8.4729472557109591E-3</v>
      </c>
      <c r="AH174" s="38">
        <f t="shared" ca="1" si="377"/>
        <v>8623965.3573778775</v>
      </c>
      <c r="AI174" s="2">
        <v>12864847.814978268</v>
      </c>
      <c r="AJ174" s="21">
        <f t="shared" ca="1" si="378"/>
        <v>8.5807026387396488E-3</v>
      </c>
      <c r="AK174" s="38">
        <f t="shared" ca="1" si="379"/>
        <v>8890846.8690390345</v>
      </c>
      <c r="AL174" s="2">
        <v>87508936.434812427</v>
      </c>
    </row>
    <row r="175" spans="1:38" ht="12.75" x14ac:dyDescent="0.2">
      <c r="A175" s="8" t="s">
        <v>152</v>
      </c>
      <c r="B175" s="8" t="s">
        <v>17</v>
      </c>
      <c r="C175" s="8" t="s">
        <v>36</v>
      </c>
      <c r="D175" s="8" t="s">
        <v>173</v>
      </c>
      <c r="E175" s="8" t="s">
        <v>212</v>
      </c>
      <c r="F175" s="8" t="s">
        <v>192</v>
      </c>
      <c r="G175" s="8" t="s">
        <v>1182</v>
      </c>
      <c r="H175" s="34">
        <v>225261.99023493871</v>
      </c>
      <c r="I175" s="21">
        <f t="shared" si="360"/>
        <v>2.5785817990872818E-4</v>
      </c>
      <c r="J175" s="38">
        <f t="shared" si="361"/>
        <v>217233.84224255892</v>
      </c>
      <c r="K175" s="2">
        <v>232019.84994198687</v>
      </c>
      <c r="L175" s="21">
        <f t="shared" ca="1" si="362"/>
        <v>2.5825114119150725E-4</v>
      </c>
      <c r="M175" s="38">
        <f t="shared" ca="1" si="363"/>
        <v>227717.33958548889</v>
      </c>
      <c r="N175" s="2">
        <v>238052.36604047855</v>
      </c>
      <c r="O175" s="21">
        <f t="shared" ca="1" si="364"/>
        <v>2.6433912337670717E-4</v>
      </c>
      <c r="P175" s="38">
        <f t="shared" ca="1" si="365"/>
        <v>239145.74506319899</v>
      </c>
      <c r="Q175" s="2">
        <v>363505.96294381074</v>
      </c>
      <c r="R175" s="21">
        <f t="shared" ca="1" si="366"/>
        <v>2.6810098310022087E-4</v>
      </c>
      <c r="S175" s="38">
        <f t="shared" ca="1" si="367"/>
        <v>248127.70176945245</v>
      </c>
      <c r="T175" s="2">
        <v>246640.10855010897</v>
      </c>
      <c r="U175" s="21">
        <f t="shared" ca="1" si="368"/>
        <v>2.6471834240626474E-4</v>
      </c>
      <c r="V175" s="38">
        <f t="shared" ca="1" si="369"/>
        <v>250142.00311260793</v>
      </c>
      <c r="W175" s="2">
        <v>251572.91072111114</v>
      </c>
      <c r="X175" s="21">
        <f t="shared" ca="1" si="370"/>
        <v>2.6340563157205673E-4</v>
      </c>
      <c r="Y175" s="38">
        <f t="shared" ca="1" si="371"/>
        <v>253879.60633280821</v>
      </c>
      <c r="Z175" s="2">
        <v>256101.22311409115</v>
      </c>
      <c r="AA175" s="21">
        <f t="shared" ca="1" si="372"/>
        <v>2.6495743006815629E-4</v>
      </c>
      <c r="AB175" s="38">
        <f t="shared" ca="1" si="373"/>
        <v>259972.03938428039</v>
      </c>
      <c r="AC175" s="2">
        <v>260711.0451301448</v>
      </c>
      <c r="AD175" s="21">
        <f t="shared" ca="1" si="374"/>
        <v>2.6525428493276676E-4</v>
      </c>
      <c r="AE175" s="38">
        <f t="shared" ca="1" si="375"/>
        <v>265208.31154817011</v>
      </c>
      <c r="AF175" s="2">
        <v>264673.85301612306</v>
      </c>
      <c r="AG175" s="21">
        <f t="shared" ca="1" si="376"/>
        <v>2.6545062834578944E-4</v>
      </c>
      <c r="AH175" s="38">
        <f t="shared" ca="1" si="377"/>
        <v>270181.90410724917</v>
      </c>
      <c r="AI175" s="2">
        <v>403045.34337295219</v>
      </c>
      <c r="AJ175" s="21">
        <f t="shared" ca="1" si="378"/>
        <v>2.6882651789984357E-4</v>
      </c>
      <c r="AK175" s="38">
        <f t="shared" ca="1" si="379"/>
        <v>278543.0873916815</v>
      </c>
      <c r="AL175" s="2">
        <v>2741584.6530657462</v>
      </c>
    </row>
    <row r="176" spans="1:38" ht="12.75" x14ac:dyDescent="0.2">
      <c r="A176" s="8" t="s">
        <v>152</v>
      </c>
      <c r="B176" s="8" t="s">
        <v>17</v>
      </c>
      <c r="C176" s="8" t="s">
        <v>36</v>
      </c>
      <c r="D176" s="8" t="s">
        <v>173</v>
      </c>
      <c r="E176" s="8" t="s">
        <v>213</v>
      </c>
      <c r="F176" s="8" t="s">
        <v>192</v>
      </c>
      <c r="G176" s="8" t="s">
        <v>1183</v>
      </c>
      <c r="H176" s="34">
        <v>2700000</v>
      </c>
      <c r="I176" s="21">
        <f t="shared" si="360"/>
        <v>3.0906993453597795E-3</v>
      </c>
      <c r="J176" s="38">
        <f t="shared" si="361"/>
        <v>2603774.2694325917</v>
      </c>
      <c r="K176" s="2">
        <v>2700000</v>
      </c>
      <c r="L176" s="21">
        <f t="shared" ca="1" si="362"/>
        <v>3.0052518411308928E-3</v>
      </c>
      <c r="M176" s="38">
        <f t="shared" ca="1" si="363"/>
        <v>2649931.9650217462</v>
      </c>
      <c r="N176" s="2">
        <v>2700000</v>
      </c>
      <c r="O176" s="21">
        <f t="shared" ca="1" si="364"/>
        <v>2.9981455130580338E-3</v>
      </c>
      <c r="P176" s="38">
        <f t="shared" ca="1" si="365"/>
        <v>2712401.1511015324</v>
      </c>
      <c r="Q176" s="2">
        <v>2700000</v>
      </c>
      <c r="R176" s="21">
        <f t="shared" ca="1" si="366"/>
        <v>1.9913639064085714E-3</v>
      </c>
      <c r="S176" s="38">
        <f t="shared" ca="1" si="367"/>
        <v>1843009.0922086991</v>
      </c>
      <c r="T176" s="2">
        <v>2700000</v>
      </c>
      <c r="U176" s="21">
        <f t="shared" ca="1" si="368"/>
        <v>2.8979046785965216E-3</v>
      </c>
      <c r="V176" s="38">
        <f t="shared" ca="1" si="369"/>
        <v>2738335.6761166286</v>
      </c>
      <c r="W176" s="2">
        <v>2700000</v>
      </c>
      <c r="X176" s="21">
        <f t="shared" ca="1" si="370"/>
        <v>2.8269943818910229E-3</v>
      </c>
      <c r="Y176" s="38">
        <f t="shared" ca="1" si="371"/>
        <v>2724756.5532144532</v>
      </c>
      <c r="Z176" s="2">
        <v>2700000</v>
      </c>
      <c r="AA176" s="21">
        <f t="shared" ca="1" si="372"/>
        <v>2.7933683895969659E-3</v>
      </c>
      <c r="AB176" s="38">
        <f t="shared" ca="1" si="373"/>
        <v>2740808.8794049025</v>
      </c>
      <c r="AC176" s="2">
        <v>2700000</v>
      </c>
      <c r="AD176" s="21">
        <f t="shared" ca="1" si="374"/>
        <v>2.7470511230583104E-3</v>
      </c>
      <c r="AE176" s="38">
        <f t="shared" ca="1" si="375"/>
        <v>2746575.0092122359</v>
      </c>
      <c r="AF176" s="2">
        <v>2700000</v>
      </c>
      <c r="AG176" s="21">
        <f t="shared" ca="1" si="376"/>
        <v>2.7079240671724811E-3</v>
      </c>
      <c r="AH176" s="38">
        <f t="shared" ca="1" si="377"/>
        <v>2756188.9199728938</v>
      </c>
      <c r="AI176" s="2">
        <v>2700000</v>
      </c>
      <c r="AJ176" s="21">
        <f t="shared" ca="1" si="378"/>
        <v>1.8008683396645519E-3</v>
      </c>
      <c r="AK176" s="38">
        <f t="shared" ca="1" si="379"/>
        <v>1865959.6204827663</v>
      </c>
      <c r="AL176" s="2">
        <v>27000000</v>
      </c>
    </row>
    <row r="177" spans="1:38" ht="12.75" x14ac:dyDescent="0.2">
      <c r="A177" s="8" t="s">
        <v>152</v>
      </c>
      <c r="B177" s="8" t="s">
        <v>17</v>
      </c>
      <c r="C177" s="8" t="s">
        <v>36</v>
      </c>
      <c r="D177" s="8" t="s">
        <v>179</v>
      </c>
      <c r="E177" s="8" t="s">
        <v>180</v>
      </c>
      <c r="F177" s="8" t="s">
        <v>192</v>
      </c>
      <c r="G177" s="8" t="s">
        <v>1184</v>
      </c>
      <c r="H177" s="34">
        <v>7648995.5318064308</v>
      </c>
      <c r="I177" s="21">
        <f t="shared" si="360"/>
        <v>8.7558316603014857E-3</v>
      </c>
      <c r="J177" s="38">
        <f t="shared" si="361"/>
        <v>7376391.7602675715</v>
      </c>
      <c r="K177" s="2">
        <v>7878465.3977606241</v>
      </c>
      <c r="L177" s="21">
        <f t="shared" ca="1" si="362"/>
        <v>8.7691750525578319E-3</v>
      </c>
      <c r="M177" s="38">
        <f t="shared" ca="1" si="363"/>
        <v>7732369.3677198682</v>
      </c>
      <c r="N177" s="2">
        <v>8083305.4981024005</v>
      </c>
      <c r="O177" s="21">
        <f t="shared" ca="1" si="364"/>
        <v>8.9758985591900167E-3</v>
      </c>
      <c r="P177" s="38">
        <f t="shared" ca="1" si="365"/>
        <v>8120432.2732438128</v>
      </c>
      <c r="Q177" s="2">
        <v>12343207.495602366</v>
      </c>
      <c r="R177" s="21">
        <f t="shared" ca="1" si="366"/>
        <v>9.1036362577978838E-3</v>
      </c>
      <c r="S177" s="38">
        <f t="shared" ca="1" si="367"/>
        <v>8425423.5708939731</v>
      </c>
      <c r="T177" s="2">
        <v>8374910.8595571127</v>
      </c>
      <c r="U177" s="21">
        <f t="shared" ca="1" si="368"/>
        <v>8.9887753195331006E-3</v>
      </c>
      <c r="V177" s="38">
        <f t="shared" ca="1" si="369"/>
        <v>8493821.1818599328</v>
      </c>
      <c r="W177" s="2">
        <v>8542409.0767482556</v>
      </c>
      <c r="X177" s="21">
        <f t="shared" ca="1" si="370"/>
        <v>8.9442009139934081E-3</v>
      </c>
      <c r="Y177" s="38">
        <f t="shared" ca="1" si="371"/>
        <v>8620735.2267068289</v>
      </c>
      <c r="Z177" s="2">
        <v>8696172.4401297253</v>
      </c>
      <c r="AA177" s="21">
        <f t="shared" ca="1" si="372"/>
        <v>8.9968937795343283E-3</v>
      </c>
      <c r="AB177" s="38">
        <f t="shared" ca="1" si="373"/>
        <v>8827609.8669421282</v>
      </c>
      <c r="AC177" s="2">
        <v>8852703.5440520607</v>
      </c>
      <c r="AD177" s="21">
        <f t="shared" ca="1" si="374"/>
        <v>9.0069737825150004E-3</v>
      </c>
      <c r="AE177" s="38">
        <f t="shared" ca="1" si="375"/>
        <v>9005412.7103918474</v>
      </c>
      <c r="AF177" s="2">
        <v>8987264.6379216537</v>
      </c>
      <c r="AG177" s="21">
        <f t="shared" ca="1" si="376"/>
        <v>9.013640818917118E-3</v>
      </c>
      <c r="AH177" s="38">
        <f t="shared" ca="1" si="377"/>
        <v>9174296.0058903191</v>
      </c>
      <c r="AI177" s="2">
        <v>13685806.590627097</v>
      </c>
      <c r="AJ177" s="21">
        <f t="shared" ca="1" si="378"/>
        <v>9.1282725154936302E-3</v>
      </c>
      <c r="AK177" s="38">
        <f t="shared" ca="1" si="379"/>
        <v>9458208.3229063265</v>
      </c>
      <c r="AL177" s="2">
        <v>93093241.072307736</v>
      </c>
    </row>
    <row r="178" spans="1:38" ht="12.75" x14ac:dyDescent="0.2">
      <c r="A178" s="8" t="s">
        <v>152</v>
      </c>
      <c r="B178" s="8" t="s">
        <v>17</v>
      </c>
      <c r="C178" s="8" t="s">
        <v>36</v>
      </c>
      <c r="D178" s="8" t="s">
        <v>179</v>
      </c>
      <c r="E178" s="8" t="s">
        <v>181</v>
      </c>
      <c r="F178" s="8" t="s">
        <v>192</v>
      </c>
      <c r="G178" s="8" t="s">
        <v>1185</v>
      </c>
      <c r="H178" s="34">
        <v>15446802.611642327</v>
      </c>
      <c r="I178" s="21">
        <f t="shared" si="360"/>
        <v>1.7682008414705432E-2</v>
      </c>
      <c r="J178" s="38">
        <f t="shared" si="361"/>
        <v>14896291.550073497</v>
      </c>
      <c r="K178" s="2">
        <v>15910206.689991597</v>
      </c>
      <c r="L178" s="21">
        <f t="shared" ca="1" si="362"/>
        <v>1.7708954795507516E-2</v>
      </c>
      <c r="M178" s="38">
        <f t="shared" ca="1" si="363"/>
        <v>15615172.325152433</v>
      </c>
      <c r="N178" s="2">
        <v>16323872.063931379</v>
      </c>
      <c r="O178" s="21">
        <f t="shared" ca="1" si="364"/>
        <v>1.8126423623781203E-2</v>
      </c>
      <c r="P178" s="38">
        <f t="shared" ca="1" si="365"/>
        <v>16398847.917274673</v>
      </c>
      <c r="Q178" s="2">
        <v>24926552.641623218</v>
      </c>
      <c r="R178" s="21">
        <f t="shared" ca="1" si="366"/>
        <v>1.8384384163600633E-2</v>
      </c>
      <c r="S178" s="38">
        <f t="shared" ca="1" si="367"/>
        <v>17014764.131826058</v>
      </c>
      <c r="T178" s="2">
        <v>16912755.98210825</v>
      </c>
      <c r="U178" s="21">
        <f t="shared" ca="1" si="368"/>
        <v>1.8152427662412152E-2</v>
      </c>
      <c r="V178" s="38">
        <f t="shared" ca="1" si="369"/>
        <v>17152890.03231924</v>
      </c>
      <c r="W178" s="2">
        <v>17251011.101750415</v>
      </c>
      <c r="X178" s="21">
        <f t="shared" ca="1" si="370"/>
        <v>1.8062411654291885E-2</v>
      </c>
      <c r="Y178" s="38">
        <f t="shared" ca="1" si="371"/>
        <v>17409187.240396194</v>
      </c>
      <c r="Z178" s="2">
        <v>17561529.301581923</v>
      </c>
      <c r="AA178" s="21">
        <f t="shared" ca="1" si="372"/>
        <v>1.8168822527414748E-2</v>
      </c>
      <c r="AB178" s="38">
        <f t="shared" ca="1" si="373"/>
        <v>17826961.276187077</v>
      </c>
      <c r="AC178" s="2">
        <v>17877636.829010397</v>
      </c>
      <c r="AD178" s="21">
        <f t="shared" ca="1" si="374"/>
        <v>1.8189178640282085E-2</v>
      </c>
      <c r="AE178" s="38">
        <f t="shared" ca="1" si="375"/>
        <v>18186026.125308242</v>
      </c>
      <c r="AF178" s="2">
        <v>18149376.908811357</v>
      </c>
      <c r="AG178" s="21">
        <f t="shared" ca="1" si="376"/>
        <v>1.820264242057584E-2</v>
      </c>
      <c r="AH178" s="38">
        <f t="shared" ca="1" si="377"/>
        <v>18527078.348325092</v>
      </c>
      <c r="AI178" s="2">
        <v>27637871.156737939</v>
      </c>
      <c r="AJ178" s="21">
        <f t="shared" ca="1" si="378"/>
        <v>1.843413597848054E-2</v>
      </c>
      <c r="AK178" s="38">
        <f t="shared" ca="1" si="379"/>
        <v>19100426.509103082</v>
      </c>
      <c r="AL178" s="2">
        <v>187997615.28718883</v>
      </c>
    </row>
    <row r="179" spans="1:38" ht="12.75" x14ac:dyDescent="0.2">
      <c r="A179" s="8" t="s">
        <v>152</v>
      </c>
      <c r="B179" s="8" t="s">
        <v>17</v>
      </c>
      <c r="C179" s="8" t="s">
        <v>36</v>
      </c>
      <c r="D179" s="8" t="s">
        <v>179</v>
      </c>
      <c r="E179" s="8" t="s">
        <v>214</v>
      </c>
      <c r="F179" s="8" t="s">
        <v>192</v>
      </c>
      <c r="G179" s="8" t="s">
        <v>1186</v>
      </c>
      <c r="H179" s="34">
        <v>4341921.0692773638</v>
      </c>
      <c r="I179" s="21">
        <f t="shared" si="360"/>
        <v>4.9702120764516227E-3</v>
      </c>
      <c r="J179" s="38">
        <f t="shared" si="361"/>
        <v>4187178.651885794</v>
      </c>
      <c r="K179" s="2">
        <v>4472178.7013556845</v>
      </c>
      <c r="L179" s="21">
        <f t="shared" ca="1" si="362"/>
        <v>4.9777863985613095E-3</v>
      </c>
      <c r="M179" s="38">
        <f t="shared" ca="1" si="363"/>
        <v>4389247.8866710635</v>
      </c>
      <c r="N179" s="2">
        <v>4588455.3475909326</v>
      </c>
      <c r="O179" s="21">
        <f t="shared" ca="1" si="364"/>
        <v>5.0951321526840352E-3</v>
      </c>
      <c r="P179" s="38">
        <f t="shared" ca="1" si="365"/>
        <v>4609530.2098457878</v>
      </c>
      <c r="Q179" s="2">
        <v>7006571.3157713544</v>
      </c>
      <c r="R179" s="21">
        <f t="shared" ca="1" si="366"/>
        <v>5.1676419355202556E-3</v>
      </c>
      <c r="S179" s="38">
        <f t="shared" ca="1" si="367"/>
        <v>4782657.2741389908</v>
      </c>
      <c r="T179" s="2">
        <v>4753983.939881199</v>
      </c>
      <c r="U179" s="21">
        <f t="shared" ca="1" si="368"/>
        <v>5.1024415930942413E-3</v>
      </c>
      <c r="V179" s="38">
        <f t="shared" ca="1" si="369"/>
        <v>4821482.898615621</v>
      </c>
      <c r="W179" s="2">
        <v>4849063.6186788231</v>
      </c>
      <c r="X179" s="21">
        <f t="shared" ca="1" si="370"/>
        <v>5.0771391138656249E-3</v>
      </c>
      <c r="Y179" s="38">
        <f t="shared" ca="1" si="371"/>
        <v>4893525.1377588566</v>
      </c>
      <c r="Z179" s="2">
        <v>4936346.7638150416</v>
      </c>
      <c r="AA179" s="21">
        <f t="shared" ca="1" si="372"/>
        <v>5.1070500037519321E-3</v>
      </c>
      <c r="AB179" s="38">
        <f t="shared" ca="1" si="373"/>
        <v>5010956.6822540453</v>
      </c>
      <c r="AC179" s="2">
        <v>5025201.0055637127</v>
      </c>
      <c r="AD179" s="21">
        <f t="shared" ca="1" si="374"/>
        <v>5.1127718762694627E-3</v>
      </c>
      <c r="AE179" s="38">
        <f t="shared" ca="1" si="375"/>
        <v>5111885.7400553683</v>
      </c>
      <c r="AF179" s="2">
        <v>5101584.0608482817</v>
      </c>
      <c r="AG179" s="21">
        <f t="shared" ca="1" si="376"/>
        <v>5.116556392249845E-3</v>
      </c>
      <c r="AH179" s="38">
        <f t="shared" ca="1" si="377"/>
        <v>5207751.6528964275</v>
      </c>
      <c r="AI179" s="2">
        <v>7768692.2078597639</v>
      </c>
      <c r="AJ179" s="21">
        <f t="shared" ca="1" si="378"/>
        <v>5.1816266065679096E-3</v>
      </c>
      <c r="AK179" s="38">
        <f t="shared" ca="1" si="379"/>
        <v>5368913.3199353442</v>
      </c>
      <c r="AL179" s="2">
        <v>52843998.030642152</v>
      </c>
    </row>
    <row r="180" spans="1:38" ht="12.75" x14ac:dyDescent="0.2">
      <c r="A180" s="8" t="s">
        <v>152</v>
      </c>
      <c r="B180" s="8" t="s">
        <v>17</v>
      </c>
      <c r="C180" s="8" t="s">
        <v>36</v>
      </c>
      <c r="D180" s="8" t="s">
        <v>179</v>
      </c>
      <c r="E180" s="8" t="s">
        <v>182</v>
      </c>
      <c r="F180" s="8" t="s">
        <v>192</v>
      </c>
      <c r="G180" s="8" t="s">
        <v>1187</v>
      </c>
      <c r="H180" s="34">
        <v>16453094.927209355</v>
      </c>
      <c r="I180" s="21">
        <f t="shared" si="360"/>
        <v>1.8833914711358615E-2</v>
      </c>
      <c r="J180" s="38">
        <f t="shared" si="361"/>
        <v>15866720.45333319</v>
      </c>
      <c r="K180" s="2">
        <v>16921487.775025636</v>
      </c>
      <c r="L180" s="21">
        <f t="shared" ca="1" si="362"/>
        <v>1.883456751502581E-2</v>
      </c>
      <c r="M180" s="38">
        <f t="shared" ca="1" si="363"/>
        <v>16607700.500283387</v>
      </c>
      <c r="N180" s="2">
        <v>17339606.457176305</v>
      </c>
      <c r="O180" s="21">
        <f t="shared" ca="1" si="364"/>
        <v>1.9254319739916759E-2</v>
      </c>
      <c r="P180" s="38">
        <f t="shared" ca="1" si="365"/>
        <v>17419247.597812064</v>
      </c>
      <c r="Q180" s="2">
        <v>26034899.060108218</v>
      </c>
      <c r="R180" s="21">
        <f t="shared" ca="1" si="366"/>
        <v>1.9201836405662944E-2</v>
      </c>
      <c r="S180" s="38">
        <f t="shared" ca="1" si="367"/>
        <v>17771316.91945006</v>
      </c>
      <c r="T180" s="2">
        <v>17934829.99610291</v>
      </c>
      <c r="U180" s="21">
        <f t="shared" ca="1" si="368"/>
        <v>1.9249417687236984E-2</v>
      </c>
      <c r="V180" s="38">
        <f t="shared" ca="1" si="369"/>
        <v>18189475.860524166</v>
      </c>
      <c r="W180" s="2">
        <v>18276726.596024968</v>
      </c>
      <c r="X180" s="21">
        <f t="shared" ca="1" si="370"/>
        <v>1.9136371631970676E-2</v>
      </c>
      <c r="Y180" s="38">
        <f t="shared" ca="1" si="371"/>
        <v>18444307.616232563</v>
      </c>
      <c r="Z180" s="2">
        <v>18590587.674753416</v>
      </c>
      <c r="AA180" s="21">
        <f t="shared" ca="1" si="372"/>
        <v>1.923346664988413E-2</v>
      </c>
      <c r="AB180" s="38">
        <f t="shared" ca="1" si="373"/>
        <v>18871573.249007225</v>
      </c>
      <c r="AC180" s="2">
        <v>18910098.25289898</v>
      </c>
      <c r="AD180" s="21">
        <f t="shared" ca="1" si="374"/>
        <v>1.9239632089914496E-2</v>
      </c>
      <c r="AE180" s="38">
        <f t="shared" ca="1" si="375"/>
        <v>19236297.512281597</v>
      </c>
      <c r="AF180" s="2">
        <v>19184763.746343046</v>
      </c>
      <c r="AG180" s="21">
        <f t="shared" ca="1" si="376"/>
        <v>1.9241067952496454E-2</v>
      </c>
      <c r="AH180" s="38">
        <f t="shared" ca="1" si="377"/>
        <v>19584012.322210506</v>
      </c>
      <c r="AI180" s="2">
        <v>28775406.232931197</v>
      </c>
      <c r="AJ180" s="21">
        <f t="shared" ca="1" si="378"/>
        <v>1.9192858535508076E-2</v>
      </c>
      <c r="AK180" s="38">
        <f t="shared" ca="1" si="379"/>
        <v>19886572.627273232</v>
      </c>
      <c r="AL180" s="2">
        <v>198421500.71857402</v>
      </c>
    </row>
    <row r="181" spans="1:38" ht="12.75" x14ac:dyDescent="0.2">
      <c r="A181" s="8" t="s">
        <v>152</v>
      </c>
      <c r="B181" s="8" t="s">
        <v>17</v>
      </c>
      <c r="C181" s="8" t="s">
        <v>36</v>
      </c>
      <c r="D181" s="8" t="s">
        <v>185</v>
      </c>
      <c r="E181" s="8" t="s">
        <v>215</v>
      </c>
      <c r="F181" s="8" t="s">
        <v>192</v>
      </c>
      <c r="G181" s="8" t="s">
        <v>1188</v>
      </c>
      <c r="H181" s="34">
        <v>2227528.5697722076</v>
      </c>
      <c r="I181" s="21">
        <f t="shared" si="360"/>
        <v>2.5498596638389511E-3</v>
      </c>
      <c r="J181" s="38">
        <f t="shared" si="361"/>
        <v>2148141.323851428</v>
      </c>
      <c r="K181" s="2">
        <v>2234354.4268653737</v>
      </c>
      <c r="L181" s="21">
        <f t="shared" ca="1" si="362"/>
        <v>2.4869621315096761E-3</v>
      </c>
      <c r="M181" s="38">
        <f t="shared" ca="1" si="363"/>
        <v>2192921.1914586658</v>
      </c>
      <c r="N181" s="2">
        <v>2240447.6419638735</v>
      </c>
      <c r="O181" s="21">
        <f t="shared" ca="1" si="364"/>
        <v>2.4878474240723849E-3</v>
      </c>
      <c r="P181" s="38">
        <f t="shared" ca="1" si="365"/>
        <v>2250738.0603872309</v>
      </c>
      <c r="Q181" s="2">
        <v>2367163.5492788353</v>
      </c>
      <c r="R181" s="21">
        <f t="shared" ca="1" si="366"/>
        <v>1.7458829824444002E-3</v>
      </c>
      <c r="S181" s="38">
        <f t="shared" ca="1" si="367"/>
        <v>1615816.2755799661</v>
      </c>
      <c r="T181" s="2">
        <v>2249121.7940866989</v>
      </c>
      <c r="U181" s="21">
        <f t="shared" ca="1" si="368"/>
        <v>2.4139779888212027E-3</v>
      </c>
      <c r="V181" s="38">
        <f t="shared" ca="1" si="369"/>
        <v>2281055.7217329796</v>
      </c>
      <c r="W181" s="2">
        <v>2254104.2299684328</v>
      </c>
      <c r="X181" s="21">
        <f t="shared" ca="1" si="370"/>
        <v>2.3601259238213148E-3</v>
      </c>
      <c r="Y181" s="38">
        <f t="shared" ca="1" si="371"/>
        <v>2274772.3230499653</v>
      </c>
      <c r="Z181" s="2">
        <v>2258678.1061078645</v>
      </c>
      <c r="AA181" s="21">
        <f t="shared" ca="1" si="372"/>
        <v>2.3367851940283148E-3</v>
      </c>
      <c r="AB181" s="38">
        <f t="shared" ca="1" si="373"/>
        <v>2292816.6699769939</v>
      </c>
      <c r="AC181" s="2">
        <v>2263334.3120178059</v>
      </c>
      <c r="AD181" s="21">
        <f t="shared" ca="1" si="374"/>
        <v>2.3027759495129344E-3</v>
      </c>
      <c r="AE181" s="38">
        <f t="shared" ca="1" si="375"/>
        <v>2302376.8366224729</v>
      </c>
      <c r="AF181" s="2">
        <v>2267336.9935604767</v>
      </c>
      <c r="AG181" s="21">
        <f t="shared" ca="1" si="376"/>
        <v>2.2739912641677449E-3</v>
      </c>
      <c r="AH181" s="38">
        <f t="shared" ca="1" si="377"/>
        <v>2314521.8887022361</v>
      </c>
      <c r="AI181" s="2">
        <v>2407100.7737938943</v>
      </c>
      <c r="AJ181" s="21">
        <f t="shared" ca="1" si="378"/>
        <v>1.6055079903360995E-3</v>
      </c>
      <c r="AK181" s="38">
        <f t="shared" ca="1" si="379"/>
        <v>1663538.0912341587</v>
      </c>
      <c r="AL181" s="2">
        <v>22769170.397415463</v>
      </c>
    </row>
    <row r="182" spans="1:38" ht="12.75" x14ac:dyDescent="0.2">
      <c r="A182" s="8" t="s">
        <v>152</v>
      </c>
      <c r="B182" s="8" t="s">
        <v>17</v>
      </c>
      <c r="C182" s="8" t="s">
        <v>36</v>
      </c>
      <c r="D182" s="8" t="s">
        <v>185</v>
      </c>
      <c r="E182" s="8" t="s">
        <v>216</v>
      </c>
      <c r="F182" s="8" t="s">
        <v>192</v>
      </c>
      <c r="G182" s="8" t="s">
        <v>1189</v>
      </c>
      <c r="H182" s="34">
        <v>6187146.1993784541</v>
      </c>
      <c r="I182" s="21">
        <f t="shared" si="360"/>
        <v>7.0824476696534208E-3</v>
      </c>
      <c r="J182" s="38">
        <f t="shared" si="361"/>
        <v>5966641.5093182484</v>
      </c>
      <c r="K182" s="2">
        <v>6372760.5853598081</v>
      </c>
      <c r="L182" s="21">
        <f t="shared" ca="1" si="362"/>
        <v>7.0932409193477592E-3</v>
      </c>
      <c r="M182" s="38">
        <f t="shared" ca="1" si="363"/>
        <v>6254585.918731723</v>
      </c>
      <c r="N182" s="2">
        <v>6538452.3605791628</v>
      </c>
      <c r="O182" s="21">
        <f t="shared" ca="1" si="364"/>
        <v>7.2604561508200459E-3</v>
      </c>
      <c r="P182" s="38">
        <f t="shared" ca="1" si="365"/>
        <v>6568483.5960212778</v>
      </c>
      <c r="Q182" s="2">
        <v>9984216.7546043824</v>
      </c>
      <c r="R182" s="21">
        <f t="shared" ca="1" si="366"/>
        <v>7.3637810662514416E-3</v>
      </c>
      <c r="S182" s="38">
        <f t="shared" ca="1" si="367"/>
        <v>6815186.0212290026</v>
      </c>
      <c r="T182" s="2">
        <v>6774327.1230026186</v>
      </c>
      <c r="U182" s="21">
        <f t="shared" ca="1" si="368"/>
        <v>7.2708719496639264E-3</v>
      </c>
      <c r="V182" s="38">
        <f t="shared" ca="1" si="369"/>
        <v>6870511.7194824405</v>
      </c>
      <c r="W182" s="2">
        <v>6909813.6654626708</v>
      </c>
      <c r="X182" s="21">
        <f t="shared" ca="1" si="370"/>
        <v>7.2348164489543657E-3</v>
      </c>
      <c r="Y182" s="38">
        <f t="shared" ca="1" si="371"/>
        <v>6973170.3949852567</v>
      </c>
      <c r="Z182" s="2">
        <v>7034190.3114409987</v>
      </c>
      <c r="AA182" s="21">
        <f t="shared" ca="1" si="372"/>
        <v>7.2774388379216745E-3</v>
      </c>
      <c r="AB182" s="38">
        <f t="shared" ca="1" si="373"/>
        <v>7140507.8759338614</v>
      </c>
      <c r="AC182" s="2">
        <v>7160805.7370469365</v>
      </c>
      <c r="AD182" s="21">
        <f t="shared" ca="1" si="374"/>
        <v>7.2855923859100665E-3</v>
      </c>
      <c r="AE182" s="38">
        <f t="shared" ca="1" si="375"/>
        <v>7284329.6604432305</v>
      </c>
      <c r="AF182" s="2">
        <v>7269649.984250051</v>
      </c>
      <c r="AG182" s="21">
        <f t="shared" ca="1" si="376"/>
        <v>7.2909852415817631E-3</v>
      </c>
      <c r="AH182" s="38">
        <f t="shared" ca="1" si="377"/>
        <v>7420936.5698781889</v>
      </c>
      <c r="AI182" s="2">
        <v>11070222.996015979</v>
      </c>
      <c r="AJ182" s="21">
        <f t="shared" ca="1" si="378"/>
        <v>7.3837089283524584E-3</v>
      </c>
      <c r="AK182" s="38">
        <f t="shared" ca="1" si="379"/>
        <v>7650588.5556687294</v>
      </c>
      <c r="AL182" s="2">
        <v>75301585.717141062</v>
      </c>
    </row>
    <row r="183" spans="1:38" ht="12.75" x14ac:dyDescent="0.2">
      <c r="A183" s="8" t="s">
        <v>152</v>
      </c>
      <c r="B183" s="8" t="s">
        <v>17</v>
      </c>
      <c r="C183" s="8" t="s">
        <v>36</v>
      </c>
      <c r="D183" s="8" t="s">
        <v>185</v>
      </c>
      <c r="E183" s="8" t="s">
        <v>217</v>
      </c>
      <c r="F183" s="8" t="s">
        <v>192</v>
      </c>
      <c r="G183" s="8" t="s">
        <v>1190</v>
      </c>
      <c r="H183" s="34">
        <v>230897.39525864704</v>
      </c>
      <c r="I183" s="21">
        <f t="shared" si="360"/>
        <v>2.6430904754488096E-4</v>
      </c>
      <c r="J183" s="38">
        <f t="shared" si="361"/>
        <v>222668.40616795258</v>
      </c>
      <c r="K183" s="2">
        <v>237824.31711640646</v>
      </c>
      <c r="L183" s="21">
        <f t="shared" ca="1" si="362"/>
        <v>2.6471183958510288E-4</v>
      </c>
      <c r="M183" s="38">
        <f t="shared" ca="1" si="363"/>
        <v>233414.1703652718</v>
      </c>
      <c r="N183" s="2">
        <v>244007.74936143303</v>
      </c>
      <c r="O183" s="21">
        <f t="shared" ca="1" si="364"/>
        <v>2.7095212551828509E-4</v>
      </c>
      <c r="P183" s="38">
        <f t="shared" ca="1" si="365"/>
        <v>245128.48157246114</v>
      </c>
      <c r="Q183" s="2">
        <v>372599.83327490825</v>
      </c>
      <c r="R183" s="21">
        <f t="shared" ca="1" si="366"/>
        <v>2.74808096117594E-4</v>
      </c>
      <c r="S183" s="38">
        <f t="shared" ca="1" si="367"/>
        <v>254335.14091892645</v>
      </c>
      <c r="T183" s="2">
        <v>252810.33240954316</v>
      </c>
      <c r="U183" s="21">
        <f t="shared" ca="1" si="368"/>
        <v>2.7134083151376183E-4</v>
      </c>
      <c r="V183" s="38">
        <f t="shared" ca="1" si="369"/>
        <v>256399.83426961332</v>
      </c>
      <c r="W183" s="2">
        <v>257866.53905773401</v>
      </c>
      <c r="X183" s="21">
        <f t="shared" ca="1" si="370"/>
        <v>2.6999528044218378E-4</v>
      </c>
      <c r="Y183" s="38">
        <f t="shared" ca="1" si="371"/>
        <v>260230.94153788575</v>
      </c>
      <c r="Z183" s="2">
        <v>262508.13676077325</v>
      </c>
      <c r="AA183" s="21">
        <f t="shared" ca="1" si="372"/>
        <v>2.7158590045908937E-4</v>
      </c>
      <c r="AB183" s="38">
        <f t="shared" ca="1" si="373"/>
        <v>266475.7896851718</v>
      </c>
      <c r="AC183" s="2">
        <v>267233.28322246717</v>
      </c>
      <c r="AD183" s="21">
        <f t="shared" ca="1" si="374"/>
        <v>2.7189018177586595E-4</v>
      </c>
      <c r="AE183" s="38">
        <f t="shared" ca="1" si="375"/>
        <v>271843.05826983851</v>
      </c>
      <c r="AF183" s="2">
        <v>271295.22912744869</v>
      </c>
      <c r="AG183" s="21">
        <f t="shared" ca="1" si="376"/>
        <v>2.7209143713455221E-4</v>
      </c>
      <c r="AH183" s="38">
        <f t="shared" ca="1" si="377"/>
        <v>276941.07576391904</v>
      </c>
      <c r="AI183" s="2">
        <v>413128.37491527887</v>
      </c>
      <c r="AJ183" s="21">
        <f t="shared" ca="1" si="378"/>
        <v>2.7555178170444176E-4</v>
      </c>
      <c r="AK183" s="38">
        <f t="shared" ca="1" si="379"/>
        <v>285511.43172873172</v>
      </c>
      <c r="AL183" s="2">
        <v>2810171.1905046399</v>
      </c>
    </row>
    <row r="184" spans="1:38" ht="12.75" x14ac:dyDescent="0.2">
      <c r="A184" s="8" t="s">
        <v>152</v>
      </c>
      <c r="B184" s="8" t="s">
        <v>17</v>
      </c>
      <c r="C184" s="8" t="s">
        <v>36</v>
      </c>
      <c r="D184" s="8" t="s">
        <v>185</v>
      </c>
      <c r="E184" s="8" t="s">
        <v>218</v>
      </c>
      <c r="F184" s="8" t="s">
        <v>192</v>
      </c>
      <c r="G184" s="8" t="s">
        <v>1191</v>
      </c>
      <c r="H184" s="34">
        <v>655231.99880550965</v>
      </c>
      <c r="I184" s="21">
        <f t="shared" si="360"/>
        <v>7.5004633695072902E-4</v>
      </c>
      <c r="J184" s="38">
        <f t="shared" si="361"/>
        <v>631880.08111061947</v>
      </c>
      <c r="K184" s="2">
        <v>674888.95876967499</v>
      </c>
      <c r="L184" s="21">
        <f t="shared" ca="1" si="362"/>
        <v>7.5118936514869511E-4</v>
      </c>
      <c r="M184" s="38">
        <f t="shared" ca="1" si="363"/>
        <v>662374.00914222409</v>
      </c>
      <c r="N184" s="2">
        <v>692436.07169768657</v>
      </c>
      <c r="O184" s="21">
        <f t="shared" ca="1" si="364"/>
        <v>7.6889781534812956E-4</v>
      </c>
      <c r="P184" s="38">
        <f t="shared" ca="1" si="365"/>
        <v>695616.4436803807</v>
      </c>
      <c r="Q184" s="2">
        <v>1057349.8814823674</v>
      </c>
      <c r="R184" s="21">
        <f t="shared" ca="1" si="366"/>
        <v>7.7984014460346935E-4</v>
      </c>
      <c r="S184" s="38">
        <f t="shared" ca="1" si="367"/>
        <v>721742.75748807169</v>
      </c>
      <c r="T184" s="2">
        <v>717415.7128876783</v>
      </c>
      <c r="U184" s="21">
        <f t="shared" ca="1" si="368"/>
        <v>7.7000087069476364E-4</v>
      </c>
      <c r="V184" s="38">
        <f t="shared" ca="1" si="369"/>
        <v>727601.86711369397</v>
      </c>
      <c r="W184" s="2">
        <v>731764.02714543184</v>
      </c>
      <c r="X184" s="21">
        <f t="shared" ca="1" si="370"/>
        <v>7.6618251615188362E-4</v>
      </c>
      <c r="Y184" s="38">
        <f t="shared" ca="1" si="371"/>
        <v>738473.64013744972</v>
      </c>
      <c r="Z184" s="2">
        <v>744935.77963404963</v>
      </c>
      <c r="AA184" s="21">
        <f t="shared" ca="1" si="372"/>
        <v>7.7069631818871308E-4</v>
      </c>
      <c r="AB184" s="38">
        <f t="shared" ca="1" si="373"/>
        <v>756195.03681756184</v>
      </c>
      <c r="AC184" s="2">
        <v>758344.6236674625</v>
      </c>
      <c r="AD184" s="21">
        <f t="shared" ca="1" si="374"/>
        <v>7.7155979633738319E-4</v>
      </c>
      <c r="AE184" s="38">
        <f t="shared" ca="1" si="375"/>
        <v>771426.07101315202</v>
      </c>
      <c r="AF184" s="2">
        <v>769871.46194720804</v>
      </c>
      <c r="AG184" s="21">
        <f t="shared" ca="1" si="376"/>
        <v>7.7213091127263244E-4</v>
      </c>
      <c r="AH184" s="38">
        <f t="shared" ca="1" si="377"/>
        <v>785893.03452675114</v>
      </c>
      <c r="AI184" s="2">
        <v>1172360.2622532086</v>
      </c>
      <c r="AJ184" s="21">
        <f t="shared" ca="1" si="378"/>
        <v>7.8195054776764234E-4</v>
      </c>
      <c r="AK184" s="38">
        <f t="shared" ca="1" si="379"/>
        <v>810213.67037891608</v>
      </c>
      <c r="AL184" s="2">
        <v>7974598.7782902773</v>
      </c>
    </row>
    <row r="185" spans="1:38" ht="12.75" x14ac:dyDescent="0.2">
      <c r="A185" s="8" t="s">
        <v>152</v>
      </c>
      <c r="B185" s="8" t="s">
        <v>17</v>
      </c>
      <c r="C185" s="8" t="s">
        <v>36</v>
      </c>
      <c r="D185" s="8" t="s">
        <v>185</v>
      </c>
      <c r="E185" s="8" t="s">
        <v>219</v>
      </c>
      <c r="F185" s="8" t="s">
        <v>192</v>
      </c>
      <c r="G185" s="8" t="s">
        <v>1192</v>
      </c>
      <c r="H185" s="34">
        <v>1554521.6262864233</v>
      </c>
      <c r="I185" s="21">
        <f t="shared" si="360"/>
        <v>1.7794662861892845E-3</v>
      </c>
      <c r="J185" s="38">
        <f t="shared" si="361"/>
        <v>1499119.782148554</v>
      </c>
      <c r="K185" s="2">
        <v>1601157.2750750161</v>
      </c>
      <c r="L185" s="21">
        <f t="shared" ca="1" si="362"/>
        <v>1.7821780921701167E-3</v>
      </c>
      <c r="M185" s="38">
        <f t="shared" ca="1" si="363"/>
        <v>1571465.8682401488</v>
      </c>
      <c r="N185" s="2">
        <v>1642787.3642269666</v>
      </c>
      <c r="O185" s="21">
        <f t="shared" ca="1" si="364"/>
        <v>1.8241909499872272E-3</v>
      </c>
      <c r="P185" s="38">
        <f t="shared" ca="1" si="365"/>
        <v>1650332.7176830652</v>
      </c>
      <c r="Q185" s="2">
        <v>2508536.305174578</v>
      </c>
      <c r="R185" s="21">
        <f t="shared" ca="1" si="366"/>
        <v>1.8501513540889526E-3</v>
      </c>
      <c r="S185" s="38">
        <f t="shared" ca="1" si="367"/>
        <v>1712316.7476193937</v>
      </c>
      <c r="T185" s="2">
        <v>1702050.9418872562</v>
      </c>
      <c r="U185" s="21">
        <f t="shared" ca="1" si="368"/>
        <v>1.8268079213721096E-3</v>
      </c>
      <c r="V185" s="38">
        <f t="shared" ca="1" si="369"/>
        <v>1726217.3395325127</v>
      </c>
      <c r="W185" s="2">
        <v>1736091.9607250013</v>
      </c>
      <c r="X185" s="21">
        <f t="shared" ca="1" si="370"/>
        <v>1.8177489701539811E-3</v>
      </c>
      <c r="Y185" s="38">
        <f t="shared" ca="1" si="371"/>
        <v>1752010.3507290282</v>
      </c>
      <c r="Z185" s="2">
        <v>1767341.6160180513</v>
      </c>
      <c r="AA185" s="21">
        <f t="shared" ca="1" si="372"/>
        <v>1.8284578532607567E-3</v>
      </c>
      <c r="AB185" s="38">
        <f t="shared" ca="1" si="373"/>
        <v>1794053.9237496611</v>
      </c>
      <c r="AC185" s="2">
        <v>1799153.7651063763</v>
      </c>
      <c r="AD185" s="21">
        <f t="shared" ca="1" si="374"/>
        <v>1.8305064337000218E-3</v>
      </c>
      <c r="AE185" s="38">
        <f t="shared" ca="1" si="375"/>
        <v>1830189.1736930648</v>
      </c>
      <c r="AF185" s="2">
        <v>1826500.9023359935</v>
      </c>
      <c r="AG185" s="21">
        <f t="shared" ca="1" si="376"/>
        <v>1.8318613896844038E-3</v>
      </c>
      <c r="AH185" s="38">
        <f t="shared" ca="1" si="377"/>
        <v>1864511.6849403547</v>
      </c>
      <c r="AI185" s="2">
        <v>2781395.5740772514</v>
      </c>
      <c r="AJ185" s="21">
        <f t="shared" ca="1" si="378"/>
        <v>1.8551582331254937E-3</v>
      </c>
      <c r="AK185" s="38">
        <f t="shared" ca="1" si="379"/>
        <v>1922211.7888213459</v>
      </c>
      <c r="AL185" s="2">
        <v>18919537.330912914</v>
      </c>
    </row>
    <row r="186" spans="1:38" ht="12.75" x14ac:dyDescent="0.2">
      <c r="A186" s="8" t="s">
        <v>152</v>
      </c>
      <c r="B186" s="8" t="s">
        <v>17</v>
      </c>
      <c r="C186" s="8" t="s">
        <v>36</v>
      </c>
      <c r="D186" s="8" t="s">
        <v>185</v>
      </c>
      <c r="E186" s="8" t="s">
        <v>220</v>
      </c>
      <c r="F186" s="8" t="s">
        <v>192</v>
      </c>
      <c r="G186" s="8" t="s">
        <v>1193</v>
      </c>
      <c r="H186" s="34">
        <v>1881346.4301677484</v>
      </c>
      <c r="I186" s="21">
        <f t="shared" si="360"/>
        <v>2.1535837704127472E-3</v>
      </c>
      <c r="J186" s="38">
        <f t="shared" si="361"/>
        <v>1814296.8247257934</v>
      </c>
      <c r="K186" s="2">
        <v>1937786.8230727809</v>
      </c>
      <c r="L186" s="21">
        <f t="shared" ca="1" si="362"/>
        <v>2.1568657102809846E-3</v>
      </c>
      <c r="M186" s="38">
        <f t="shared" ca="1" si="363"/>
        <v>1901853.0532809265</v>
      </c>
      <c r="N186" s="2">
        <v>1988169.2804726732</v>
      </c>
      <c r="O186" s="21">
        <f t="shared" ca="1" si="364"/>
        <v>2.2077114101662831E-3</v>
      </c>
      <c r="P186" s="38">
        <f t="shared" ca="1" si="365"/>
        <v>1997300.9796069569</v>
      </c>
      <c r="Q186" s="2">
        <v>3035934.491281772</v>
      </c>
      <c r="R186" s="21">
        <f t="shared" ca="1" si="366"/>
        <v>2.2391297659849589E-3</v>
      </c>
      <c r="S186" s="38">
        <f t="shared" ca="1" si="367"/>
        <v>2072316.6188082586</v>
      </c>
      <c r="T186" s="2">
        <v>2059892.5157013172</v>
      </c>
      <c r="U186" s="21">
        <f t="shared" ca="1" si="368"/>
        <v>2.2108785772802985E-3</v>
      </c>
      <c r="V186" s="38">
        <f t="shared" ca="1" si="369"/>
        <v>2089139.6906335368</v>
      </c>
      <c r="W186" s="2">
        <v>2101090.3660153435</v>
      </c>
      <c r="X186" s="21">
        <f t="shared" ca="1" si="370"/>
        <v>2.1999150594706404E-3</v>
      </c>
      <c r="Y186" s="38">
        <f t="shared" ca="1" si="371"/>
        <v>2120355.4606281705</v>
      </c>
      <c r="Z186" s="2">
        <v>2138909.9926036196</v>
      </c>
      <c r="AA186" s="21">
        <f t="shared" ca="1" si="372"/>
        <v>2.2128753931600115E-3</v>
      </c>
      <c r="AB186" s="38">
        <f t="shared" ca="1" si="373"/>
        <v>2171238.3333243984</v>
      </c>
      <c r="AC186" s="2">
        <v>2177410.3724704846</v>
      </c>
      <c r="AD186" s="21">
        <f t="shared" ca="1" si="374"/>
        <v>2.2153546700199476E-3</v>
      </c>
      <c r="AE186" s="38">
        <f t="shared" ca="1" si="375"/>
        <v>2214970.7088247924</v>
      </c>
      <c r="AF186" s="2">
        <v>2210507.0101320362</v>
      </c>
      <c r="AG186" s="21">
        <f t="shared" ca="1" si="376"/>
        <v>2.2169944938481572E-3</v>
      </c>
      <c r="AH186" s="38">
        <f t="shared" ca="1" si="377"/>
        <v>2256509.2329067877</v>
      </c>
      <c r="AI186" s="2">
        <v>3366160.0750290649</v>
      </c>
      <c r="AJ186" s="21">
        <f t="shared" ca="1" si="378"/>
        <v>2.2451892982824797E-3</v>
      </c>
      <c r="AK186" s="38">
        <f t="shared" ca="1" si="379"/>
        <v>2326340.2874390646</v>
      </c>
      <c r="AL186" s="2">
        <v>22897207.356946841</v>
      </c>
    </row>
    <row r="187" spans="1:38" ht="12.75" x14ac:dyDescent="0.2">
      <c r="A187" s="8" t="s">
        <v>187</v>
      </c>
      <c r="B187" s="8" t="s">
        <v>17</v>
      </c>
      <c r="C187" s="8" t="s">
        <v>36</v>
      </c>
      <c r="D187" s="8" t="s">
        <v>187</v>
      </c>
      <c r="E187" s="8" t="s">
        <v>187</v>
      </c>
      <c r="F187" s="8" t="s">
        <v>188</v>
      </c>
      <c r="G187" s="8" t="s">
        <v>1194</v>
      </c>
      <c r="H187" s="34">
        <v>7888570.6675548078</v>
      </c>
      <c r="I187" s="21">
        <f>H187/H$195</f>
        <v>2.3969817245038869E-2</v>
      </c>
      <c r="J187" s="38">
        <f>I187*J$203</f>
        <v>8886449.8228897322</v>
      </c>
      <c r="K187" s="2">
        <v>8125227.7875814522</v>
      </c>
      <c r="L187" s="21">
        <f>K187/K$195</f>
        <v>2.4000701420010703E-2</v>
      </c>
      <c r="M187" s="38">
        <f>L187*M$203</f>
        <v>7902047.0014028475</v>
      </c>
      <c r="N187" s="2">
        <v>8336483.7100585699</v>
      </c>
      <c r="O187" s="21">
        <f>N187/N$195</f>
        <v>3.6647985939406505E-2</v>
      </c>
      <c r="P187" s="38">
        <f>O187*P$203</f>
        <v>14667235.337843556</v>
      </c>
      <c r="Q187" s="2">
        <v>12847981.857444936</v>
      </c>
      <c r="R187" s="21">
        <f>Q187/Q$195</f>
        <v>3.8647793552478792E-2</v>
      </c>
      <c r="S187" s="38">
        <f>R187*S$203</f>
        <v>18235622.492578536</v>
      </c>
      <c r="T187" s="2">
        <v>8822280.8754455224</v>
      </c>
      <c r="U187" s="21">
        <f>T187/T$195</f>
        <v>3.6600691034954572E-2</v>
      </c>
      <c r="V187" s="38">
        <f>U187*V$203</f>
        <v>17632379.138048224</v>
      </c>
      <c r="W187" s="2">
        <v>9069304.7399579976</v>
      </c>
      <c r="X187" s="21">
        <f>W187/W$195</f>
        <v>3.475969146831346E-2</v>
      </c>
      <c r="Y187" s="38">
        <f>X187*Y$203</f>
        <v>17080387.34204201</v>
      </c>
      <c r="Z187" s="2">
        <v>9323245.2726768218</v>
      </c>
      <c r="AA187" s="21">
        <f>Z187/Z$195</f>
        <v>3.7581899111490992E-2</v>
      </c>
      <c r="AB187" s="38">
        <f>AA187*AB$203</f>
        <v>18799586.744303185</v>
      </c>
      <c r="AC187" s="2">
        <v>9491063.6875850055</v>
      </c>
      <c r="AD187" s="21">
        <f>AC187/AC$195</f>
        <v>3.6757370878733472E-2</v>
      </c>
      <c r="AE187" s="38">
        <f>AD187*AE$203</f>
        <v>18736488.661843877</v>
      </c>
      <c r="AF187" s="2">
        <v>9635327.8556362987</v>
      </c>
      <c r="AG187" s="21">
        <f>AF187/AF$195</f>
        <v>3.7210183557642121E-2</v>
      </c>
      <c r="AH187" s="38">
        <f>AG187*AH$203</f>
        <v>19308714.215418383</v>
      </c>
      <c r="AI187" s="2">
        <v>14672677.258562956</v>
      </c>
      <c r="AJ187" s="21">
        <f>AI187/AI$195</f>
        <v>3.535991169552119E-2</v>
      </c>
      <c r="AK187" s="38">
        <f>AJ187*AK$203</f>
        <v>18678865.377730984</v>
      </c>
      <c r="AL187" s="2">
        <v>98212163.712504372</v>
      </c>
    </row>
    <row r="188" spans="1:38" ht="12.75" x14ac:dyDescent="0.2">
      <c r="A188" s="8" t="s">
        <v>187</v>
      </c>
      <c r="B188" s="8" t="s">
        <v>17</v>
      </c>
      <c r="C188" s="8" t="s">
        <v>36</v>
      </c>
      <c r="D188" s="8" t="s">
        <v>187</v>
      </c>
      <c r="E188" s="8" t="s">
        <v>187</v>
      </c>
      <c r="F188" s="8" t="s">
        <v>189</v>
      </c>
      <c r="G188" s="8" t="s">
        <v>1195</v>
      </c>
      <c r="H188" s="34">
        <v>6712174.9967149878</v>
      </c>
      <c r="I188" s="21">
        <f>H188/H$194</f>
        <v>4.3367998520951981E-2</v>
      </c>
      <c r="J188" s="38">
        <f>I188*J$202</f>
        <v>8143792.9352349211</v>
      </c>
      <c r="K188" s="2">
        <v>6913540.246616438</v>
      </c>
      <c r="L188" s="21">
        <f>K188/K$194</f>
        <v>4.3367998520951988E-2</v>
      </c>
      <c r="M188" s="38">
        <f>L188*M$202</f>
        <v>8996511.9864468854</v>
      </c>
      <c r="N188" s="2">
        <v>7093292.2930284655</v>
      </c>
      <c r="O188" s="21">
        <f>N188/N$194</f>
        <v>4.2204422943454008E-2</v>
      </c>
      <c r="P188" s="38">
        <f>O188*P$202</f>
        <v>8982766.5027993396</v>
      </c>
      <c r="Q188" s="2">
        <v>10847230.816752382</v>
      </c>
      <c r="R188" s="21">
        <f>Q188/Q$194</f>
        <v>4.3506930685779266E-2</v>
      </c>
      <c r="S188" s="38">
        <f>R188*S$202</f>
        <v>9472971.3504929021</v>
      </c>
      <c r="T188" s="2">
        <v>7376116.9553916194</v>
      </c>
      <c r="U188" s="21">
        <f>T188/T$194</f>
        <v>4.2486561196657752E-2</v>
      </c>
      <c r="V188" s="38">
        <f>U188*V$202</f>
        <v>9445068.2690421678</v>
      </c>
      <c r="W188" s="2">
        <v>7523639.2944994522</v>
      </c>
      <c r="X188" s="21">
        <f>W188/W$194</f>
        <v>4.2321325095889775E-2</v>
      </c>
      <c r="Y188" s="38">
        <f>X188*Y$202</f>
        <v>9596501.7967117373</v>
      </c>
      <c r="Z188" s="2">
        <v>7659064.8018004429</v>
      </c>
      <c r="AA188" s="21">
        <f>Z188/Z$194</f>
        <v>4.2590574238296298E-2</v>
      </c>
      <c r="AB188" s="38">
        <f>AA188*AB$202</f>
        <v>9831390.927777566</v>
      </c>
      <c r="AC188" s="2">
        <v>7796927.9682328505</v>
      </c>
      <c r="AD188" s="21">
        <f>AC188/AC$194</f>
        <v>4.2537849742495415E-2</v>
      </c>
      <c r="AE188" s="38">
        <f>AD188*AE$202</f>
        <v>10005785.459197013</v>
      </c>
      <c r="AF188" s="2">
        <v>7915441.2733499911</v>
      </c>
      <c r="AG188" s="21">
        <f>AF188/AF$194</f>
        <v>4.2710764182093713E-2</v>
      </c>
      <c r="AH188" s="38">
        <f>AG188*AH$202</f>
        <v>10227294.779092919</v>
      </c>
      <c r="AI188" s="2">
        <v>12053633.971057368</v>
      </c>
      <c r="AJ188" s="21">
        <f>AI188/AI$194</f>
        <v>4.3024610086499417E-2</v>
      </c>
      <c r="AK188" s="38">
        <f>AJ188*AK$202</f>
        <v>10487890.707617821</v>
      </c>
      <c r="AL188" s="2">
        <v>81891062.617443994</v>
      </c>
    </row>
    <row r="189" spans="1:38" ht="12.75" x14ac:dyDescent="0.2">
      <c r="A189" s="8" t="s">
        <v>187</v>
      </c>
      <c r="B189" s="8" t="s">
        <v>17</v>
      </c>
      <c r="C189" s="8" t="s">
        <v>36</v>
      </c>
      <c r="D189" s="8" t="s">
        <v>187</v>
      </c>
      <c r="E189" s="8" t="s">
        <v>187</v>
      </c>
      <c r="F189" s="8" t="s">
        <v>192</v>
      </c>
      <c r="G189" s="8" t="s">
        <v>1196</v>
      </c>
      <c r="H189" s="34">
        <v>31214754.522129655</v>
      </c>
      <c r="I189" s="21">
        <f>H189/H$193</f>
        <v>3.5731637543374939E-2</v>
      </c>
      <c r="J189" s="38">
        <f>I189*J$201</f>
        <v>30102286.907916971</v>
      </c>
      <c r="K189" s="2">
        <v>32151197.157793544</v>
      </c>
      <c r="L189" s="21">
        <f ca="1">K189/K$193</f>
        <v>3.5786090538156061E-2</v>
      </c>
      <c r="M189" s="38">
        <f ca="1">L189*M$201</f>
        <v>31554994.467464231</v>
      </c>
      <c r="N189" s="2">
        <v>32987128.283896178</v>
      </c>
      <c r="O189" s="21">
        <f ca="1">N189/N$193</f>
        <v>3.6629707649271509E-2</v>
      </c>
      <c r="P189" s="38">
        <f ca="1">O189*P$201</f>
        <v>33138638.788434777</v>
      </c>
      <c r="Q189" s="2">
        <v>50371344.889509469</v>
      </c>
      <c r="R189" s="21">
        <f ca="1">Q189/Q$193</f>
        <v>3.7150991900084078E-2</v>
      </c>
      <c r="S189" s="38">
        <f ca="1">R189*S$201</f>
        <v>34383276.525239311</v>
      </c>
      <c r="T189" s="2">
        <v>34177139.408532843</v>
      </c>
      <c r="U189" s="21">
        <f ca="1">T189/T$193</f>
        <v>3.6682256367789955E-2</v>
      </c>
      <c r="V189" s="38">
        <f ca="1">U189*V$201</f>
        <v>34662400.055554464</v>
      </c>
      <c r="W189" s="2">
        <v>34860682.196703501</v>
      </c>
      <c r="X189" s="21">
        <f ca="1">W189/W$193</f>
        <v>3.6500352858877483E-2</v>
      </c>
      <c r="Y189" s="38">
        <f ca="1">X189*Y$201</f>
        <v>35180323.061108992</v>
      </c>
      <c r="Z189" s="2">
        <v>35488174.476244166</v>
      </c>
      <c r="AA189" s="21">
        <f ca="1">Z189/Z$193</f>
        <v>3.6715386957941597E-2</v>
      </c>
      <c r="AB189" s="38">
        <f ca="1">AA189*AB$201</f>
        <v>36024556.932726085</v>
      </c>
      <c r="AC189" s="2">
        <v>36126961.616816565</v>
      </c>
      <c r="AD189" s="21">
        <f ca="1">AC189/AC$193</f>
        <v>3.6756522400800157E-2</v>
      </c>
      <c r="AE189" s="38">
        <f ca="1">AD189*AE$201</f>
        <v>36750151.827969655</v>
      </c>
      <c r="AF189" s="2">
        <v>36676091.433392182</v>
      </c>
      <c r="AG189" s="21">
        <f ca="1">AF189/AF$193</f>
        <v>3.6783729882333763E-2</v>
      </c>
      <c r="AH189" s="38">
        <f ca="1">AG189*AH$201</f>
        <v>37439346.976529002</v>
      </c>
      <c r="AI189" s="2">
        <v>55850352.034769624</v>
      </c>
      <c r="AJ189" s="21">
        <f ca="1">AI189/AI$193</f>
        <v>3.7251529903161593E-2</v>
      </c>
      <c r="AK189" s="38">
        <f ca="1">AJ189*AK$201</f>
        <v>38597963.587639861</v>
      </c>
      <c r="AL189" s="2">
        <v>379903826.01978767</v>
      </c>
    </row>
    <row r="190" spans="1:38" ht="12.75" x14ac:dyDescent="0.2">
      <c r="H190" s="39"/>
      <c r="I190" s="40"/>
      <c r="J190" s="24"/>
    </row>
    <row r="191" spans="1:38" ht="12.75" x14ac:dyDescent="0.2">
      <c r="F191" s="9" t="s">
        <v>1004</v>
      </c>
      <c r="H191" s="39">
        <f>SUM(H4:H189)</f>
        <v>1379626703.5316887</v>
      </c>
      <c r="I191" s="40"/>
      <c r="J191" s="24">
        <f>SUM(J4:J189)</f>
        <v>1423201407.1099997</v>
      </c>
    </row>
    <row r="192" spans="1:38" ht="12.75" x14ac:dyDescent="0.2">
      <c r="F192" s="9"/>
      <c r="H192" s="39"/>
      <c r="I192" s="40"/>
      <c r="J192" s="24"/>
    </row>
    <row r="193" spans="5:37" ht="12.75" x14ac:dyDescent="0.2">
      <c r="F193" s="9" t="s">
        <v>192</v>
      </c>
      <c r="H193" s="39">
        <f>SUMIF($F4:F$189,$F193,H4:H189)</f>
        <v>873588692.4924109</v>
      </c>
      <c r="I193" s="40"/>
      <c r="J193" s="24">
        <f t="shared" ref="J193:K193" ca="1" si="380">SUMIF($F4:H$189,$F193,J4:J189)</f>
        <v>842454725.7699995</v>
      </c>
      <c r="K193" s="39">
        <f t="shared" ca="1" si="380"/>
        <v>898427201.0241828</v>
      </c>
      <c r="L193" s="40"/>
      <c r="M193" s="24">
        <f t="shared" ref="M193:N193" ca="1" si="381">SUMIF($F4:K$189,$F193,M4:M189)</f>
        <v>881767021.56999993</v>
      </c>
      <c r="N193" s="39">
        <f t="shared" ca="1" si="381"/>
        <v>900556690.20749676</v>
      </c>
      <c r="O193" s="40"/>
      <c r="P193" s="24">
        <f t="shared" ref="P193:Q193" ca="1" si="382">SUMIF($F4:N$189,$F193,P4:P189)</f>
        <v>904692964.12999976</v>
      </c>
      <c r="Q193" s="39">
        <f t="shared" ca="1" si="382"/>
        <v>1355854643.8001153</v>
      </c>
      <c r="R193" s="40"/>
      <c r="S193" s="24">
        <f t="shared" ref="S193:T193" ca="1" si="383">SUMIF($F4:Q$189,$F193,S4:S189)</f>
        <v>925500902.3100009</v>
      </c>
      <c r="T193" s="39">
        <f t="shared" ca="1" si="383"/>
        <v>931707664.48661506</v>
      </c>
      <c r="U193" s="40"/>
      <c r="V193" s="24">
        <f t="shared" ref="V193:W193" ca="1" si="384">SUMIF($F4:T$189,$F193,V4:V189)</f>
        <v>944936421.25</v>
      </c>
      <c r="W193" s="39">
        <f t="shared" ca="1" si="384"/>
        <v>955077950.38274026</v>
      </c>
      <c r="X193" s="40"/>
      <c r="Y193" s="24">
        <f t="shared" ref="Y193:Z193" ca="1" si="385">SUMIF($F4:W$189,$F193,Y4:Y189)</f>
        <v>963835149.67999947</v>
      </c>
      <c r="Z193" s="39">
        <f t="shared" ca="1" si="385"/>
        <v>966574981.67993617</v>
      </c>
      <c r="AA193" s="40"/>
      <c r="AB193" s="24">
        <f t="shared" ref="AB193:AC193" ca="1" si="386">SUMIF($F4:Z$189,$F193,AB4:AB189)</f>
        <v>981184182.36999989</v>
      </c>
      <c r="AC193" s="39">
        <f t="shared" ca="1" si="386"/>
        <v>982872134.17203236</v>
      </c>
      <c r="AD193" s="40"/>
      <c r="AE193" s="24">
        <f t="shared" ref="AE193:AF193" ca="1" si="387">SUMIF($F4:AC$189,$F193,AE4:AE189)</f>
        <v>999826681.83999991</v>
      </c>
      <c r="AF193" s="39">
        <f t="shared" ca="1" si="387"/>
        <v>997073748.3858788</v>
      </c>
      <c r="AG193" s="40"/>
      <c r="AH193" s="24">
        <f t="shared" ref="AH193:AI193" ca="1" si="388">SUMIF($F4:AF$189,$F193,AH4:AH189)</f>
        <v>1017823562.1099997</v>
      </c>
      <c r="AI193" s="39">
        <f t="shared" ca="1" si="388"/>
        <v>1499276732.5250049</v>
      </c>
      <c r="AJ193" s="40"/>
      <c r="AK193" s="24">
        <f ca="1">SUMIF($F4:AI$189,$F193,AK4:AK189)</f>
        <v>1036144386.2299995</v>
      </c>
    </row>
    <row r="194" spans="5:37" ht="12.75" x14ac:dyDescent="0.2">
      <c r="F194" s="41" t="s">
        <v>189</v>
      </c>
      <c r="H194" s="39">
        <f>SUMIF($F4:$F189,$F194,H4:H189)</f>
        <v>154772533.33404806</v>
      </c>
      <c r="I194" s="40"/>
      <c r="J194" s="24">
        <f t="shared" ref="J194:K194" si="389">SUMIF($F4:$F189,$F194,J4:J189)</f>
        <v>187783462.76000002</v>
      </c>
      <c r="K194" s="39">
        <f t="shared" si="389"/>
        <v>159415709.33406949</v>
      </c>
      <c r="L194" s="40"/>
      <c r="M194" s="24">
        <f t="shared" ref="M194:N194" si="390">SUMIF($F4:$F189,$F194,M4:M189)</f>
        <v>207445865.4600001</v>
      </c>
      <c r="N194" s="39">
        <f t="shared" si="390"/>
        <v>168069879.84487179</v>
      </c>
      <c r="O194" s="40"/>
      <c r="P194" s="24">
        <f t="shared" ref="P194:Q194" si="391">SUMIF($F4:$F189,$F194,P4:P189)</f>
        <v>212839457.96000004</v>
      </c>
      <c r="Q194" s="39">
        <f t="shared" si="391"/>
        <v>249321904.48217306</v>
      </c>
      <c r="R194" s="40"/>
      <c r="S194" s="24">
        <f t="shared" ref="S194:T194" si="392">SUMIF($F4:$F189,$F194,S4:S189)</f>
        <v>217734765.5</v>
      </c>
      <c r="T194" s="39">
        <f t="shared" si="392"/>
        <v>173610589.97572789</v>
      </c>
      <c r="U194" s="40"/>
      <c r="V194" s="24">
        <f t="shared" ref="V194:W194" si="393">SUMIF($F4:$F189,$F194,V4:V189)</f>
        <v>222307195.5699999</v>
      </c>
      <c r="W194" s="39">
        <f t="shared" si="393"/>
        <v>177774190.13825122</v>
      </c>
      <c r="X194" s="40"/>
      <c r="Y194" s="24">
        <f t="shared" ref="Y194:Z194" si="394">SUMIF($F4:$F189,$F194,Y4:Y189)</f>
        <v>226753339.48000008</v>
      </c>
      <c r="Z194" s="39">
        <f t="shared" si="394"/>
        <v>179830043.12051791</v>
      </c>
      <c r="AA194" s="40"/>
      <c r="AB194" s="24">
        <f t="shared" ref="AB194:AC194" si="395">SUMIF($F4:$F189,$F194,AB4:AB189)</f>
        <v>230834899.59</v>
      </c>
      <c r="AC194" s="39">
        <f t="shared" si="395"/>
        <v>183293890.39248264</v>
      </c>
      <c r="AD194" s="40"/>
      <c r="AE194" s="24">
        <f t="shared" ref="AE194:AF194" si="396">SUMIF($F4:$F189,$F194,AE4:AE189)</f>
        <v>235220762.68000001</v>
      </c>
      <c r="AF194" s="39">
        <f t="shared" si="396"/>
        <v>185326613.20699343</v>
      </c>
      <c r="AG194" s="40"/>
      <c r="AH194" s="24">
        <f t="shared" ref="AH194:AI194" si="397">SUMIF($F4:$F189,$F194,AH4:AH189)</f>
        <v>239454736.41000003</v>
      </c>
      <c r="AI194" s="39">
        <f t="shared" si="397"/>
        <v>280156727.66874528</v>
      </c>
      <c r="AJ194" s="40"/>
      <c r="AK194" s="24">
        <f>SUMIF($F4:$F189,$F194,AK4:AK189)</f>
        <v>243764921.67000005</v>
      </c>
    </row>
    <row r="195" spans="5:37" ht="12.75" x14ac:dyDescent="0.2">
      <c r="F195" s="41" t="s">
        <v>188</v>
      </c>
      <c r="H195" s="39">
        <f>SUMIF($F4:$F189,$F195,H4:H189)</f>
        <v>329104330.95552856</v>
      </c>
      <c r="I195" s="40"/>
      <c r="J195" s="24">
        <f t="shared" ref="J195:K195" si="398">SUMIF($F4:$F189,$F195,J4:J189)</f>
        <v>370734984.42000014</v>
      </c>
      <c r="K195" s="39">
        <f t="shared" si="398"/>
        <v>338541263.66519451</v>
      </c>
      <c r="L195" s="40"/>
      <c r="M195" s="24">
        <f t="shared" ref="M195:N195" si="399">SUMIF($F4:$F189,$F195,M4:M189)</f>
        <v>329242336.01000005</v>
      </c>
      <c r="N195" s="39">
        <f t="shared" si="399"/>
        <v>227474539.08768812</v>
      </c>
      <c r="O195" s="40"/>
      <c r="P195" s="24">
        <f t="shared" ref="P195:Q195" si="400">SUMIF($F4:$F189,$F195,P4:P189)</f>
        <v>400219410.75</v>
      </c>
      <c r="Q195" s="39">
        <f t="shared" si="400"/>
        <v>332437654.94656271</v>
      </c>
      <c r="R195" s="40"/>
      <c r="S195" s="24">
        <f t="shared" ref="S195:T195" si="401">SUMIF($F4:$F189,$F195,S4:S189)</f>
        <v>471841231.19000018</v>
      </c>
      <c r="T195" s="39">
        <f t="shared" si="401"/>
        <v>241041374.51995167</v>
      </c>
      <c r="U195" s="40"/>
      <c r="V195" s="24">
        <f t="shared" ref="V195:W195" si="402">SUMIF($F4:$F189,$F195,V4:V189)</f>
        <v>481749897.04999983</v>
      </c>
      <c r="W195" s="39">
        <f t="shared" si="402"/>
        <v>260914420.03233752</v>
      </c>
      <c r="X195" s="40"/>
      <c r="Y195" s="24">
        <f t="shared" ref="Y195:Z195" si="403">SUMIF($F4:$F189,$F195,Y4:Y189)</f>
        <v>491384894.99000007</v>
      </c>
      <c r="Z195" s="39">
        <f t="shared" si="403"/>
        <v>248078077.29509225</v>
      </c>
      <c r="AA195" s="40"/>
      <c r="AB195" s="24">
        <f t="shared" ref="AB195:AC195" si="404">SUMIF($F4:$F189,$F195,AB4:AB189)</f>
        <v>500229823.09999985</v>
      </c>
      <c r="AC195" s="39">
        <f t="shared" si="404"/>
        <v>258208448.01161236</v>
      </c>
      <c r="AD195" s="40"/>
      <c r="AE195" s="24">
        <f t="shared" ref="AE195:AF195" si="405">SUMIF($F4:$F189,$F195,AE4:AE189)</f>
        <v>509734189.73999995</v>
      </c>
      <c r="AF195" s="39">
        <f t="shared" si="405"/>
        <v>258943303.53706148</v>
      </c>
      <c r="AG195" s="40"/>
      <c r="AH195" s="24">
        <f t="shared" ref="AH195:AI195" si="406">SUMIF($F4:$F189,$F195,AH4:AH189)</f>
        <v>518909405.14999998</v>
      </c>
      <c r="AI195" s="39">
        <f t="shared" si="406"/>
        <v>414952316.19657713</v>
      </c>
      <c r="AJ195" s="40"/>
      <c r="AK195" s="24">
        <f>SUMIF($F4:$F189,$F195,AK4:AK189)</f>
        <v>528249774.45000005</v>
      </c>
    </row>
    <row r="196" spans="5:37" ht="12.75" x14ac:dyDescent="0.2">
      <c r="F196" s="41" t="s">
        <v>191</v>
      </c>
      <c r="H196" s="39">
        <f>SUMIF($F4:$F189,$F196,H4:H189)</f>
        <v>22161146.749699999</v>
      </c>
      <c r="I196" s="40"/>
      <c r="J196" s="24">
        <f t="shared" ref="J196:K196" si="407">SUMIF($F4:$F189,$F196,J4:J189)</f>
        <v>22228234.16</v>
      </c>
      <c r="K196" s="39">
        <f t="shared" si="407"/>
        <v>22715175.418442503</v>
      </c>
      <c r="L196" s="40"/>
      <c r="M196" s="24">
        <f t="shared" ref="M196:N196" si="408">SUMIF($F4:$F189,$F196,M4:M189)</f>
        <v>28813652.690000005</v>
      </c>
      <c r="N196" s="39">
        <f t="shared" si="408"/>
        <v>15731539.607231896</v>
      </c>
      <c r="O196" s="40"/>
      <c r="P196" s="24">
        <f t="shared" ref="P196:Q196" si="409">SUMIF($F4:$F189,$F196,P4:P189)</f>
        <v>29562807.660000004</v>
      </c>
      <c r="Q196" s="39">
        <f t="shared" si="409"/>
        <v>23908494.533992913</v>
      </c>
      <c r="R196" s="40"/>
      <c r="S196" s="24">
        <f t="shared" ref="S196:T196" si="410">SUMIF($F4:$F189,$F196,S4:S189)</f>
        <v>30242752.239999998</v>
      </c>
      <c r="T196" s="39">
        <f t="shared" si="410"/>
        <v>16221325.018807206</v>
      </c>
      <c r="U196" s="40"/>
      <c r="V196" s="24">
        <f t="shared" ref="V196:W196" si="411">SUMIF($F4:$F189,$F196,V4:V189)</f>
        <v>30877850.030000001</v>
      </c>
      <c r="W196" s="39">
        <f t="shared" si="411"/>
        <v>16433686.435899314</v>
      </c>
      <c r="X196" s="40"/>
      <c r="Y196" s="24">
        <f t="shared" ref="Y196:Z196" si="412">SUMIF($F4:$F189,$F196,Y4:Y189)</f>
        <v>31495407.030000001</v>
      </c>
      <c r="Z196" s="39">
        <f t="shared" si="412"/>
        <v>16511816.96632505</v>
      </c>
      <c r="AA196" s="40"/>
      <c r="AB196" s="24">
        <f t="shared" ref="AB196:AC196" si="413">SUMIF($F4:$F189,$F196,AB4:AB189)</f>
        <v>32062324.359999996</v>
      </c>
      <c r="AC196" s="39">
        <f t="shared" si="413"/>
        <v>16733248.146522552</v>
      </c>
      <c r="AD196" s="40"/>
      <c r="AE196" s="24">
        <f t="shared" ref="AE196:AF196" si="414">SUMIF($F4:$F189,$F196,AE4:AE189)</f>
        <v>32671508.52</v>
      </c>
      <c r="AF196" s="39">
        <f t="shared" si="414"/>
        <v>16776472.818156682</v>
      </c>
      <c r="AG196" s="40"/>
      <c r="AH196" s="24">
        <f t="shared" ref="AH196:AI196" si="415">SUMIF($F4:$F189,$F196,AH4:AH189)</f>
        <v>33259595.680000007</v>
      </c>
      <c r="AI196" s="39">
        <f t="shared" si="415"/>
        <v>25276239.308592986</v>
      </c>
      <c r="AJ196" s="40"/>
      <c r="AK196" s="24">
        <f>SUMIF($F4:$F189,$F196,AK4:AK189)</f>
        <v>33858268.400000006</v>
      </c>
    </row>
    <row r="197" spans="5:37" ht="12.75" x14ac:dyDescent="0.2">
      <c r="H197" s="39"/>
      <c r="I197" s="40"/>
      <c r="J197" s="24"/>
      <c r="K197" s="39"/>
      <c r="L197" s="40"/>
      <c r="M197" s="24"/>
      <c r="N197" s="39"/>
      <c r="O197" s="40"/>
      <c r="P197" s="24"/>
      <c r="Q197" s="39"/>
      <c r="R197" s="40"/>
      <c r="S197" s="24"/>
      <c r="T197" s="39"/>
      <c r="U197" s="40"/>
      <c r="V197" s="24"/>
      <c r="W197" s="39"/>
      <c r="X197" s="40"/>
      <c r="Y197" s="24"/>
      <c r="Z197" s="39"/>
      <c r="AA197" s="40"/>
      <c r="AB197" s="24"/>
      <c r="AC197" s="39"/>
      <c r="AD197" s="40"/>
      <c r="AE197" s="24"/>
      <c r="AF197" s="39"/>
      <c r="AG197" s="40"/>
      <c r="AH197" s="24"/>
      <c r="AI197" s="39"/>
      <c r="AJ197" s="40"/>
      <c r="AK197" s="24"/>
    </row>
    <row r="198" spans="5:37" ht="12.75" x14ac:dyDescent="0.2">
      <c r="F198" s="9" t="s">
        <v>1008</v>
      </c>
      <c r="H198" s="39">
        <f>SUM(H193:H197)</f>
        <v>1379626703.5316875</v>
      </c>
      <c r="I198" s="40"/>
      <c r="J198" s="24">
        <f t="shared" ref="J198:K198" ca="1" si="416">SUM(J193:J197)</f>
        <v>1423201407.1099997</v>
      </c>
      <c r="K198" s="39">
        <f t="shared" ca="1" si="416"/>
        <v>1419099349.4418893</v>
      </c>
      <c r="L198" s="40"/>
      <c r="M198" s="24">
        <f t="shared" ref="M198:N198" ca="1" si="417">SUM(M193:M197)</f>
        <v>1447268875.73</v>
      </c>
      <c r="N198" s="39">
        <f t="shared" ca="1" si="417"/>
        <v>1311832648.7472885</v>
      </c>
      <c r="O198" s="40"/>
      <c r="P198" s="24">
        <f t="shared" ref="P198:Q198" ca="1" si="418">SUM(P193:P197)</f>
        <v>1547314640.4999998</v>
      </c>
      <c r="Q198" s="39">
        <f t="shared" ca="1" si="418"/>
        <v>1961522697.7628441</v>
      </c>
      <c r="R198" s="40"/>
      <c r="S198" s="24">
        <f t="shared" ref="S198:T198" ca="1" si="419">SUM(S193:S197)</f>
        <v>1645319651.240001</v>
      </c>
      <c r="T198" s="39">
        <f t="shared" ca="1" si="419"/>
        <v>1362580954.0011017</v>
      </c>
      <c r="U198" s="40"/>
      <c r="V198" s="24">
        <f t="shared" ref="V198:W198" ca="1" si="420">SUM(V193:V197)</f>
        <v>1679871363.8999999</v>
      </c>
      <c r="W198" s="39">
        <f t="shared" ca="1" si="420"/>
        <v>1410200246.9892282</v>
      </c>
      <c r="X198" s="40"/>
      <c r="Y198" s="24">
        <f t="shared" ref="Y198:Z198" ca="1" si="421">SUM(Y193:Y197)</f>
        <v>1713468791.1799996</v>
      </c>
      <c r="Z198" s="39">
        <f t="shared" ca="1" si="421"/>
        <v>1410994919.0618715</v>
      </c>
      <c r="AA198" s="40"/>
      <c r="AB198" s="24">
        <f t="shared" ref="AB198:AC198" ca="1" si="422">SUM(AB193:AB197)</f>
        <v>1744311229.4199996</v>
      </c>
      <c r="AC198" s="39">
        <f t="shared" ca="1" si="422"/>
        <v>1441107720.7226501</v>
      </c>
      <c r="AD198" s="40"/>
      <c r="AE198" s="24">
        <f t="shared" ref="AE198:AF198" ca="1" si="423">SUM(AE193:AE197)</f>
        <v>1777453142.78</v>
      </c>
      <c r="AF198" s="39">
        <f t="shared" ca="1" si="423"/>
        <v>1458120137.9480903</v>
      </c>
      <c r="AG198" s="40"/>
      <c r="AH198" s="24">
        <f t="shared" ref="AH198:AI198" ca="1" si="424">SUM(AH193:AH197)</f>
        <v>1809447299.3499997</v>
      </c>
      <c r="AI198" s="39">
        <f t="shared" ca="1" si="424"/>
        <v>2219662015.6989202</v>
      </c>
      <c r="AJ198" s="40"/>
      <c r="AK198" s="24">
        <f ca="1">SUM(AK193:AK197)</f>
        <v>1842017350.7499998</v>
      </c>
    </row>
    <row r="199" spans="5:37" ht="12.75" x14ac:dyDescent="0.2">
      <c r="H199" s="39"/>
      <c r="I199" s="40"/>
      <c r="J199" s="24"/>
    </row>
    <row r="200" spans="5:37" ht="12.75" x14ac:dyDescent="0.2">
      <c r="H200" s="39"/>
      <c r="I200" s="40"/>
      <c r="J200" s="24"/>
    </row>
    <row r="201" spans="5:37" ht="15" customHeight="1" x14ac:dyDescent="0.25">
      <c r="E201" s="9" t="s">
        <v>1009</v>
      </c>
      <c r="F201" s="9" t="s">
        <v>192</v>
      </c>
      <c r="I201" s="40"/>
      <c r="J201" s="42">
        <v>842454725.76999998</v>
      </c>
      <c r="M201" s="43">
        <v>881767021.57000005</v>
      </c>
      <c r="P201" s="43">
        <v>904692964.13</v>
      </c>
      <c r="S201" s="10">
        <v>925500902.30999994</v>
      </c>
      <c r="V201" s="10">
        <v>944936421.25</v>
      </c>
      <c r="Y201" s="10">
        <v>963835149.67999995</v>
      </c>
      <c r="AB201" s="10">
        <v>981184182.37</v>
      </c>
      <c r="AE201" s="10">
        <v>999826681.84000003</v>
      </c>
      <c r="AH201" s="10">
        <v>1017823562.11</v>
      </c>
      <c r="AK201" s="10">
        <v>1036144386.23</v>
      </c>
    </row>
    <row r="202" spans="5:37" ht="15" customHeight="1" x14ac:dyDescent="0.25">
      <c r="E202" s="9" t="s">
        <v>1009</v>
      </c>
      <c r="F202" s="41" t="s">
        <v>189</v>
      </c>
      <c r="I202" s="40"/>
      <c r="J202" s="42">
        <v>187783462.75999999</v>
      </c>
      <c r="M202" s="43">
        <v>207445865.46000001</v>
      </c>
      <c r="P202" s="43">
        <v>212839457.96000001</v>
      </c>
      <c r="S202" s="10">
        <v>217734765.5</v>
      </c>
      <c r="V202" s="10">
        <v>222307195.56999999</v>
      </c>
      <c r="Y202" s="10">
        <v>226753339.47999999</v>
      </c>
      <c r="AB202" s="10">
        <v>230834899.59</v>
      </c>
      <c r="AE202" s="10">
        <v>235220762.68000001</v>
      </c>
      <c r="AH202" s="10">
        <v>239454736.41</v>
      </c>
      <c r="AK202" s="10">
        <v>243764921.66999999</v>
      </c>
    </row>
    <row r="203" spans="5:37" ht="15" customHeight="1" x14ac:dyDescent="0.25">
      <c r="E203" s="9" t="s">
        <v>1009</v>
      </c>
      <c r="F203" s="41" t="s">
        <v>188</v>
      </c>
      <c r="I203" s="40"/>
      <c r="J203" s="42">
        <v>370734984.42000002</v>
      </c>
      <c r="M203" s="43">
        <v>329242336.00999999</v>
      </c>
      <c r="P203" s="43">
        <v>400219410.75</v>
      </c>
      <c r="S203" s="10">
        <v>471841231.19</v>
      </c>
      <c r="V203" s="10">
        <v>481749897.05000001</v>
      </c>
      <c r="Y203" s="10">
        <v>491384894.99000001</v>
      </c>
      <c r="AB203" s="10">
        <v>500229823.10000002</v>
      </c>
      <c r="AE203" s="10">
        <v>509734189.74000001</v>
      </c>
      <c r="AH203" s="10">
        <v>518909405.14999998</v>
      </c>
      <c r="AK203" s="10">
        <v>528249774.44999999</v>
      </c>
    </row>
    <row r="204" spans="5:37" ht="15" customHeight="1" x14ac:dyDescent="0.25">
      <c r="E204" s="9" t="s">
        <v>1009</v>
      </c>
      <c r="F204" s="41" t="s">
        <v>191</v>
      </c>
      <c r="I204" s="40"/>
      <c r="J204" s="42">
        <v>22228234.16</v>
      </c>
      <c r="M204" s="43">
        <v>28813652.690000001</v>
      </c>
      <c r="P204" s="43">
        <v>29562807.66</v>
      </c>
      <c r="S204" s="10">
        <v>30242752.239999998</v>
      </c>
      <c r="V204" s="10">
        <v>30877850.030000001</v>
      </c>
      <c r="Y204" s="10">
        <v>31495407.030000001</v>
      </c>
      <c r="AB204" s="10">
        <v>32062324.359999999</v>
      </c>
      <c r="AE204" s="10">
        <v>32671508.52</v>
      </c>
      <c r="AH204" s="10">
        <v>33259595.68</v>
      </c>
      <c r="AK204" s="10">
        <v>33858268.399999999</v>
      </c>
    </row>
    <row r="205" spans="5:37" ht="12.75" x14ac:dyDescent="0.2">
      <c r="I205" s="40"/>
      <c r="J205" s="24"/>
    </row>
    <row r="206" spans="5:37" ht="12.75" x14ac:dyDescent="0.2">
      <c r="E206" s="9" t="s">
        <v>1009</v>
      </c>
      <c r="F206" s="9" t="s">
        <v>1008</v>
      </c>
      <c r="I206" s="40"/>
      <c r="J206" s="24">
        <f>SUM(J201:J205)</f>
        <v>1423201407.1100001</v>
      </c>
      <c r="M206" s="24">
        <f>SUM(M201:M205)</f>
        <v>1447268875.73</v>
      </c>
      <c r="P206" s="24">
        <f>SUM(P201:P205)</f>
        <v>1547314640.5</v>
      </c>
      <c r="S206" s="24">
        <f>SUM(S201:S205)</f>
        <v>1645319651.24</v>
      </c>
      <c r="V206" s="24">
        <f>SUM(V201:V205)</f>
        <v>1679871363.8999999</v>
      </c>
      <c r="Y206" s="24">
        <f>SUM(Y201:Y205)</f>
        <v>1713468791.1799998</v>
      </c>
      <c r="AB206" s="24">
        <f>SUM(AB201:AB205)</f>
        <v>1744311229.4199998</v>
      </c>
      <c r="AE206" s="24">
        <f>SUM(AE201:AE205)</f>
        <v>1777453142.78</v>
      </c>
      <c r="AH206" s="24">
        <f>SUM(AH201:AH205)</f>
        <v>1809447299.3500001</v>
      </c>
      <c r="AK206" s="24">
        <f>SUM(AK201:AK205)</f>
        <v>1842017350.7500002</v>
      </c>
    </row>
    <row r="207" spans="5:37" ht="12.75" x14ac:dyDescent="0.2">
      <c r="H207" s="39"/>
      <c r="I207" s="40"/>
      <c r="J207" s="24"/>
    </row>
    <row r="208" spans="5:37" ht="12.75" x14ac:dyDescent="0.2">
      <c r="H208" s="39"/>
      <c r="I208" s="40"/>
      <c r="J208" s="24"/>
    </row>
    <row r="209" spans="8:10" ht="12.75" x14ac:dyDescent="0.2">
      <c r="H209" s="39"/>
      <c r="I209" s="40"/>
      <c r="J209" s="24"/>
    </row>
    <row r="210" spans="8:10" ht="12.75" x14ac:dyDescent="0.2">
      <c r="H210" s="39"/>
      <c r="I210" s="40"/>
      <c r="J210" s="24"/>
    </row>
    <row r="211" spans="8:10" ht="12.75" x14ac:dyDescent="0.2">
      <c r="H211" s="39"/>
      <c r="I211" s="40"/>
      <c r="J211" s="24"/>
    </row>
    <row r="212" spans="8:10" ht="12.75" x14ac:dyDescent="0.2">
      <c r="H212" s="39"/>
      <c r="I212" s="40"/>
      <c r="J212" s="24"/>
    </row>
    <row r="213" spans="8:10" ht="12.75" x14ac:dyDescent="0.2">
      <c r="H213" s="39"/>
      <c r="I213" s="40"/>
      <c r="J213" s="24"/>
    </row>
    <row r="214" spans="8:10" ht="12.75" x14ac:dyDescent="0.2">
      <c r="H214" s="39"/>
      <c r="I214" s="40"/>
      <c r="J214" s="24"/>
    </row>
    <row r="215" spans="8:10" ht="12.75" x14ac:dyDescent="0.2">
      <c r="H215" s="39"/>
      <c r="I215" s="40"/>
      <c r="J215" s="24"/>
    </row>
    <row r="216" spans="8:10" ht="12.75" x14ac:dyDescent="0.2">
      <c r="H216" s="39"/>
      <c r="I216" s="40"/>
      <c r="J216" s="24"/>
    </row>
    <row r="217" spans="8:10" ht="12.75" x14ac:dyDescent="0.2">
      <c r="H217" s="39"/>
      <c r="I217" s="40"/>
      <c r="J217" s="24"/>
    </row>
    <row r="218" spans="8:10" ht="12.75" x14ac:dyDescent="0.2">
      <c r="H218" s="39"/>
      <c r="I218" s="40"/>
      <c r="J218" s="24"/>
    </row>
    <row r="219" spans="8:10" ht="12.75" x14ac:dyDescent="0.2">
      <c r="H219" s="39"/>
      <c r="I219" s="40"/>
      <c r="J219" s="24"/>
    </row>
    <row r="220" spans="8:10" ht="12.75" x14ac:dyDescent="0.2">
      <c r="H220" s="39"/>
      <c r="I220" s="40"/>
      <c r="J220" s="24"/>
    </row>
    <row r="221" spans="8:10" ht="12.75" x14ac:dyDescent="0.2">
      <c r="H221" s="39"/>
      <c r="I221" s="40"/>
      <c r="J221" s="24"/>
    </row>
    <row r="222" spans="8:10" ht="12.75" x14ac:dyDescent="0.2">
      <c r="H222" s="39"/>
      <c r="I222" s="40"/>
      <c r="J222" s="24"/>
    </row>
    <row r="223" spans="8:10" ht="12.75" x14ac:dyDescent="0.2">
      <c r="H223" s="39"/>
      <c r="I223" s="40"/>
      <c r="J223" s="24"/>
    </row>
    <row r="224" spans="8:10" ht="12.75" x14ac:dyDescent="0.2">
      <c r="H224" s="39"/>
      <c r="I224" s="40"/>
      <c r="J224" s="24"/>
    </row>
    <row r="225" spans="8:10" ht="12.75" x14ac:dyDescent="0.2">
      <c r="H225" s="39"/>
      <c r="I225" s="40"/>
      <c r="J225" s="24"/>
    </row>
    <row r="226" spans="8:10" ht="12.75" x14ac:dyDescent="0.2">
      <c r="H226" s="39"/>
      <c r="I226" s="40"/>
      <c r="J226" s="24"/>
    </row>
    <row r="227" spans="8:10" ht="12.75" x14ac:dyDescent="0.2">
      <c r="H227" s="39"/>
      <c r="I227" s="40"/>
      <c r="J227" s="24"/>
    </row>
    <row r="228" spans="8:10" ht="12.75" x14ac:dyDescent="0.2">
      <c r="H228" s="39"/>
      <c r="I228" s="40"/>
      <c r="J228" s="24"/>
    </row>
    <row r="229" spans="8:10" ht="12.75" x14ac:dyDescent="0.2">
      <c r="H229" s="39"/>
      <c r="I229" s="40"/>
      <c r="J229" s="24"/>
    </row>
    <row r="230" spans="8:10" ht="12.75" x14ac:dyDescent="0.2">
      <c r="H230" s="39"/>
      <c r="I230" s="40"/>
      <c r="J230" s="24"/>
    </row>
    <row r="231" spans="8:10" ht="12.75" x14ac:dyDescent="0.2">
      <c r="H231" s="39"/>
      <c r="I231" s="40"/>
      <c r="J231" s="24"/>
    </row>
    <row r="232" spans="8:10" ht="12.75" x14ac:dyDescent="0.2">
      <c r="H232" s="39"/>
      <c r="I232" s="40"/>
      <c r="J232" s="24"/>
    </row>
    <row r="233" spans="8:10" ht="12.75" x14ac:dyDescent="0.2">
      <c r="H233" s="39"/>
      <c r="I233" s="40"/>
      <c r="J233" s="24"/>
    </row>
    <row r="234" spans="8:10" ht="12.75" x14ac:dyDescent="0.2">
      <c r="H234" s="39"/>
      <c r="I234" s="40"/>
      <c r="J234" s="24"/>
    </row>
    <row r="235" spans="8:10" ht="12.75" x14ac:dyDescent="0.2">
      <c r="H235" s="39"/>
      <c r="I235" s="40"/>
      <c r="J235" s="24"/>
    </row>
    <row r="236" spans="8:10" ht="12.75" x14ac:dyDescent="0.2">
      <c r="H236" s="39"/>
      <c r="I236" s="40"/>
      <c r="J236" s="24"/>
    </row>
    <row r="237" spans="8:10" ht="12.75" x14ac:dyDescent="0.2">
      <c r="H237" s="39"/>
      <c r="I237" s="40"/>
      <c r="J237" s="24"/>
    </row>
    <row r="238" spans="8:10" ht="12.75" x14ac:dyDescent="0.2">
      <c r="H238" s="39"/>
      <c r="I238" s="40"/>
      <c r="J238" s="24"/>
    </row>
    <row r="239" spans="8:10" ht="12.75" x14ac:dyDescent="0.2">
      <c r="H239" s="39"/>
      <c r="I239" s="40"/>
      <c r="J239" s="24"/>
    </row>
    <row r="240" spans="8:10" ht="12.75" x14ac:dyDescent="0.2">
      <c r="H240" s="39"/>
      <c r="I240" s="40"/>
      <c r="J240" s="24"/>
    </row>
    <row r="241" spans="8:10" ht="12.75" x14ac:dyDescent="0.2">
      <c r="H241" s="39"/>
      <c r="I241" s="40"/>
      <c r="J241" s="24"/>
    </row>
    <row r="242" spans="8:10" ht="12.75" x14ac:dyDescent="0.2">
      <c r="H242" s="39"/>
      <c r="I242" s="40"/>
      <c r="J242" s="24"/>
    </row>
    <row r="243" spans="8:10" ht="12.75" x14ac:dyDescent="0.2">
      <c r="H243" s="39"/>
      <c r="I243" s="40"/>
      <c r="J243" s="24"/>
    </row>
    <row r="244" spans="8:10" ht="12.75" x14ac:dyDescent="0.2">
      <c r="H244" s="39"/>
      <c r="I244" s="40"/>
      <c r="J244" s="24"/>
    </row>
    <row r="245" spans="8:10" ht="12.75" x14ac:dyDescent="0.2">
      <c r="H245" s="39"/>
      <c r="I245" s="40"/>
      <c r="J245" s="24"/>
    </row>
    <row r="246" spans="8:10" ht="12.75" x14ac:dyDescent="0.2">
      <c r="H246" s="39"/>
      <c r="I246" s="40"/>
      <c r="J246" s="24"/>
    </row>
    <row r="247" spans="8:10" ht="12.75" x14ac:dyDescent="0.2">
      <c r="H247" s="39"/>
      <c r="I247" s="40"/>
      <c r="J247" s="24"/>
    </row>
    <row r="248" spans="8:10" ht="12.75" x14ac:dyDescent="0.2">
      <c r="H248" s="39"/>
      <c r="I248" s="40"/>
      <c r="J248" s="24"/>
    </row>
    <row r="249" spans="8:10" ht="12.75" x14ac:dyDescent="0.2">
      <c r="H249" s="39"/>
      <c r="I249" s="40"/>
      <c r="J249" s="24"/>
    </row>
    <row r="250" spans="8:10" ht="12.75" x14ac:dyDescent="0.2">
      <c r="H250" s="39"/>
      <c r="I250" s="40"/>
      <c r="J250" s="24"/>
    </row>
    <row r="251" spans="8:10" ht="12.75" x14ac:dyDescent="0.2">
      <c r="H251" s="39"/>
      <c r="I251" s="40"/>
      <c r="J251" s="24"/>
    </row>
    <row r="252" spans="8:10" ht="12.75" x14ac:dyDescent="0.2">
      <c r="H252" s="39"/>
      <c r="I252" s="40"/>
      <c r="J252" s="24"/>
    </row>
    <row r="253" spans="8:10" ht="12.75" x14ac:dyDescent="0.2">
      <c r="H253" s="39"/>
      <c r="I253" s="40"/>
      <c r="J253" s="24"/>
    </row>
    <row r="254" spans="8:10" ht="12.75" x14ac:dyDescent="0.2">
      <c r="H254" s="39"/>
      <c r="I254" s="40"/>
      <c r="J254" s="24"/>
    </row>
    <row r="255" spans="8:10" ht="12.75" x14ac:dyDescent="0.2">
      <c r="H255" s="39"/>
      <c r="I255" s="40"/>
      <c r="J255" s="24"/>
    </row>
    <row r="256" spans="8:10" ht="12.75" x14ac:dyDescent="0.2">
      <c r="H256" s="39"/>
      <c r="I256" s="40"/>
      <c r="J256" s="24"/>
    </row>
    <row r="257" spans="8:10" ht="12.75" x14ac:dyDescent="0.2">
      <c r="H257" s="39"/>
      <c r="I257" s="40"/>
      <c r="J257" s="24"/>
    </row>
    <row r="258" spans="8:10" ht="12.75" x14ac:dyDescent="0.2">
      <c r="H258" s="39"/>
      <c r="I258" s="40"/>
      <c r="J258" s="24"/>
    </row>
    <row r="259" spans="8:10" ht="12.75" x14ac:dyDescent="0.2">
      <c r="H259" s="39"/>
      <c r="I259" s="40"/>
      <c r="J259" s="24"/>
    </row>
    <row r="260" spans="8:10" ht="12.75" x14ac:dyDescent="0.2">
      <c r="H260" s="39"/>
      <c r="I260" s="40"/>
      <c r="J260" s="24"/>
    </row>
    <row r="261" spans="8:10" ht="12.75" x14ac:dyDescent="0.2">
      <c r="H261" s="39"/>
      <c r="I261" s="40"/>
      <c r="J261" s="24"/>
    </row>
    <row r="262" spans="8:10" ht="12.75" x14ac:dyDescent="0.2">
      <c r="H262" s="39"/>
      <c r="I262" s="40"/>
      <c r="J262" s="24"/>
    </row>
    <row r="263" spans="8:10" ht="12.75" x14ac:dyDescent="0.2">
      <c r="H263" s="39"/>
      <c r="I263" s="40"/>
      <c r="J263" s="24"/>
    </row>
    <row r="264" spans="8:10" ht="12.75" x14ac:dyDescent="0.2">
      <c r="H264" s="39"/>
      <c r="I264" s="40"/>
      <c r="J264" s="24"/>
    </row>
    <row r="265" spans="8:10" ht="12.75" x14ac:dyDescent="0.2">
      <c r="H265" s="39"/>
      <c r="I265" s="40"/>
      <c r="J265" s="24"/>
    </row>
    <row r="266" spans="8:10" ht="12.75" x14ac:dyDescent="0.2">
      <c r="H266" s="39"/>
      <c r="I266" s="40"/>
      <c r="J266" s="24"/>
    </row>
    <row r="267" spans="8:10" ht="12.75" x14ac:dyDescent="0.2">
      <c r="H267" s="39"/>
      <c r="I267" s="40"/>
      <c r="J267" s="24"/>
    </row>
    <row r="268" spans="8:10" ht="12.75" x14ac:dyDescent="0.2">
      <c r="H268" s="39"/>
      <c r="I268" s="40"/>
      <c r="J268" s="24"/>
    </row>
    <row r="269" spans="8:10" ht="12.75" x14ac:dyDescent="0.2">
      <c r="H269" s="39"/>
      <c r="I269" s="40"/>
      <c r="J269" s="24"/>
    </row>
    <row r="270" spans="8:10" ht="12.75" x14ac:dyDescent="0.2">
      <c r="H270" s="39"/>
      <c r="I270" s="40"/>
      <c r="J270" s="24"/>
    </row>
    <row r="271" spans="8:10" ht="12.75" x14ac:dyDescent="0.2">
      <c r="H271" s="39"/>
      <c r="I271" s="40"/>
      <c r="J271" s="24"/>
    </row>
    <row r="272" spans="8:10" ht="12.75" x14ac:dyDescent="0.2">
      <c r="H272" s="39"/>
      <c r="I272" s="40"/>
      <c r="J272" s="24"/>
    </row>
    <row r="273" spans="8:10" ht="12.75" x14ac:dyDescent="0.2">
      <c r="H273" s="39"/>
      <c r="I273" s="40"/>
      <c r="J273" s="24"/>
    </row>
    <row r="274" spans="8:10" ht="12.75" x14ac:dyDescent="0.2">
      <c r="H274" s="39"/>
      <c r="I274" s="40"/>
      <c r="J274" s="24"/>
    </row>
    <row r="275" spans="8:10" ht="12.75" x14ac:dyDescent="0.2">
      <c r="H275" s="39"/>
      <c r="I275" s="40"/>
      <c r="J275" s="24"/>
    </row>
    <row r="276" spans="8:10" ht="12.75" x14ac:dyDescent="0.2">
      <c r="H276" s="39"/>
      <c r="I276" s="40"/>
      <c r="J276" s="24"/>
    </row>
    <row r="277" spans="8:10" ht="12.75" x14ac:dyDescent="0.2">
      <c r="H277" s="39"/>
      <c r="I277" s="40"/>
      <c r="J277" s="24"/>
    </row>
    <row r="278" spans="8:10" ht="12.75" x14ac:dyDescent="0.2">
      <c r="H278" s="39"/>
      <c r="I278" s="40"/>
      <c r="J278" s="24"/>
    </row>
    <row r="279" spans="8:10" ht="12.75" x14ac:dyDescent="0.2">
      <c r="H279" s="39"/>
      <c r="I279" s="40"/>
      <c r="J279" s="24"/>
    </row>
    <row r="280" spans="8:10" ht="12.75" x14ac:dyDescent="0.2">
      <c r="H280" s="39"/>
      <c r="I280" s="40"/>
      <c r="J280" s="24"/>
    </row>
    <row r="281" spans="8:10" ht="12.75" x14ac:dyDescent="0.2">
      <c r="H281" s="39"/>
      <c r="I281" s="40"/>
      <c r="J281" s="24"/>
    </row>
    <row r="282" spans="8:10" ht="12.75" x14ac:dyDescent="0.2">
      <c r="H282" s="39"/>
      <c r="I282" s="40"/>
      <c r="J282" s="24"/>
    </row>
    <row r="283" spans="8:10" ht="12.75" x14ac:dyDescent="0.2">
      <c r="H283" s="39"/>
      <c r="I283" s="40"/>
      <c r="J283" s="24"/>
    </row>
    <row r="284" spans="8:10" ht="12.75" x14ac:dyDescent="0.2">
      <c r="H284" s="39"/>
      <c r="I284" s="40"/>
      <c r="J284" s="24"/>
    </row>
    <row r="285" spans="8:10" ht="12.75" x14ac:dyDescent="0.2">
      <c r="H285" s="39"/>
      <c r="I285" s="40"/>
      <c r="J285" s="24"/>
    </row>
    <row r="286" spans="8:10" ht="12.75" x14ac:dyDescent="0.2">
      <c r="H286" s="39"/>
      <c r="I286" s="40"/>
      <c r="J286" s="24"/>
    </row>
    <row r="287" spans="8:10" ht="12.75" x14ac:dyDescent="0.2">
      <c r="H287" s="39"/>
      <c r="I287" s="40"/>
      <c r="J287" s="24"/>
    </row>
    <row r="288" spans="8:10" ht="12.75" x14ac:dyDescent="0.2">
      <c r="H288" s="39"/>
      <c r="I288" s="40"/>
      <c r="J288" s="24"/>
    </row>
    <row r="289" spans="8:10" ht="12.75" x14ac:dyDescent="0.2">
      <c r="H289" s="39"/>
      <c r="I289" s="40"/>
      <c r="J289" s="24"/>
    </row>
    <row r="290" spans="8:10" ht="12.75" x14ac:dyDescent="0.2">
      <c r="H290" s="39"/>
      <c r="I290" s="40"/>
      <c r="J290" s="24"/>
    </row>
    <row r="291" spans="8:10" ht="12.75" x14ac:dyDescent="0.2">
      <c r="H291" s="39"/>
      <c r="I291" s="40"/>
      <c r="J291" s="24"/>
    </row>
    <row r="292" spans="8:10" ht="12.75" x14ac:dyDescent="0.2">
      <c r="H292" s="39"/>
      <c r="I292" s="40"/>
      <c r="J292" s="24"/>
    </row>
    <row r="293" spans="8:10" ht="12.75" x14ac:dyDescent="0.2">
      <c r="H293" s="39"/>
      <c r="I293" s="40"/>
      <c r="J293" s="24"/>
    </row>
    <row r="294" spans="8:10" ht="12.75" x14ac:dyDescent="0.2">
      <c r="H294" s="39"/>
      <c r="I294" s="40"/>
      <c r="J294" s="24"/>
    </row>
    <row r="295" spans="8:10" ht="12.75" x14ac:dyDescent="0.2">
      <c r="H295" s="39"/>
      <c r="I295" s="40"/>
      <c r="J295" s="24"/>
    </row>
    <row r="296" spans="8:10" ht="12.75" x14ac:dyDescent="0.2">
      <c r="H296" s="39"/>
      <c r="I296" s="40"/>
      <c r="J296" s="24"/>
    </row>
    <row r="297" spans="8:10" ht="12.75" x14ac:dyDescent="0.2">
      <c r="H297" s="39"/>
      <c r="I297" s="40"/>
      <c r="J297" s="24"/>
    </row>
    <row r="298" spans="8:10" ht="12.75" x14ac:dyDescent="0.2">
      <c r="H298" s="39"/>
      <c r="I298" s="40"/>
      <c r="J298" s="24"/>
    </row>
    <row r="299" spans="8:10" ht="12.75" x14ac:dyDescent="0.2">
      <c r="H299" s="39"/>
      <c r="I299" s="40"/>
      <c r="J299" s="24"/>
    </row>
    <row r="300" spans="8:10" ht="12.75" x14ac:dyDescent="0.2">
      <c r="H300" s="39"/>
      <c r="I300" s="40"/>
      <c r="J300" s="24"/>
    </row>
    <row r="301" spans="8:10" ht="12.75" x14ac:dyDescent="0.2">
      <c r="H301" s="39"/>
      <c r="I301" s="40"/>
      <c r="J301" s="24"/>
    </row>
    <row r="302" spans="8:10" ht="12.75" x14ac:dyDescent="0.2">
      <c r="H302" s="39"/>
      <c r="I302" s="40"/>
      <c r="J302" s="24"/>
    </row>
    <row r="303" spans="8:10" ht="12.75" x14ac:dyDescent="0.2">
      <c r="H303" s="39"/>
      <c r="I303" s="40"/>
      <c r="J303" s="24"/>
    </row>
    <row r="304" spans="8:10" ht="12.75" x14ac:dyDescent="0.2">
      <c r="H304" s="39"/>
      <c r="I304" s="40"/>
      <c r="J304" s="24"/>
    </row>
    <row r="305" spans="8:10" ht="12.75" x14ac:dyDescent="0.2">
      <c r="H305" s="39"/>
      <c r="I305" s="40"/>
      <c r="J305" s="24"/>
    </row>
    <row r="306" spans="8:10" ht="12.75" x14ac:dyDescent="0.2">
      <c r="H306" s="39"/>
      <c r="I306" s="40"/>
      <c r="J306" s="24"/>
    </row>
    <row r="307" spans="8:10" ht="12.75" x14ac:dyDescent="0.2">
      <c r="H307" s="39"/>
      <c r="I307" s="40"/>
      <c r="J307" s="24"/>
    </row>
    <row r="308" spans="8:10" ht="12.75" x14ac:dyDescent="0.2">
      <c r="H308" s="39"/>
      <c r="I308" s="40"/>
      <c r="J308" s="24"/>
    </row>
    <row r="309" spans="8:10" ht="12.75" x14ac:dyDescent="0.2">
      <c r="H309" s="39"/>
      <c r="I309" s="40"/>
      <c r="J309" s="24"/>
    </row>
    <row r="310" spans="8:10" ht="12.75" x14ac:dyDescent="0.2">
      <c r="H310" s="39"/>
      <c r="I310" s="40"/>
      <c r="J310" s="24"/>
    </row>
    <row r="311" spans="8:10" ht="12.75" x14ac:dyDescent="0.2">
      <c r="H311" s="39"/>
      <c r="I311" s="40"/>
      <c r="J311" s="24"/>
    </row>
    <row r="312" spans="8:10" ht="12.75" x14ac:dyDescent="0.2">
      <c r="H312" s="39"/>
      <c r="I312" s="40"/>
      <c r="J312" s="24"/>
    </row>
    <row r="313" spans="8:10" ht="12.75" x14ac:dyDescent="0.2">
      <c r="H313" s="39"/>
      <c r="I313" s="40"/>
      <c r="J313" s="24"/>
    </row>
    <row r="314" spans="8:10" ht="12.75" x14ac:dyDescent="0.2">
      <c r="H314" s="39"/>
      <c r="I314" s="40"/>
      <c r="J314" s="24"/>
    </row>
    <row r="315" spans="8:10" ht="12.75" x14ac:dyDescent="0.2">
      <c r="H315" s="39"/>
      <c r="I315" s="40"/>
      <c r="J315" s="24"/>
    </row>
    <row r="316" spans="8:10" ht="12.75" x14ac:dyDescent="0.2">
      <c r="H316" s="39"/>
      <c r="I316" s="40"/>
      <c r="J316" s="24"/>
    </row>
    <row r="317" spans="8:10" ht="12.75" x14ac:dyDescent="0.2">
      <c r="H317" s="39"/>
      <c r="I317" s="40"/>
      <c r="J317" s="24"/>
    </row>
    <row r="318" spans="8:10" ht="12.75" x14ac:dyDescent="0.2">
      <c r="H318" s="39"/>
      <c r="I318" s="40"/>
      <c r="J318" s="24"/>
    </row>
    <row r="319" spans="8:10" ht="12.75" x14ac:dyDescent="0.2">
      <c r="H319" s="39"/>
      <c r="I319" s="40"/>
      <c r="J319" s="24"/>
    </row>
    <row r="320" spans="8:10" ht="12.75" x14ac:dyDescent="0.2">
      <c r="H320" s="39"/>
      <c r="I320" s="40"/>
      <c r="J320" s="24"/>
    </row>
    <row r="321" spans="8:10" ht="12.75" x14ac:dyDescent="0.2">
      <c r="H321" s="39"/>
      <c r="I321" s="40"/>
      <c r="J321" s="24"/>
    </row>
    <row r="322" spans="8:10" ht="12.75" x14ac:dyDescent="0.2">
      <c r="H322" s="39"/>
      <c r="I322" s="40"/>
      <c r="J322" s="24"/>
    </row>
    <row r="323" spans="8:10" ht="12.75" x14ac:dyDescent="0.2">
      <c r="H323" s="39"/>
      <c r="I323" s="40"/>
      <c r="J323" s="24"/>
    </row>
    <row r="324" spans="8:10" ht="12.75" x14ac:dyDescent="0.2">
      <c r="H324" s="39"/>
      <c r="I324" s="40"/>
      <c r="J324" s="24"/>
    </row>
    <row r="325" spans="8:10" ht="12.75" x14ac:dyDescent="0.2">
      <c r="H325" s="39"/>
      <c r="I325" s="40"/>
      <c r="J325" s="24"/>
    </row>
    <row r="326" spans="8:10" ht="12.75" x14ac:dyDescent="0.2">
      <c r="H326" s="39"/>
      <c r="I326" s="40"/>
      <c r="J326" s="24"/>
    </row>
    <row r="327" spans="8:10" ht="12.75" x14ac:dyDescent="0.2">
      <c r="H327" s="39"/>
      <c r="I327" s="40"/>
      <c r="J327" s="24"/>
    </row>
    <row r="328" spans="8:10" ht="12.75" x14ac:dyDescent="0.2">
      <c r="H328" s="39"/>
      <c r="I328" s="40"/>
      <c r="J328" s="24"/>
    </row>
    <row r="329" spans="8:10" ht="12.75" x14ac:dyDescent="0.2">
      <c r="H329" s="39"/>
      <c r="I329" s="40"/>
      <c r="J329" s="24"/>
    </row>
    <row r="330" spans="8:10" ht="12.75" x14ac:dyDescent="0.2">
      <c r="H330" s="39"/>
      <c r="I330" s="40"/>
      <c r="J330" s="24"/>
    </row>
    <row r="331" spans="8:10" ht="12.75" x14ac:dyDescent="0.2">
      <c r="H331" s="39"/>
      <c r="I331" s="40"/>
      <c r="J331" s="24"/>
    </row>
    <row r="332" spans="8:10" ht="12.75" x14ac:dyDescent="0.2">
      <c r="H332" s="39"/>
      <c r="I332" s="40"/>
      <c r="J332" s="24"/>
    </row>
    <row r="333" spans="8:10" ht="12.75" x14ac:dyDescent="0.2">
      <c r="H333" s="39"/>
      <c r="I333" s="40"/>
      <c r="J333" s="24"/>
    </row>
    <row r="334" spans="8:10" ht="12.75" x14ac:dyDescent="0.2">
      <c r="H334" s="39"/>
      <c r="I334" s="40"/>
      <c r="J334" s="24"/>
    </row>
    <row r="335" spans="8:10" ht="12.75" x14ac:dyDescent="0.2">
      <c r="H335" s="39"/>
      <c r="I335" s="40"/>
      <c r="J335" s="24"/>
    </row>
    <row r="336" spans="8:10" ht="12.75" x14ac:dyDescent="0.2">
      <c r="H336" s="39"/>
      <c r="I336" s="40"/>
      <c r="J336" s="24"/>
    </row>
    <row r="337" spans="8:10" ht="12.75" x14ac:dyDescent="0.2">
      <c r="H337" s="39"/>
      <c r="I337" s="40"/>
      <c r="J337" s="24"/>
    </row>
    <row r="338" spans="8:10" ht="12.75" x14ac:dyDescent="0.2">
      <c r="H338" s="39"/>
      <c r="I338" s="40"/>
      <c r="J338" s="24"/>
    </row>
    <row r="339" spans="8:10" ht="12.75" x14ac:dyDescent="0.2">
      <c r="H339" s="39"/>
      <c r="I339" s="40"/>
      <c r="J339" s="24"/>
    </row>
    <row r="340" spans="8:10" ht="12.75" x14ac:dyDescent="0.2">
      <c r="H340" s="39"/>
      <c r="I340" s="40"/>
      <c r="J340" s="24"/>
    </row>
    <row r="341" spans="8:10" ht="12.75" x14ac:dyDescent="0.2">
      <c r="H341" s="39"/>
      <c r="I341" s="40"/>
      <c r="J341" s="24"/>
    </row>
    <row r="342" spans="8:10" ht="12.75" x14ac:dyDescent="0.2">
      <c r="H342" s="39"/>
      <c r="I342" s="40"/>
      <c r="J342" s="24"/>
    </row>
    <row r="343" spans="8:10" ht="12.75" x14ac:dyDescent="0.2">
      <c r="H343" s="39"/>
      <c r="I343" s="40"/>
      <c r="J343" s="24"/>
    </row>
    <row r="344" spans="8:10" ht="12.75" x14ac:dyDescent="0.2">
      <c r="H344" s="39"/>
      <c r="I344" s="40"/>
      <c r="J344" s="24"/>
    </row>
    <row r="345" spans="8:10" ht="12.75" x14ac:dyDescent="0.2">
      <c r="H345" s="39"/>
      <c r="I345" s="40"/>
      <c r="J345" s="24"/>
    </row>
    <row r="346" spans="8:10" ht="12.75" x14ac:dyDescent="0.2">
      <c r="H346" s="39"/>
      <c r="I346" s="40"/>
      <c r="J346" s="24"/>
    </row>
    <row r="347" spans="8:10" ht="12.75" x14ac:dyDescent="0.2">
      <c r="H347" s="39"/>
      <c r="I347" s="40"/>
      <c r="J347" s="24"/>
    </row>
    <row r="348" spans="8:10" ht="12.75" x14ac:dyDescent="0.2">
      <c r="H348" s="39"/>
      <c r="I348" s="40"/>
      <c r="J348" s="24"/>
    </row>
    <row r="349" spans="8:10" ht="12.75" x14ac:dyDescent="0.2">
      <c r="H349" s="39"/>
      <c r="I349" s="40"/>
      <c r="J349" s="24"/>
    </row>
    <row r="350" spans="8:10" ht="12.75" x14ac:dyDescent="0.2">
      <c r="H350" s="39"/>
      <c r="I350" s="40"/>
      <c r="J350" s="24"/>
    </row>
    <row r="351" spans="8:10" ht="12.75" x14ac:dyDescent="0.2">
      <c r="H351" s="39"/>
      <c r="I351" s="40"/>
      <c r="J351" s="24"/>
    </row>
    <row r="352" spans="8:10" ht="12.75" x14ac:dyDescent="0.2">
      <c r="H352" s="39"/>
      <c r="I352" s="40"/>
      <c r="J352" s="24"/>
    </row>
    <row r="353" spans="8:10" ht="12.75" x14ac:dyDescent="0.2">
      <c r="H353" s="39"/>
      <c r="I353" s="40"/>
      <c r="J353" s="24"/>
    </row>
    <row r="354" spans="8:10" ht="12.75" x14ac:dyDescent="0.2">
      <c r="H354" s="39"/>
      <c r="I354" s="40"/>
      <c r="J354" s="24"/>
    </row>
    <row r="355" spans="8:10" ht="12.75" x14ac:dyDescent="0.2">
      <c r="H355" s="39"/>
      <c r="I355" s="40"/>
      <c r="J355" s="24"/>
    </row>
    <row r="356" spans="8:10" ht="12.75" x14ac:dyDescent="0.2">
      <c r="H356" s="39"/>
      <c r="I356" s="40"/>
      <c r="J356" s="24"/>
    </row>
    <row r="357" spans="8:10" ht="12.75" x14ac:dyDescent="0.2">
      <c r="H357" s="39"/>
      <c r="I357" s="40"/>
      <c r="J357" s="24"/>
    </row>
    <row r="358" spans="8:10" ht="12.75" x14ac:dyDescent="0.2">
      <c r="H358" s="39"/>
      <c r="I358" s="40"/>
      <c r="J358" s="24"/>
    </row>
    <row r="359" spans="8:10" ht="12.75" x14ac:dyDescent="0.2">
      <c r="H359" s="39"/>
      <c r="I359" s="40"/>
      <c r="J359" s="24"/>
    </row>
    <row r="360" spans="8:10" ht="12.75" x14ac:dyDescent="0.2">
      <c r="H360" s="39"/>
      <c r="I360" s="40"/>
      <c r="J360" s="24"/>
    </row>
    <row r="361" spans="8:10" ht="12.75" x14ac:dyDescent="0.2">
      <c r="H361" s="39"/>
      <c r="I361" s="40"/>
      <c r="J361" s="24"/>
    </row>
    <row r="362" spans="8:10" ht="12.75" x14ac:dyDescent="0.2">
      <c r="H362" s="39"/>
      <c r="I362" s="40"/>
      <c r="J362" s="24"/>
    </row>
    <row r="363" spans="8:10" ht="12.75" x14ac:dyDescent="0.2">
      <c r="H363" s="39"/>
      <c r="I363" s="40"/>
      <c r="J363" s="24"/>
    </row>
    <row r="364" spans="8:10" ht="12.75" x14ac:dyDescent="0.2">
      <c r="H364" s="39"/>
      <c r="I364" s="40"/>
      <c r="J364" s="24"/>
    </row>
    <row r="365" spans="8:10" ht="12.75" x14ac:dyDescent="0.2">
      <c r="H365" s="39"/>
      <c r="I365" s="40"/>
      <c r="J365" s="24"/>
    </row>
    <row r="366" spans="8:10" ht="12.75" x14ac:dyDescent="0.2">
      <c r="H366" s="39"/>
      <c r="I366" s="40"/>
      <c r="J366" s="24"/>
    </row>
    <row r="367" spans="8:10" ht="12.75" x14ac:dyDescent="0.2">
      <c r="H367" s="39"/>
      <c r="I367" s="40"/>
      <c r="J367" s="24"/>
    </row>
    <row r="368" spans="8:10" ht="12.75" x14ac:dyDescent="0.2">
      <c r="H368" s="39"/>
      <c r="I368" s="40"/>
      <c r="J368" s="24"/>
    </row>
    <row r="369" spans="8:10" ht="12.75" x14ac:dyDescent="0.2">
      <c r="H369" s="39"/>
      <c r="I369" s="40"/>
      <c r="J369" s="24"/>
    </row>
    <row r="370" spans="8:10" ht="12.75" x14ac:dyDescent="0.2">
      <c r="H370" s="39"/>
      <c r="I370" s="40"/>
      <c r="J370" s="24"/>
    </row>
    <row r="371" spans="8:10" ht="12.75" x14ac:dyDescent="0.2">
      <c r="H371" s="39"/>
      <c r="I371" s="40"/>
      <c r="J371" s="24"/>
    </row>
    <row r="372" spans="8:10" ht="12.75" x14ac:dyDescent="0.2">
      <c r="H372" s="39"/>
      <c r="I372" s="40"/>
      <c r="J372" s="24"/>
    </row>
    <row r="373" spans="8:10" ht="12.75" x14ac:dyDescent="0.2">
      <c r="H373" s="39"/>
      <c r="I373" s="40"/>
      <c r="J373" s="24"/>
    </row>
    <row r="374" spans="8:10" ht="12.75" x14ac:dyDescent="0.2">
      <c r="H374" s="39"/>
      <c r="I374" s="40"/>
      <c r="J374" s="24"/>
    </row>
    <row r="375" spans="8:10" ht="12.75" x14ac:dyDescent="0.2">
      <c r="H375" s="39"/>
      <c r="I375" s="40"/>
      <c r="J375" s="24"/>
    </row>
    <row r="376" spans="8:10" ht="12.75" x14ac:dyDescent="0.2">
      <c r="H376" s="39"/>
      <c r="I376" s="40"/>
      <c r="J376" s="24"/>
    </row>
    <row r="377" spans="8:10" ht="12.75" x14ac:dyDescent="0.2">
      <c r="H377" s="39"/>
      <c r="I377" s="40"/>
      <c r="J377" s="24"/>
    </row>
    <row r="378" spans="8:10" ht="12.75" x14ac:dyDescent="0.2">
      <c r="H378" s="39"/>
      <c r="I378" s="40"/>
      <c r="J378" s="24"/>
    </row>
    <row r="379" spans="8:10" ht="12.75" x14ac:dyDescent="0.2">
      <c r="H379" s="39"/>
      <c r="I379" s="40"/>
      <c r="J379" s="24"/>
    </row>
    <row r="380" spans="8:10" ht="12.75" x14ac:dyDescent="0.2">
      <c r="H380" s="39"/>
      <c r="I380" s="40"/>
      <c r="J380" s="24"/>
    </row>
    <row r="381" spans="8:10" ht="12.75" x14ac:dyDescent="0.2">
      <c r="H381" s="39"/>
      <c r="I381" s="40"/>
      <c r="J381" s="24"/>
    </row>
    <row r="382" spans="8:10" ht="12.75" x14ac:dyDescent="0.2">
      <c r="H382" s="39"/>
      <c r="I382" s="40"/>
      <c r="J382" s="24"/>
    </row>
    <row r="383" spans="8:10" ht="12.75" x14ac:dyDescent="0.2">
      <c r="H383" s="39"/>
      <c r="I383" s="40"/>
      <c r="J383" s="24"/>
    </row>
    <row r="384" spans="8:10" ht="12.75" x14ac:dyDescent="0.2">
      <c r="H384" s="39"/>
      <c r="I384" s="40"/>
      <c r="J384" s="24"/>
    </row>
    <row r="385" spans="8:10" ht="12.75" x14ac:dyDescent="0.2">
      <c r="H385" s="39"/>
      <c r="I385" s="40"/>
      <c r="J385" s="24"/>
    </row>
    <row r="386" spans="8:10" ht="12.75" x14ac:dyDescent="0.2">
      <c r="H386" s="39"/>
      <c r="I386" s="40"/>
      <c r="J386" s="24"/>
    </row>
    <row r="387" spans="8:10" ht="12.75" x14ac:dyDescent="0.2">
      <c r="H387" s="39"/>
      <c r="I387" s="40"/>
      <c r="J387" s="24"/>
    </row>
    <row r="388" spans="8:10" ht="12.75" x14ac:dyDescent="0.2">
      <c r="H388" s="39"/>
      <c r="I388" s="40"/>
      <c r="J388" s="24"/>
    </row>
    <row r="389" spans="8:10" ht="12.75" x14ac:dyDescent="0.2">
      <c r="H389" s="39"/>
      <c r="I389" s="40"/>
      <c r="J389" s="24"/>
    </row>
    <row r="390" spans="8:10" ht="12.75" x14ac:dyDescent="0.2">
      <c r="H390" s="39"/>
      <c r="I390" s="40"/>
      <c r="J390" s="24"/>
    </row>
    <row r="391" spans="8:10" ht="12.75" x14ac:dyDescent="0.2">
      <c r="H391" s="39"/>
      <c r="I391" s="40"/>
      <c r="J391" s="24"/>
    </row>
    <row r="392" spans="8:10" ht="12.75" x14ac:dyDescent="0.2">
      <c r="H392" s="39"/>
      <c r="I392" s="40"/>
      <c r="J392" s="24"/>
    </row>
    <row r="393" spans="8:10" ht="12.75" x14ac:dyDescent="0.2">
      <c r="H393" s="39"/>
      <c r="I393" s="40"/>
      <c r="J393" s="24"/>
    </row>
    <row r="394" spans="8:10" ht="12.75" x14ac:dyDescent="0.2">
      <c r="H394" s="39"/>
      <c r="I394" s="40"/>
      <c r="J394" s="24"/>
    </row>
    <row r="395" spans="8:10" ht="12.75" x14ac:dyDescent="0.2">
      <c r="H395" s="39"/>
      <c r="I395" s="40"/>
      <c r="J395" s="24"/>
    </row>
    <row r="396" spans="8:10" ht="12.75" x14ac:dyDescent="0.2">
      <c r="H396" s="39"/>
      <c r="I396" s="40"/>
      <c r="J396" s="24"/>
    </row>
    <row r="397" spans="8:10" ht="12.75" x14ac:dyDescent="0.2">
      <c r="H397" s="39"/>
      <c r="I397" s="40"/>
      <c r="J397" s="24"/>
    </row>
    <row r="398" spans="8:10" ht="12.75" x14ac:dyDescent="0.2">
      <c r="H398" s="39"/>
      <c r="I398" s="40"/>
      <c r="J398" s="24"/>
    </row>
    <row r="399" spans="8:10" ht="12.75" x14ac:dyDescent="0.2">
      <c r="H399" s="39"/>
      <c r="I399" s="40"/>
      <c r="J399" s="24"/>
    </row>
    <row r="400" spans="8:10" ht="12.75" x14ac:dyDescent="0.2">
      <c r="H400" s="39"/>
      <c r="I400" s="40"/>
      <c r="J400" s="24"/>
    </row>
    <row r="401" spans="8:10" ht="12.75" x14ac:dyDescent="0.2">
      <c r="H401" s="39"/>
      <c r="I401" s="40"/>
      <c r="J401" s="24"/>
    </row>
    <row r="402" spans="8:10" ht="12.75" x14ac:dyDescent="0.2">
      <c r="H402" s="39"/>
      <c r="I402" s="40"/>
      <c r="J402" s="24"/>
    </row>
    <row r="403" spans="8:10" ht="12.75" x14ac:dyDescent="0.2">
      <c r="H403" s="39"/>
      <c r="I403" s="40"/>
      <c r="J403" s="24"/>
    </row>
    <row r="404" spans="8:10" ht="12.75" x14ac:dyDescent="0.2">
      <c r="H404" s="39"/>
      <c r="I404" s="40"/>
      <c r="J404" s="24"/>
    </row>
    <row r="405" spans="8:10" ht="12.75" x14ac:dyDescent="0.2">
      <c r="H405" s="39"/>
      <c r="I405" s="40"/>
      <c r="J405" s="24"/>
    </row>
    <row r="406" spans="8:10" ht="12.75" x14ac:dyDescent="0.2">
      <c r="H406" s="39"/>
      <c r="I406" s="40"/>
      <c r="J406" s="24"/>
    </row>
    <row r="407" spans="8:10" ht="12.75" x14ac:dyDescent="0.2">
      <c r="H407" s="39"/>
      <c r="I407" s="40"/>
      <c r="J407" s="24"/>
    </row>
    <row r="408" spans="8:10" ht="12.75" x14ac:dyDescent="0.2">
      <c r="H408" s="39"/>
      <c r="I408" s="40"/>
      <c r="J408" s="24"/>
    </row>
    <row r="409" spans="8:10" ht="12.75" x14ac:dyDescent="0.2">
      <c r="H409" s="39"/>
      <c r="I409" s="40"/>
      <c r="J409" s="24"/>
    </row>
    <row r="410" spans="8:10" ht="12.75" x14ac:dyDescent="0.2">
      <c r="H410" s="39"/>
      <c r="I410" s="40"/>
      <c r="J410" s="24"/>
    </row>
    <row r="411" spans="8:10" ht="12.75" x14ac:dyDescent="0.2">
      <c r="H411" s="39"/>
      <c r="I411" s="40"/>
      <c r="J411" s="24"/>
    </row>
    <row r="412" spans="8:10" ht="12.75" x14ac:dyDescent="0.2">
      <c r="H412" s="39"/>
      <c r="I412" s="40"/>
      <c r="J412" s="24"/>
    </row>
    <row r="413" spans="8:10" ht="12.75" x14ac:dyDescent="0.2">
      <c r="H413" s="39"/>
      <c r="I413" s="40"/>
      <c r="J413" s="24"/>
    </row>
    <row r="414" spans="8:10" ht="12.75" x14ac:dyDescent="0.2">
      <c r="H414" s="39"/>
      <c r="I414" s="40"/>
      <c r="J414" s="24"/>
    </row>
    <row r="415" spans="8:10" ht="12.75" x14ac:dyDescent="0.2">
      <c r="H415" s="39"/>
      <c r="I415" s="40"/>
      <c r="J415" s="24"/>
    </row>
    <row r="416" spans="8:10" ht="12.75" x14ac:dyDescent="0.2">
      <c r="H416" s="39"/>
      <c r="I416" s="40"/>
      <c r="J416" s="24"/>
    </row>
    <row r="417" spans="8:10" ht="12.75" x14ac:dyDescent="0.2">
      <c r="H417" s="39"/>
      <c r="I417" s="40"/>
      <c r="J417" s="24"/>
    </row>
    <row r="418" spans="8:10" ht="12.75" x14ac:dyDescent="0.2">
      <c r="H418" s="39"/>
      <c r="I418" s="40"/>
      <c r="J418" s="24"/>
    </row>
    <row r="419" spans="8:10" ht="12.75" x14ac:dyDescent="0.2">
      <c r="H419" s="39"/>
      <c r="I419" s="40"/>
      <c r="J419" s="24"/>
    </row>
    <row r="420" spans="8:10" ht="12.75" x14ac:dyDescent="0.2">
      <c r="H420" s="39"/>
      <c r="I420" s="40"/>
      <c r="J420" s="24"/>
    </row>
    <row r="421" spans="8:10" ht="12.75" x14ac:dyDescent="0.2">
      <c r="H421" s="39"/>
      <c r="I421" s="40"/>
      <c r="J421" s="24"/>
    </row>
    <row r="422" spans="8:10" ht="12.75" x14ac:dyDescent="0.2">
      <c r="H422" s="39"/>
      <c r="I422" s="40"/>
      <c r="J422" s="24"/>
    </row>
    <row r="423" spans="8:10" ht="12.75" x14ac:dyDescent="0.2">
      <c r="H423" s="39"/>
      <c r="I423" s="40"/>
      <c r="J423" s="24"/>
    </row>
    <row r="424" spans="8:10" ht="12.75" x14ac:dyDescent="0.2">
      <c r="H424" s="39"/>
      <c r="I424" s="40"/>
      <c r="J424" s="24"/>
    </row>
    <row r="425" spans="8:10" ht="12.75" x14ac:dyDescent="0.2">
      <c r="H425" s="39"/>
      <c r="I425" s="40"/>
      <c r="J425" s="24"/>
    </row>
    <row r="426" spans="8:10" ht="12.75" x14ac:dyDescent="0.2">
      <c r="H426" s="39"/>
      <c r="I426" s="40"/>
      <c r="J426" s="24"/>
    </row>
    <row r="427" spans="8:10" ht="12.75" x14ac:dyDescent="0.2">
      <c r="H427" s="39"/>
      <c r="I427" s="40"/>
      <c r="J427" s="24"/>
    </row>
    <row r="428" spans="8:10" ht="12.75" x14ac:dyDescent="0.2">
      <c r="H428" s="39"/>
      <c r="I428" s="40"/>
      <c r="J428" s="24"/>
    </row>
    <row r="429" spans="8:10" ht="12.75" x14ac:dyDescent="0.2">
      <c r="H429" s="39"/>
      <c r="I429" s="40"/>
      <c r="J429" s="24"/>
    </row>
    <row r="430" spans="8:10" ht="12.75" x14ac:dyDescent="0.2">
      <c r="H430" s="39"/>
      <c r="I430" s="40"/>
      <c r="J430" s="24"/>
    </row>
    <row r="431" spans="8:10" ht="12.75" x14ac:dyDescent="0.2">
      <c r="H431" s="39"/>
      <c r="I431" s="40"/>
      <c r="J431" s="24"/>
    </row>
    <row r="432" spans="8:10" ht="12.75" x14ac:dyDescent="0.2">
      <c r="H432" s="39"/>
      <c r="I432" s="40"/>
      <c r="J432" s="24"/>
    </row>
    <row r="433" spans="8:10" ht="12.75" x14ac:dyDescent="0.2">
      <c r="H433" s="39"/>
      <c r="I433" s="40"/>
      <c r="J433" s="24"/>
    </row>
    <row r="434" spans="8:10" ht="12.75" x14ac:dyDescent="0.2">
      <c r="H434" s="39"/>
      <c r="I434" s="40"/>
      <c r="J434" s="24"/>
    </row>
    <row r="435" spans="8:10" ht="12.75" x14ac:dyDescent="0.2">
      <c r="H435" s="39"/>
      <c r="I435" s="40"/>
      <c r="J435" s="24"/>
    </row>
    <row r="436" spans="8:10" ht="12.75" x14ac:dyDescent="0.2">
      <c r="H436" s="39"/>
      <c r="I436" s="40"/>
      <c r="J436" s="24"/>
    </row>
    <row r="437" spans="8:10" ht="12.75" x14ac:dyDescent="0.2">
      <c r="H437" s="39"/>
      <c r="I437" s="40"/>
      <c r="J437" s="24"/>
    </row>
    <row r="438" spans="8:10" ht="12.75" x14ac:dyDescent="0.2">
      <c r="H438" s="39"/>
      <c r="I438" s="40"/>
      <c r="J438" s="24"/>
    </row>
    <row r="439" spans="8:10" ht="12.75" x14ac:dyDescent="0.2">
      <c r="H439" s="39"/>
      <c r="I439" s="40"/>
      <c r="J439" s="24"/>
    </row>
    <row r="440" spans="8:10" ht="12.75" x14ac:dyDescent="0.2">
      <c r="H440" s="39"/>
      <c r="I440" s="40"/>
      <c r="J440" s="24"/>
    </row>
    <row r="441" spans="8:10" ht="12.75" x14ac:dyDescent="0.2">
      <c r="H441" s="39"/>
      <c r="I441" s="40"/>
      <c r="J441" s="24"/>
    </row>
    <row r="442" spans="8:10" ht="12.75" x14ac:dyDescent="0.2">
      <c r="H442" s="39"/>
      <c r="I442" s="40"/>
      <c r="J442" s="24"/>
    </row>
    <row r="443" spans="8:10" ht="12.75" x14ac:dyDescent="0.2">
      <c r="H443" s="39"/>
      <c r="I443" s="40"/>
      <c r="J443" s="24"/>
    </row>
    <row r="444" spans="8:10" ht="12.75" x14ac:dyDescent="0.2">
      <c r="H444" s="39"/>
      <c r="I444" s="40"/>
      <c r="J444" s="24"/>
    </row>
    <row r="445" spans="8:10" ht="12.75" x14ac:dyDescent="0.2">
      <c r="H445" s="39"/>
      <c r="I445" s="40"/>
      <c r="J445" s="24"/>
    </row>
    <row r="446" spans="8:10" ht="12.75" x14ac:dyDescent="0.2">
      <c r="H446" s="39"/>
      <c r="I446" s="40"/>
      <c r="J446" s="24"/>
    </row>
    <row r="447" spans="8:10" ht="12.75" x14ac:dyDescent="0.2">
      <c r="H447" s="39"/>
      <c r="I447" s="40"/>
      <c r="J447" s="24"/>
    </row>
    <row r="448" spans="8:10" ht="12.75" x14ac:dyDescent="0.2">
      <c r="H448" s="39"/>
      <c r="I448" s="40"/>
      <c r="J448" s="24"/>
    </row>
    <row r="449" spans="8:10" ht="12.75" x14ac:dyDescent="0.2">
      <c r="H449" s="39"/>
      <c r="I449" s="40"/>
      <c r="J449" s="24"/>
    </row>
    <row r="450" spans="8:10" ht="12.75" x14ac:dyDescent="0.2">
      <c r="H450" s="39"/>
      <c r="I450" s="40"/>
      <c r="J450" s="24"/>
    </row>
    <row r="451" spans="8:10" ht="12.75" x14ac:dyDescent="0.2">
      <c r="H451" s="39"/>
      <c r="I451" s="40"/>
      <c r="J451" s="24"/>
    </row>
    <row r="452" spans="8:10" ht="12.75" x14ac:dyDescent="0.2">
      <c r="H452" s="39"/>
      <c r="I452" s="40"/>
      <c r="J452" s="24"/>
    </row>
    <row r="453" spans="8:10" ht="12.75" x14ac:dyDescent="0.2">
      <c r="H453" s="39"/>
      <c r="I453" s="40"/>
      <c r="J453" s="24"/>
    </row>
    <row r="454" spans="8:10" ht="12.75" x14ac:dyDescent="0.2">
      <c r="H454" s="39"/>
      <c r="I454" s="40"/>
      <c r="J454" s="24"/>
    </row>
    <row r="455" spans="8:10" ht="12.75" x14ac:dyDescent="0.2">
      <c r="H455" s="39"/>
      <c r="I455" s="40"/>
      <c r="J455" s="24"/>
    </row>
    <row r="456" spans="8:10" ht="12.75" x14ac:dyDescent="0.2">
      <c r="H456" s="39"/>
      <c r="I456" s="40"/>
      <c r="J456" s="24"/>
    </row>
    <row r="457" spans="8:10" ht="12.75" x14ac:dyDescent="0.2">
      <c r="H457" s="39"/>
      <c r="I457" s="40"/>
      <c r="J457" s="24"/>
    </row>
    <row r="458" spans="8:10" ht="12.75" x14ac:dyDescent="0.2">
      <c r="H458" s="39"/>
      <c r="I458" s="40"/>
      <c r="J458" s="24"/>
    </row>
    <row r="459" spans="8:10" ht="12.75" x14ac:dyDescent="0.2">
      <c r="H459" s="39"/>
      <c r="I459" s="40"/>
      <c r="J459" s="24"/>
    </row>
    <row r="460" spans="8:10" ht="12.75" x14ac:dyDescent="0.2">
      <c r="H460" s="39"/>
      <c r="I460" s="40"/>
      <c r="J460" s="24"/>
    </row>
    <row r="461" spans="8:10" ht="12.75" x14ac:dyDescent="0.2">
      <c r="H461" s="39"/>
      <c r="I461" s="40"/>
      <c r="J461" s="24"/>
    </row>
    <row r="462" spans="8:10" ht="12.75" x14ac:dyDescent="0.2">
      <c r="H462" s="39"/>
      <c r="I462" s="40"/>
      <c r="J462" s="24"/>
    </row>
    <row r="463" spans="8:10" ht="12.75" x14ac:dyDescent="0.2">
      <c r="H463" s="39"/>
      <c r="I463" s="40"/>
      <c r="J463" s="24"/>
    </row>
    <row r="464" spans="8:10" ht="12.75" x14ac:dyDescent="0.2">
      <c r="H464" s="39"/>
      <c r="I464" s="40"/>
      <c r="J464" s="24"/>
    </row>
    <row r="465" spans="8:10" ht="12.75" x14ac:dyDescent="0.2">
      <c r="H465" s="39"/>
      <c r="I465" s="40"/>
      <c r="J465" s="24"/>
    </row>
    <row r="466" spans="8:10" ht="12.75" x14ac:dyDescent="0.2">
      <c r="H466" s="39"/>
      <c r="I466" s="40"/>
      <c r="J466" s="24"/>
    </row>
    <row r="467" spans="8:10" ht="12.75" x14ac:dyDescent="0.2">
      <c r="H467" s="39"/>
      <c r="I467" s="40"/>
      <c r="J467" s="24"/>
    </row>
    <row r="468" spans="8:10" ht="12.75" x14ac:dyDescent="0.2">
      <c r="H468" s="39"/>
      <c r="I468" s="40"/>
      <c r="J468" s="24"/>
    </row>
    <row r="469" spans="8:10" ht="12.75" x14ac:dyDescent="0.2">
      <c r="H469" s="39"/>
      <c r="I469" s="40"/>
      <c r="J469" s="24"/>
    </row>
    <row r="470" spans="8:10" ht="12.75" x14ac:dyDescent="0.2">
      <c r="H470" s="39"/>
      <c r="I470" s="40"/>
      <c r="J470" s="24"/>
    </row>
    <row r="471" spans="8:10" ht="12.75" x14ac:dyDescent="0.2">
      <c r="H471" s="39"/>
      <c r="I471" s="40"/>
      <c r="J471" s="24"/>
    </row>
    <row r="472" spans="8:10" ht="12.75" x14ac:dyDescent="0.2">
      <c r="H472" s="39"/>
      <c r="I472" s="40"/>
      <c r="J472" s="24"/>
    </row>
    <row r="473" spans="8:10" ht="12.75" x14ac:dyDescent="0.2">
      <c r="H473" s="39"/>
      <c r="I473" s="40"/>
      <c r="J473" s="24"/>
    </row>
    <row r="474" spans="8:10" ht="12.75" x14ac:dyDescent="0.2">
      <c r="H474" s="39"/>
      <c r="I474" s="40"/>
      <c r="J474" s="24"/>
    </row>
    <row r="475" spans="8:10" ht="12.75" x14ac:dyDescent="0.2">
      <c r="H475" s="39"/>
      <c r="I475" s="40"/>
      <c r="J475" s="24"/>
    </row>
    <row r="476" spans="8:10" ht="12.75" x14ac:dyDescent="0.2">
      <c r="H476" s="39"/>
      <c r="I476" s="40"/>
      <c r="J476" s="24"/>
    </row>
    <row r="477" spans="8:10" ht="12.75" x14ac:dyDescent="0.2">
      <c r="H477" s="39"/>
      <c r="I477" s="40"/>
      <c r="J477" s="24"/>
    </row>
    <row r="478" spans="8:10" ht="12.75" x14ac:dyDescent="0.2">
      <c r="H478" s="39"/>
      <c r="I478" s="40"/>
      <c r="J478" s="24"/>
    </row>
    <row r="479" spans="8:10" ht="12.75" x14ac:dyDescent="0.2">
      <c r="H479" s="39"/>
      <c r="I479" s="40"/>
      <c r="J479" s="24"/>
    </row>
    <row r="480" spans="8:10" ht="12.75" x14ac:dyDescent="0.2">
      <c r="H480" s="39"/>
      <c r="I480" s="40"/>
      <c r="J480" s="24"/>
    </row>
    <row r="481" spans="8:10" ht="12.75" x14ac:dyDescent="0.2">
      <c r="H481" s="39"/>
      <c r="I481" s="40"/>
      <c r="J481" s="24"/>
    </row>
    <row r="482" spans="8:10" ht="12.75" x14ac:dyDescent="0.2">
      <c r="H482" s="39"/>
      <c r="I482" s="40"/>
      <c r="J482" s="24"/>
    </row>
    <row r="483" spans="8:10" ht="12.75" x14ac:dyDescent="0.2">
      <c r="H483" s="39"/>
      <c r="I483" s="40"/>
      <c r="J483" s="24"/>
    </row>
    <row r="484" spans="8:10" ht="12.75" x14ac:dyDescent="0.2">
      <c r="H484" s="39"/>
      <c r="I484" s="40"/>
      <c r="J484" s="24"/>
    </row>
    <row r="485" spans="8:10" ht="12.75" x14ac:dyDescent="0.2">
      <c r="H485" s="39"/>
      <c r="I485" s="40"/>
      <c r="J485" s="24"/>
    </row>
    <row r="486" spans="8:10" ht="12.75" x14ac:dyDescent="0.2">
      <c r="H486" s="39"/>
      <c r="I486" s="40"/>
      <c r="J486" s="24"/>
    </row>
    <row r="487" spans="8:10" ht="12.75" x14ac:dyDescent="0.2">
      <c r="H487" s="39"/>
      <c r="I487" s="40"/>
      <c r="J487" s="24"/>
    </row>
    <row r="488" spans="8:10" ht="12.75" x14ac:dyDescent="0.2">
      <c r="H488" s="39"/>
      <c r="I488" s="40"/>
      <c r="J488" s="24"/>
    </row>
    <row r="489" spans="8:10" ht="12.75" x14ac:dyDescent="0.2">
      <c r="H489" s="39"/>
      <c r="I489" s="40"/>
      <c r="J489" s="24"/>
    </row>
    <row r="490" spans="8:10" ht="12.75" x14ac:dyDescent="0.2">
      <c r="H490" s="39"/>
      <c r="I490" s="40"/>
      <c r="J490" s="24"/>
    </row>
    <row r="491" spans="8:10" ht="12.75" x14ac:dyDescent="0.2">
      <c r="H491" s="39"/>
      <c r="I491" s="40"/>
      <c r="J491" s="24"/>
    </row>
    <row r="492" spans="8:10" ht="12.75" x14ac:dyDescent="0.2">
      <c r="H492" s="39"/>
      <c r="I492" s="40"/>
      <c r="J492" s="24"/>
    </row>
    <row r="493" spans="8:10" ht="12.75" x14ac:dyDescent="0.2">
      <c r="H493" s="39"/>
      <c r="I493" s="40"/>
      <c r="J493" s="24"/>
    </row>
    <row r="494" spans="8:10" ht="12.75" x14ac:dyDescent="0.2">
      <c r="H494" s="39"/>
      <c r="I494" s="40"/>
      <c r="J494" s="24"/>
    </row>
    <row r="495" spans="8:10" ht="12.75" x14ac:dyDescent="0.2">
      <c r="H495" s="39"/>
      <c r="I495" s="40"/>
      <c r="J495" s="24"/>
    </row>
    <row r="496" spans="8:10" ht="12.75" x14ac:dyDescent="0.2">
      <c r="H496" s="39"/>
      <c r="I496" s="40"/>
      <c r="J496" s="24"/>
    </row>
    <row r="497" spans="8:10" ht="12.75" x14ac:dyDescent="0.2">
      <c r="H497" s="39"/>
      <c r="I497" s="40"/>
      <c r="J497" s="24"/>
    </row>
    <row r="498" spans="8:10" ht="12.75" x14ac:dyDescent="0.2">
      <c r="H498" s="39"/>
      <c r="I498" s="40"/>
      <c r="J498" s="24"/>
    </row>
    <row r="499" spans="8:10" ht="12.75" x14ac:dyDescent="0.2">
      <c r="H499" s="39"/>
      <c r="I499" s="40"/>
      <c r="J499" s="24"/>
    </row>
    <row r="500" spans="8:10" ht="12.75" x14ac:dyDescent="0.2">
      <c r="H500" s="39"/>
      <c r="I500" s="40"/>
      <c r="J500" s="24"/>
    </row>
    <row r="501" spans="8:10" ht="12.75" x14ac:dyDescent="0.2">
      <c r="H501" s="39"/>
      <c r="I501" s="40"/>
      <c r="J501" s="24"/>
    </row>
    <row r="502" spans="8:10" ht="12.75" x14ac:dyDescent="0.2">
      <c r="H502" s="39"/>
      <c r="I502" s="40"/>
      <c r="J502" s="24"/>
    </row>
    <row r="503" spans="8:10" ht="12.75" x14ac:dyDescent="0.2">
      <c r="H503" s="39"/>
      <c r="I503" s="40"/>
      <c r="J503" s="24"/>
    </row>
    <row r="504" spans="8:10" ht="12.75" x14ac:dyDescent="0.2">
      <c r="H504" s="39"/>
      <c r="I504" s="40"/>
      <c r="J504" s="24"/>
    </row>
    <row r="505" spans="8:10" ht="12.75" x14ac:dyDescent="0.2">
      <c r="H505" s="39"/>
      <c r="I505" s="40"/>
      <c r="J505" s="24"/>
    </row>
    <row r="506" spans="8:10" ht="12.75" x14ac:dyDescent="0.2">
      <c r="H506" s="39"/>
      <c r="I506" s="40"/>
      <c r="J506" s="24"/>
    </row>
    <row r="507" spans="8:10" ht="12.75" x14ac:dyDescent="0.2">
      <c r="H507" s="39"/>
      <c r="I507" s="40"/>
      <c r="J507" s="24"/>
    </row>
    <row r="508" spans="8:10" ht="12.75" x14ac:dyDescent="0.2">
      <c r="H508" s="39"/>
      <c r="I508" s="40"/>
      <c r="J508" s="24"/>
    </row>
    <row r="509" spans="8:10" ht="12.75" x14ac:dyDescent="0.2">
      <c r="H509" s="39"/>
      <c r="I509" s="40"/>
      <c r="J509" s="24"/>
    </row>
    <row r="510" spans="8:10" ht="12.75" x14ac:dyDescent="0.2">
      <c r="H510" s="39"/>
      <c r="I510" s="40"/>
      <c r="J510" s="24"/>
    </row>
    <row r="511" spans="8:10" ht="12.75" x14ac:dyDescent="0.2">
      <c r="H511" s="39"/>
      <c r="I511" s="40"/>
      <c r="J511" s="24"/>
    </row>
    <row r="512" spans="8:10" ht="12.75" x14ac:dyDescent="0.2">
      <c r="H512" s="39"/>
      <c r="I512" s="40"/>
      <c r="J512" s="24"/>
    </row>
    <row r="513" spans="8:10" ht="12.75" x14ac:dyDescent="0.2">
      <c r="H513" s="39"/>
      <c r="I513" s="40"/>
      <c r="J513" s="24"/>
    </row>
    <row r="514" spans="8:10" ht="12.75" x14ac:dyDescent="0.2">
      <c r="H514" s="39"/>
      <c r="I514" s="40"/>
      <c r="J514" s="24"/>
    </row>
    <row r="515" spans="8:10" ht="12.75" x14ac:dyDescent="0.2">
      <c r="H515" s="39"/>
      <c r="I515" s="40"/>
      <c r="J515" s="24"/>
    </row>
    <row r="516" spans="8:10" ht="12.75" x14ac:dyDescent="0.2">
      <c r="H516" s="39"/>
      <c r="I516" s="40"/>
      <c r="J516" s="24"/>
    </row>
    <row r="517" spans="8:10" ht="12.75" x14ac:dyDescent="0.2">
      <c r="H517" s="39"/>
      <c r="I517" s="40"/>
      <c r="J517" s="24"/>
    </row>
    <row r="518" spans="8:10" ht="12.75" x14ac:dyDescent="0.2">
      <c r="H518" s="39"/>
      <c r="I518" s="40"/>
      <c r="J518" s="24"/>
    </row>
    <row r="519" spans="8:10" ht="12.75" x14ac:dyDescent="0.2">
      <c r="H519" s="39"/>
      <c r="I519" s="40"/>
      <c r="J519" s="24"/>
    </row>
    <row r="520" spans="8:10" ht="12.75" x14ac:dyDescent="0.2">
      <c r="H520" s="39"/>
      <c r="I520" s="40"/>
      <c r="J520" s="24"/>
    </row>
    <row r="521" spans="8:10" ht="12.75" x14ac:dyDescent="0.2">
      <c r="H521" s="39"/>
      <c r="I521" s="40"/>
      <c r="J521" s="24"/>
    </row>
    <row r="522" spans="8:10" ht="12.75" x14ac:dyDescent="0.2">
      <c r="H522" s="39"/>
      <c r="I522" s="40"/>
      <c r="J522" s="24"/>
    </row>
    <row r="523" spans="8:10" ht="12.75" x14ac:dyDescent="0.2">
      <c r="H523" s="39"/>
      <c r="I523" s="40"/>
      <c r="J523" s="24"/>
    </row>
    <row r="524" spans="8:10" ht="12.75" x14ac:dyDescent="0.2">
      <c r="H524" s="39"/>
      <c r="I524" s="40"/>
      <c r="J524" s="24"/>
    </row>
    <row r="525" spans="8:10" ht="12.75" x14ac:dyDescent="0.2">
      <c r="H525" s="39"/>
      <c r="I525" s="40"/>
      <c r="J525" s="24"/>
    </row>
    <row r="526" spans="8:10" ht="12.75" x14ac:dyDescent="0.2">
      <c r="H526" s="39"/>
      <c r="I526" s="40"/>
      <c r="J526" s="24"/>
    </row>
    <row r="527" spans="8:10" ht="12.75" x14ac:dyDescent="0.2">
      <c r="H527" s="39"/>
      <c r="I527" s="40"/>
      <c r="J527" s="24"/>
    </row>
    <row r="528" spans="8:10" ht="12.75" x14ac:dyDescent="0.2">
      <c r="H528" s="39"/>
      <c r="I528" s="40"/>
      <c r="J528" s="24"/>
    </row>
    <row r="529" spans="8:10" ht="12.75" x14ac:dyDescent="0.2">
      <c r="H529" s="39"/>
      <c r="I529" s="40"/>
      <c r="J529" s="24"/>
    </row>
    <row r="530" spans="8:10" ht="12.75" x14ac:dyDescent="0.2">
      <c r="H530" s="39"/>
      <c r="I530" s="40"/>
      <c r="J530" s="24"/>
    </row>
    <row r="531" spans="8:10" ht="12.75" x14ac:dyDescent="0.2">
      <c r="H531" s="39"/>
      <c r="I531" s="40"/>
      <c r="J531" s="24"/>
    </row>
    <row r="532" spans="8:10" ht="12.75" x14ac:dyDescent="0.2">
      <c r="H532" s="39"/>
      <c r="I532" s="40"/>
      <c r="J532" s="24"/>
    </row>
    <row r="533" spans="8:10" ht="12.75" x14ac:dyDescent="0.2">
      <c r="H533" s="39"/>
      <c r="I533" s="40"/>
      <c r="J533" s="24"/>
    </row>
    <row r="534" spans="8:10" ht="12.75" x14ac:dyDescent="0.2">
      <c r="H534" s="39"/>
      <c r="I534" s="40"/>
      <c r="J534" s="24"/>
    </row>
    <row r="535" spans="8:10" ht="12.75" x14ac:dyDescent="0.2">
      <c r="H535" s="39"/>
      <c r="I535" s="40"/>
      <c r="J535" s="24"/>
    </row>
    <row r="536" spans="8:10" ht="12.75" x14ac:dyDescent="0.2">
      <c r="H536" s="39"/>
      <c r="I536" s="40"/>
      <c r="J536" s="24"/>
    </row>
    <row r="537" spans="8:10" ht="12.75" x14ac:dyDescent="0.2">
      <c r="H537" s="39"/>
      <c r="I537" s="40"/>
      <c r="J537" s="24"/>
    </row>
    <row r="538" spans="8:10" ht="12.75" x14ac:dyDescent="0.2">
      <c r="H538" s="39"/>
      <c r="I538" s="40"/>
      <c r="J538" s="24"/>
    </row>
    <row r="539" spans="8:10" ht="12.75" x14ac:dyDescent="0.2">
      <c r="H539" s="39"/>
      <c r="I539" s="40"/>
      <c r="J539" s="24"/>
    </row>
    <row r="540" spans="8:10" ht="12.75" x14ac:dyDescent="0.2">
      <c r="H540" s="39"/>
      <c r="I540" s="40"/>
      <c r="J540" s="24"/>
    </row>
    <row r="541" spans="8:10" ht="12.75" x14ac:dyDescent="0.2">
      <c r="H541" s="39"/>
      <c r="I541" s="40"/>
      <c r="J541" s="24"/>
    </row>
    <row r="542" spans="8:10" ht="12.75" x14ac:dyDescent="0.2">
      <c r="H542" s="39"/>
      <c r="I542" s="40"/>
      <c r="J542" s="24"/>
    </row>
    <row r="543" spans="8:10" ht="12.75" x14ac:dyDescent="0.2">
      <c r="H543" s="39"/>
      <c r="I543" s="40"/>
      <c r="J543" s="24"/>
    </row>
    <row r="544" spans="8:10" ht="12.75" x14ac:dyDescent="0.2">
      <c r="H544" s="39"/>
      <c r="I544" s="40"/>
      <c r="J544" s="24"/>
    </row>
    <row r="545" spans="8:10" ht="12.75" x14ac:dyDescent="0.2">
      <c r="H545" s="39"/>
      <c r="I545" s="40"/>
      <c r="J545" s="24"/>
    </row>
    <row r="546" spans="8:10" ht="12.75" x14ac:dyDescent="0.2">
      <c r="H546" s="39"/>
      <c r="I546" s="40"/>
      <c r="J546" s="24"/>
    </row>
    <row r="547" spans="8:10" ht="12.75" x14ac:dyDescent="0.2">
      <c r="H547" s="39"/>
      <c r="I547" s="40"/>
      <c r="J547" s="24"/>
    </row>
    <row r="548" spans="8:10" ht="12.75" x14ac:dyDescent="0.2">
      <c r="H548" s="39"/>
      <c r="I548" s="40"/>
      <c r="J548" s="24"/>
    </row>
    <row r="549" spans="8:10" ht="12.75" x14ac:dyDescent="0.2">
      <c r="H549" s="39"/>
      <c r="I549" s="40"/>
      <c r="J549" s="24"/>
    </row>
    <row r="550" spans="8:10" ht="12.75" x14ac:dyDescent="0.2">
      <c r="H550" s="39"/>
      <c r="I550" s="40"/>
      <c r="J550" s="24"/>
    </row>
    <row r="551" spans="8:10" ht="12.75" x14ac:dyDescent="0.2">
      <c r="H551" s="39"/>
      <c r="I551" s="40"/>
      <c r="J551" s="24"/>
    </row>
    <row r="552" spans="8:10" ht="12.75" x14ac:dyDescent="0.2">
      <c r="H552" s="39"/>
      <c r="I552" s="40"/>
      <c r="J552" s="24"/>
    </row>
    <row r="553" spans="8:10" ht="12.75" x14ac:dyDescent="0.2">
      <c r="H553" s="39"/>
      <c r="I553" s="40"/>
      <c r="J553" s="24"/>
    </row>
    <row r="554" spans="8:10" ht="12.75" x14ac:dyDescent="0.2">
      <c r="H554" s="39"/>
      <c r="I554" s="40"/>
      <c r="J554" s="24"/>
    </row>
    <row r="555" spans="8:10" ht="12.75" x14ac:dyDescent="0.2">
      <c r="H555" s="39"/>
      <c r="I555" s="40"/>
      <c r="J555" s="24"/>
    </row>
    <row r="556" spans="8:10" ht="12.75" x14ac:dyDescent="0.2">
      <c r="H556" s="39"/>
      <c r="I556" s="40"/>
      <c r="J556" s="24"/>
    </row>
    <row r="557" spans="8:10" ht="12.75" x14ac:dyDescent="0.2">
      <c r="H557" s="39"/>
      <c r="I557" s="40"/>
      <c r="J557" s="24"/>
    </row>
    <row r="558" spans="8:10" ht="12.75" x14ac:dyDescent="0.2">
      <c r="H558" s="39"/>
      <c r="I558" s="40"/>
      <c r="J558" s="24"/>
    </row>
    <row r="559" spans="8:10" ht="12.75" x14ac:dyDescent="0.2">
      <c r="H559" s="39"/>
      <c r="I559" s="40"/>
      <c r="J559" s="24"/>
    </row>
    <row r="560" spans="8:10" ht="12.75" x14ac:dyDescent="0.2">
      <c r="H560" s="39"/>
      <c r="I560" s="40"/>
      <c r="J560" s="24"/>
    </row>
    <row r="561" spans="8:10" ht="12.75" x14ac:dyDescent="0.2">
      <c r="H561" s="39"/>
      <c r="I561" s="40"/>
      <c r="J561" s="24"/>
    </row>
    <row r="562" spans="8:10" ht="12.75" x14ac:dyDescent="0.2">
      <c r="H562" s="39"/>
      <c r="I562" s="40"/>
      <c r="J562" s="24"/>
    </row>
    <row r="563" spans="8:10" ht="12.75" x14ac:dyDescent="0.2">
      <c r="H563" s="39"/>
      <c r="I563" s="40"/>
      <c r="J563" s="24"/>
    </row>
    <row r="564" spans="8:10" ht="12.75" x14ac:dyDescent="0.2">
      <c r="H564" s="39"/>
      <c r="I564" s="40"/>
      <c r="J564" s="24"/>
    </row>
    <row r="565" spans="8:10" ht="12.75" x14ac:dyDescent="0.2">
      <c r="H565" s="39"/>
      <c r="I565" s="40"/>
      <c r="J565" s="24"/>
    </row>
    <row r="566" spans="8:10" ht="12.75" x14ac:dyDescent="0.2">
      <c r="H566" s="39"/>
      <c r="I566" s="40"/>
      <c r="J566" s="24"/>
    </row>
    <row r="567" spans="8:10" ht="12.75" x14ac:dyDescent="0.2">
      <c r="H567" s="39"/>
      <c r="I567" s="40"/>
      <c r="J567" s="24"/>
    </row>
    <row r="568" spans="8:10" ht="12.75" x14ac:dyDescent="0.2">
      <c r="H568" s="39"/>
      <c r="I568" s="40"/>
      <c r="J568" s="24"/>
    </row>
    <row r="569" spans="8:10" ht="12.75" x14ac:dyDescent="0.2">
      <c r="H569" s="39"/>
      <c r="I569" s="40"/>
      <c r="J569" s="24"/>
    </row>
    <row r="570" spans="8:10" ht="12.75" x14ac:dyDescent="0.2">
      <c r="H570" s="39"/>
      <c r="I570" s="40"/>
      <c r="J570" s="24"/>
    </row>
    <row r="571" spans="8:10" ht="12.75" x14ac:dyDescent="0.2">
      <c r="H571" s="39"/>
      <c r="I571" s="40"/>
      <c r="J571" s="24"/>
    </row>
    <row r="572" spans="8:10" ht="12.75" x14ac:dyDescent="0.2">
      <c r="H572" s="39"/>
      <c r="I572" s="40"/>
      <c r="J572" s="24"/>
    </row>
    <row r="573" spans="8:10" ht="12.75" x14ac:dyDescent="0.2">
      <c r="H573" s="39"/>
      <c r="I573" s="40"/>
      <c r="J573" s="24"/>
    </row>
    <row r="574" spans="8:10" ht="12.75" x14ac:dyDescent="0.2">
      <c r="H574" s="39"/>
      <c r="I574" s="40"/>
      <c r="J574" s="24"/>
    </row>
    <row r="575" spans="8:10" ht="12.75" x14ac:dyDescent="0.2">
      <c r="H575" s="39"/>
      <c r="I575" s="40"/>
      <c r="J575" s="24"/>
    </row>
    <row r="576" spans="8:10" ht="12.75" x14ac:dyDescent="0.2">
      <c r="H576" s="39"/>
      <c r="I576" s="40"/>
      <c r="J576" s="24"/>
    </row>
    <row r="577" spans="8:10" ht="12.75" x14ac:dyDescent="0.2">
      <c r="H577" s="39"/>
      <c r="I577" s="40"/>
      <c r="J577" s="24"/>
    </row>
    <row r="578" spans="8:10" ht="12.75" x14ac:dyDescent="0.2">
      <c r="H578" s="39"/>
      <c r="I578" s="40"/>
      <c r="J578" s="24"/>
    </row>
    <row r="579" spans="8:10" ht="12.75" x14ac:dyDescent="0.2">
      <c r="H579" s="39"/>
      <c r="I579" s="40"/>
      <c r="J579" s="24"/>
    </row>
    <row r="580" spans="8:10" ht="12.75" x14ac:dyDescent="0.2">
      <c r="H580" s="39"/>
      <c r="I580" s="40"/>
      <c r="J580" s="24"/>
    </row>
    <row r="581" spans="8:10" ht="12.75" x14ac:dyDescent="0.2">
      <c r="H581" s="39"/>
      <c r="I581" s="40"/>
      <c r="J581" s="24"/>
    </row>
    <row r="582" spans="8:10" ht="12.75" x14ac:dyDescent="0.2">
      <c r="H582" s="39"/>
      <c r="I582" s="40"/>
      <c r="J582" s="24"/>
    </row>
    <row r="583" spans="8:10" ht="12.75" x14ac:dyDescent="0.2">
      <c r="H583" s="39"/>
      <c r="I583" s="40"/>
      <c r="J583" s="24"/>
    </row>
    <row r="584" spans="8:10" ht="12.75" x14ac:dyDescent="0.2">
      <c r="H584" s="39"/>
      <c r="I584" s="40"/>
      <c r="J584" s="24"/>
    </row>
    <row r="585" spans="8:10" ht="12.75" x14ac:dyDescent="0.2">
      <c r="H585" s="39"/>
      <c r="I585" s="40"/>
      <c r="J585" s="24"/>
    </row>
    <row r="586" spans="8:10" ht="12.75" x14ac:dyDescent="0.2">
      <c r="H586" s="39"/>
      <c r="I586" s="40"/>
      <c r="J586" s="24"/>
    </row>
    <row r="587" spans="8:10" ht="12.75" x14ac:dyDescent="0.2">
      <c r="H587" s="39"/>
      <c r="I587" s="40"/>
      <c r="J587" s="24"/>
    </row>
    <row r="588" spans="8:10" ht="12.75" x14ac:dyDescent="0.2">
      <c r="H588" s="39"/>
      <c r="I588" s="40"/>
      <c r="J588" s="24"/>
    </row>
    <row r="589" spans="8:10" ht="12.75" x14ac:dyDescent="0.2">
      <c r="H589" s="39"/>
      <c r="I589" s="40"/>
      <c r="J589" s="24"/>
    </row>
    <row r="590" spans="8:10" ht="12.75" x14ac:dyDescent="0.2">
      <c r="H590" s="39"/>
      <c r="I590" s="40"/>
      <c r="J590" s="24"/>
    </row>
    <row r="591" spans="8:10" ht="12.75" x14ac:dyDescent="0.2">
      <c r="H591" s="39"/>
      <c r="I591" s="40"/>
      <c r="J591" s="24"/>
    </row>
    <row r="592" spans="8:10" ht="12.75" x14ac:dyDescent="0.2">
      <c r="H592" s="39"/>
      <c r="I592" s="40"/>
      <c r="J592" s="24"/>
    </row>
    <row r="593" spans="8:10" ht="12.75" x14ac:dyDescent="0.2">
      <c r="H593" s="39"/>
      <c r="I593" s="40"/>
      <c r="J593" s="24"/>
    </row>
    <row r="594" spans="8:10" ht="12.75" x14ac:dyDescent="0.2">
      <c r="H594" s="39"/>
      <c r="I594" s="40"/>
      <c r="J594" s="24"/>
    </row>
    <row r="595" spans="8:10" ht="12.75" x14ac:dyDescent="0.2">
      <c r="H595" s="39"/>
      <c r="I595" s="40"/>
      <c r="J595" s="24"/>
    </row>
    <row r="596" spans="8:10" ht="12.75" x14ac:dyDescent="0.2">
      <c r="H596" s="39"/>
      <c r="I596" s="40"/>
      <c r="J596" s="24"/>
    </row>
    <row r="597" spans="8:10" ht="12.75" x14ac:dyDescent="0.2">
      <c r="H597" s="39"/>
      <c r="I597" s="40"/>
      <c r="J597" s="24"/>
    </row>
    <row r="598" spans="8:10" ht="12.75" x14ac:dyDescent="0.2">
      <c r="H598" s="39"/>
      <c r="I598" s="40"/>
      <c r="J598" s="24"/>
    </row>
    <row r="599" spans="8:10" ht="12.75" x14ac:dyDescent="0.2">
      <c r="H599" s="39"/>
      <c r="I599" s="40"/>
      <c r="J599" s="24"/>
    </row>
    <row r="600" spans="8:10" ht="12.75" x14ac:dyDescent="0.2">
      <c r="H600" s="39"/>
      <c r="I600" s="40"/>
      <c r="J600" s="24"/>
    </row>
    <row r="601" spans="8:10" ht="12.75" x14ac:dyDescent="0.2">
      <c r="H601" s="39"/>
      <c r="I601" s="40"/>
      <c r="J601" s="24"/>
    </row>
    <row r="602" spans="8:10" ht="12.75" x14ac:dyDescent="0.2">
      <c r="H602" s="39"/>
      <c r="I602" s="40"/>
      <c r="J602" s="24"/>
    </row>
    <row r="603" spans="8:10" ht="12.75" x14ac:dyDescent="0.2">
      <c r="H603" s="39"/>
      <c r="I603" s="40"/>
      <c r="J603" s="24"/>
    </row>
    <row r="604" spans="8:10" ht="12.75" x14ac:dyDescent="0.2">
      <c r="H604" s="39"/>
      <c r="I604" s="40"/>
      <c r="J604" s="24"/>
    </row>
    <row r="605" spans="8:10" ht="12.75" x14ac:dyDescent="0.2">
      <c r="H605" s="39"/>
      <c r="I605" s="40"/>
      <c r="J605" s="24"/>
    </row>
    <row r="606" spans="8:10" ht="12.75" x14ac:dyDescent="0.2">
      <c r="H606" s="39"/>
      <c r="I606" s="40"/>
      <c r="J606" s="24"/>
    </row>
    <row r="607" spans="8:10" ht="12.75" x14ac:dyDescent="0.2">
      <c r="H607" s="39"/>
      <c r="I607" s="40"/>
      <c r="J607" s="24"/>
    </row>
    <row r="608" spans="8:10" ht="12.75" x14ac:dyDescent="0.2">
      <c r="H608" s="39"/>
      <c r="I608" s="40"/>
      <c r="J608" s="24"/>
    </row>
    <row r="609" spans="8:10" ht="12.75" x14ac:dyDescent="0.2">
      <c r="H609" s="39"/>
      <c r="I609" s="40"/>
      <c r="J609" s="24"/>
    </row>
    <row r="610" spans="8:10" ht="12.75" x14ac:dyDescent="0.2">
      <c r="H610" s="39"/>
      <c r="I610" s="40"/>
      <c r="J610" s="24"/>
    </row>
    <row r="611" spans="8:10" ht="12.75" x14ac:dyDescent="0.2">
      <c r="H611" s="39"/>
      <c r="I611" s="40"/>
      <c r="J611" s="24"/>
    </row>
    <row r="612" spans="8:10" ht="12.75" x14ac:dyDescent="0.2">
      <c r="H612" s="39"/>
      <c r="I612" s="40"/>
      <c r="J612" s="24"/>
    </row>
    <row r="613" spans="8:10" ht="12.75" x14ac:dyDescent="0.2">
      <c r="H613" s="39"/>
      <c r="I613" s="40"/>
      <c r="J613" s="24"/>
    </row>
    <row r="614" spans="8:10" ht="12.75" x14ac:dyDescent="0.2">
      <c r="H614" s="39"/>
      <c r="I614" s="40"/>
      <c r="J614" s="24"/>
    </row>
    <row r="615" spans="8:10" ht="12.75" x14ac:dyDescent="0.2">
      <c r="H615" s="39"/>
      <c r="I615" s="40"/>
      <c r="J615" s="24"/>
    </row>
    <row r="616" spans="8:10" ht="12.75" x14ac:dyDescent="0.2">
      <c r="H616" s="39"/>
      <c r="I616" s="40"/>
      <c r="J616" s="24"/>
    </row>
    <row r="617" spans="8:10" ht="12.75" x14ac:dyDescent="0.2">
      <c r="H617" s="39"/>
      <c r="I617" s="40"/>
      <c r="J617" s="24"/>
    </row>
    <row r="618" spans="8:10" ht="12.75" x14ac:dyDescent="0.2">
      <c r="H618" s="39"/>
      <c r="I618" s="40"/>
      <c r="J618" s="24"/>
    </row>
    <row r="619" spans="8:10" ht="12.75" x14ac:dyDescent="0.2">
      <c r="H619" s="39"/>
      <c r="I619" s="40"/>
      <c r="J619" s="24"/>
    </row>
    <row r="620" spans="8:10" ht="12.75" x14ac:dyDescent="0.2">
      <c r="H620" s="39"/>
      <c r="I620" s="40"/>
      <c r="J620" s="24"/>
    </row>
    <row r="621" spans="8:10" ht="12.75" x14ac:dyDescent="0.2">
      <c r="H621" s="39"/>
      <c r="I621" s="40"/>
      <c r="J621" s="24"/>
    </row>
    <row r="622" spans="8:10" ht="12.75" x14ac:dyDescent="0.2">
      <c r="H622" s="39"/>
      <c r="I622" s="40"/>
      <c r="J622" s="24"/>
    </row>
    <row r="623" spans="8:10" ht="12.75" x14ac:dyDescent="0.2">
      <c r="H623" s="39"/>
      <c r="I623" s="40"/>
      <c r="J623" s="24"/>
    </row>
    <row r="624" spans="8:10" ht="12.75" x14ac:dyDescent="0.2">
      <c r="H624" s="39"/>
      <c r="I624" s="40"/>
      <c r="J624" s="24"/>
    </row>
    <row r="625" spans="8:10" ht="12.75" x14ac:dyDescent="0.2">
      <c r="H625" s="39"/>
      <c r="I625" s="40"/>
      <c r="J625" s="24"/>
    </row>
    <row r="626" spans="8:10" ht="12.75" x14ac:dyDescent="0.2">
      <c r="H626" s="39"/>
      <c r="I626" s="40"/>
      <c r="J626" s="24"/>
    </row>
    <row r="627" spans="8:10" ht="12.75" x14ac:dyDescent="0.2">
      <c r="H627" s="39"/>
      <c r="I627" s="40"/>
      <c r="J627" s="24"/>
    </row>
    <row r="628" spans="8:10" ht="12.75" x14ac:dyDescent="0.2">
      <c r="H628" s="39"/>
      <c r="I628" s="40"/>
      <c r="J628" s="24"/>
    </row>
    <row r="629" spans="8:10" ht="12.75" x14ac:dyDescent="0.2">
      <c r="H629" s="39"/>
      <c r="I629" s="40"/>
      <c r="J629" s="24"/>
    </row>
    <row r="630" spans="8:10" ht="12.75" x14ac:dyDescent="0.2">
      <c r="H630" s="39"/>
      <c r="I630" s="40"/>
      <c r="J630" s="24"/>
    </row>
    <row r="631" spans="8:10" ht="12.75" x14ac:dyDescent="0.2">
      <c r="H631" s="39"/>
      <c r="I631" s="40"/>
      <c r="J631" s="24"/>
    </row>
    <row r="632" spans="8:10" ht="12.75" x14ac:dyDescent="0.2">
      <c r="H632" s="39"/>
      <c r="I632" s="40"/>
      <c r="J632" s="24"/>
    </row>
    <row r="633" spans="8:10" ht="12.75" x14ac:dyDescent="0.2">
      <c r="H633" s="39"/>
      <c r="I633" s="40"/>
      <c r="J633" s="24"/>
    </row>
    <row r="634" spans="8:10" ht="12.75" x14ac:dyDescent="0.2">
      <c r="H634" s="39"/>
      <c r="I634" s="40"/>
      <c r="J634" s="24"/>
    </row>
    <row r="635" spans="8:10" ht="12.75" x14ac:dyDescent="0.2">
      <c r="H635" s="39"/>
      <c r="I635" s="40"/>
      <c r="J635" s="24"/>
    </row>
    <row r="636" spans="8:10" ht="12.75" x14ac:dyDescent="0.2">
      <c r="H636" s="39"/>
      <c r="I636" s="40"/>
      <c r="J636" s="24"/>
    </row>
    <row r="637" spans="8:10" ht="12.75" x14ac:dyDescent="0.2">
      <c r="H637" s="39"/>
      <c r="I637" s="40"/>
      <c r="J637" s="24"/>
    </row>
    <row r="638" spans="8:10" ht="12.75" x14ac:dyDescent="0.2">
      <c r="H638" s="39"/>
      <c r="I638" s="40"/>
      <c r="J638" s="24"/>
    </row>
    <row r="639" spans="8:10" ht="12.75" x14ac:dyDescent="0.2">
      <c r="H639" s="39"/>
      <c r="I639" s="40"/>
      <c r="J639" s="24"/>
    </row>
    <row r="640" spans="8:10" ht="12.75" x14ac:dyDescent="0.2">
      <c r="H640" s="39"/>
      <c r="I640" s="40"/>
      <c r="J640" s="24"/>
    </row>
    <row r="641" spans="8:10" ht="12.75" x14ac:dyDescent="0.2">
      <c r="H641" s="39"/>
      <c r="I641" s="40"/>
      <c r="J641" s="24"/>
    </row>
    <row r="642" spans="8:10" ht="12.75" x14ac:dyDescent="0.2">
      <c r="H642" s="39"/>
      <c r="I642" s="40"/>
      <c r="J642" s="24"/>
    </row>
    <row r="643" spans="8:10" ht="12.75" x14ac:dyDescent="0.2">
      <c r="H643" s="39"/>
      <c r="I643" s="40"/>
      <c r="J643" s="24"/>
    </row>
    <row r="644" spans="8:10" ht="12.75" x14ac:dyDescent="0.2">
      <c r="H644" s="39"/>
      <c r="I644" s="40"/>
      <c r="J644" s="24"/>
    </row>
    <row r="645" spans="8:10" ht="12.75" x14ac:dyDescent="0.2">
      <c r="H645" s="39"/>
      <c r="I645" s="40"/>
      <c r="J645" s="24"/>
    </row>
    <row r="646" spans="8:10" ht="12.75" x14ac:dyDescent="0.2">
      <c r="H646" s="39"/>
      <c r="I646" s="40"/>
      <c r="J646" s="24"/>
    </row>
    <row r="647" spans="8:10" ht="12.75" x14ac:dyDescent="0.2">
      <c r="H647" s="39"/>
      <c r="I647" s="40"/>
      <c r="J647" s="24"/>
    </row>
    <row r="648" spans="8:10" ht="12.75" x14ac:dyDescent="0.2">
      <c r="H648" s="39"/>
      <c r="I648" s="40"/>
      <c r="J648" s="24"/>
    </row>
    <row r="649" spans="8:10" ht="12.75" x14ac:dyDescent="0.2">
      <c r="H649" s="39"/>
      <c r="I649" s="40"/>
      <c r="J649" s="24"/>
    </row>
    <row r="650" spans="8:10" ht="12.75" x14ac:dyDescent="0.2">
      <c r="H650" s="39"/>
      <c r="I650" s="40"/>
      <c r="J650" s="24"/>
    </row>
    <row r="651" spans="8:10" ht="12.75" x14ac:dyDescent="0.2">
      <c r="H651" s="39"/>
      <c r="I651" s="40"/>
      <c r="J651" s="24"/>
    </row>
    <row r="652" spans="8:10" ht="12.75" x14ac:dyDescent="0.2">
      <c r="H652" s="39"/>
      <c r="I652" s="40"/>
      <c r="J652" s="24"/>
    </row>
    <row r="653" spans="8:10" ht="12.75" x14ac:dyDescent="0.2">
      <c r="H653" s="39"/>
      <c r="I653" s="40"/>
      <c r="J653" s="24"/>
    </row>
    <row r="654" spans="8:10" ht="12.75" x14ac:dyDescent="0.2">
      <c r="H654" s="39"/>
      <c r="I654" s="40"/>
      <c r="J654" s="24"/>
    </row>
    <row r="655" spans="8:10" ht="12.75" x14ac:dyDescent="0.2">
      <c r="H655" s="39"/>
      <c r="I655" s="40"/>
      <c r="J655" s="24"/>
    </row>
    <row r="656" spans="8:10" ht="12.75" x14ac:dyDescent="0.2">
      <c r="H656" s="39"/>
      <c r="I656" s="40"/>
      <c r="J656" s="24"/>
    </row>
    <row r="657" spans="8:10" ht="12.75" x14ac:dyDescent="0.2">
      <c r="H657" s="39"/>
      <c r="I657" s="40"/>
      <c r="J657" s="24"/>
    </row>
    <row r="658" spans="8:10" ht="12.75" x14ac:dyDescent="0.2">
      <c r="H658" s="39"/>
      <c r="I658" s="40"/>
      <c r="J658" s="24"/>
    </row>
    <row r="659" spans="8:10" ht="12.75" x14ac:dyDescent="0.2">
      <c r="H659" s="39"/>
      <c r="I659" s="40"/>
      <c r="J659" s="24"/>
    </row>
    <row r="660" spans="8:10" ht="12.75" x14ac:dyDescent="0.2">
      <c r="H660" s="39"/>
      <c r="I660" s="40"/>
      <c r="J660" s="24"/>
    </row>
    <row r="661" spans="8:10" ht="12.75" x14ac:dyDescent="0.2">
      <c r="H661" s="39"/>
      <c r="I661" s="40"/>
      <c r="J661" s="24"/>
    </row>
    <row r="662" spans="8:10" ht="12.75" x14ac:dyDescent="0.2">
      <c r="H662" s="39"/>
      <c r="I662" s="40"/>
      <c r="J662" s="24"/>
    </row>
    <row r="663" spans="8:10" ht="12.75" x14ac:dyDescent="0.2">
      <c r="H663" s="39"/>
      <c r="I663" s="40"/>
      <c r="J663" s="24"/>
    </row>
    <row r="664" spans="8:10" ht="12.75" x14ac:dyDescent="0.2">
      <c r="H664" s="39"/>
      <c r="I664" s="40"/>
      <c r="J664" s="24"/>
    </row>
    <row r="665" spans="8:10" ht="12.75" x14ac:dyDescent="0.2">
      <c r="H665" s="39"/>
      <c r="I665" s="40"/>
      <c r="J665" s="24"/>
    </row>
    <row r="666" spans="8:10" ht="12.75" x14ac:dyDescent="0.2">
      <c r="H666" s="39"/>
      <c r="I666" s="40"/>
      <c r="J666" s="24"/>
    </row>
    <row r="667" spans="8:10" ht="12.75" x14ac:dyDescent="0.2">
      <c r="H667" s="39"/>
      <c r="I667" s="40"/>
      <c r="J667" s="24"/>
    </row>
    <row r="668" spans="8:10" ht="12.75" x14ac:dyDescent="0.2">
      <c r="H668" s="39"/>
      <c r="I668" s="40"/>
      <c r="J668" s="24"/>
    </row>
    <row r="669" spans="8:10" ht="12.75" x14ac:dyDescent="0.2">
      <c r="H669" s="39"/>
      <c r="I669" s="40"/>
      <c r="J669" s="24"/>
    </row>
    <row r="670" spans="8:10" ht="12.75" x14ac:dyDescent="0.2">
      <c r="H670" s="39"/>
      <c r="I670" s="40"/>
      <c r="J670" s="24"/>
    </row>
    <row r="671" spans="8:10" ht="12.75" x14ac:dyDescent="0.2">
      <c r="H671" s="39"/>
      <c r="I671" s="40"/>
      <c r="J671" s="24"/>
    </row>
    <row r="672" spans="8:10" ht="12.75" x14ac:dyDescent="0.2">
      <c r="H672" s="39"/>
      <c r="I672" s="40"/>
      <c r="J672" s="24"/>
    </row>
    <row r="673" spans="8:10" ht="12.75" x14ac:dyDescent="0.2">
      <c r="H673" s="39"/>
      <c r="I673" s="40"/>
      <c r="J673" s="24"/>
    </row>
    <row r="674" spans="8:10" ht="12.75" x14ac:dyDescent="0.2">
      <c r="H674" s="39"/>
      <c r="I674" s="40"/>
      <c r="J674" s="24"/>
    </row>
    <row r="675" spans="8:10" ht="12.75" x14ac:dyDescent="0.2">
      <c r="H675" s="39"/>
      <c r="I675" s="40"/>
      <c r="J675" s="24"/>
    </row>
    <row r="676" spans="8:10" ht="12.75" x14ac:dyDescent="0.2">
      <c r="H676" s="39"/>
      <c r="I676" s="40"/>
      <c r="J676" s="24"/>
    </row>
    <row r="677" spans="8:10" ht="12.75" x14ac:dyDescent="0.2">
      <c r="H677" s="39"/>
      <c r="I677" s="40"/>
      <c r="J677" s="24"/>
    </row>
    <row r="678" spans="8:10" ht="12.75" x14ac:dyDescent="0.2">
      <c r="H678" s="39"/>
      <c r="I678" s="40"/>
      <c r="J678" s="24"/>
    </row>
    <row r="679" spans="8:10" ht="12.75" x14ac:dyDescent="0.2">
      <c r="H679" s="39"/>
      <c r="I679" s="40"/>
      <c r="J679" s="24"/>
    </row>
    <row r="680" spans="8:10" ht="12.75" x14ac:dyDescent="0.2">
      <c r="H680" s="39"/>
      <c r="I680" s="40"/>
      <c r="J680" s="24"/>
    </row>
    <row r="681" spans="8:10" ht="12.75" x14ac:dyDescent="0.2">
      <c r="H681" s="39"/>
      <c r="I681" s="40"/>
      <c r="J681" s="24"/>
    </row>
    <row r="682" spans="8:10" ht="12.75" x14ac:dyDescent="0.2">
      <c r="H682" s="39"/>
      <c r="I682" s="40"/>
      <c r="J682" s="24"/>
    </row>
    <row r="683" spans="8:10" ht="12.75" x14ac:dyDescent="0.2">
      <c r="H683" s="39"/>
      <c r="I683" s="40"/>
      <c r="J683" s="24"/>
    </row>
    <row r="684" spans="8:10" ht="12.75" x14ac:dyDescent="0.2">
      <c r="H684" s="39"/>
      <c r="I684" s="40"/>
      <c r="J684" s="24"/>
    </row>
    <row r="685" spans="8:10" ht="12.75" x14ac:dyDescent="0.2">
      <c r="H685" s="39"/>
      <c r="I685" s="40"/>
      <c r="J685" s="24"/>
    </row>
    <row r="686" spans="8:10" ht="12.75" x14ac:dyDescent="0.2">
      <c r="H686" s="39"/>
      <c r="I686" s="40"/>
      <c r="J686" s="24"/>
    </row>
    <row r="687" spans="8:10" ht="12.75" x14ac:dyDescent="0.2">
      <c r="H687" s="39"/>
      <c r="I687" s="40"/>
      <c r="J687" s="24"/>
    </row>
    <row r="688" spans="8:10" ht="12.75" x14ac:dyDescent="0.2">
      <c r="H688" s="39"/>
      <c r="I688" s="40"/>
      <c r="J688" s="24"/>
    </row>
    <row r="689" spans="8:10" ht="12.75" x14ac:dyDescent="0.2">
      <c r="H689" s="39"/>
      <c r="I689" s="40"/>
      <c r="J689" s="24"/>
    </row>
    <row r="690" spans="8:10" ht="12.75" x14ac:dyDescent="0.2">
      <c r="H690" s="39"/>
      <c r="I690" s="40"/>
      <c r="J690" s="24"/>
    </row>
    <row r="691" spans="8:10" ht="12.75" x14ac:dyDescent="0.2">
      <c r="H691" s="39"/>
      <c r="I691" s="40"/>
      <c r="J691" s="24"/>
    </row>
    <row r="692" spans="8:10" ht="12.75" x14ac:dyDescent="0.2">
      <c r="H692" s="39"/>
      <c r="I692" s="40"/>
      <c r="J692" s="24"/>
    </row>
    <row r="693" spans="8:10" ht="12.75" x14ac:dyDescent="0.2">
      <c r="H693" s="39"/>
      <c r="I693" s="40"/>
      <c r="J693" s="24"/>
    </row>
    <row r="694" spans="8:10" ht="12.75" x14ac:dyDescent="0.2">
      <c r="H694" s="39"/>
      <c r="I694" s="40"/>
      <c r="J694" s="24"/>
    </row>
    <row r="695" spans="8:10" ht="12.75" x14ac:dyDescent="0.2">
      <c r="H695" s="39"/>
      <c r="I695" s="40"/>
      <c r="J695" s="24"/>
    </row>
    <row r="696" spans="8:10" ht="12.75" x14ac:dyDescent="0.2">
      <c r="H696" s="39"/>
      <c r="I696" s="40"/>
      <c r="J696" s="24"/>
    </row>
    <row r="697" spans="8:10" ht="12.75" x14ac:dyDescent="0.2">
      <c r="H697" s="39"/>
      <c r="I697" s="40"/>
      <c r="J697" s="24"/>
    </row>
    <row r="698" spans="8:10" ht="12.75" x14ac:dyDescent="0.2">
      <c r="H698" s="39"/>
      <c r="I698" s="40"/>
      <c r="J698" s="24"/>
    </row>
    <row r="699" spans="8:10" ht="12.75" x14ac:dyDescent="0.2">
      <c r="H699" s="39"/>
      <c r="I699" s="40"/>
      <c r="J699" s="24"/>
    </row>
    <row r="700" spans="8:10" ht="12.75" x14ac:dyDescent="0.2">
      <c r="H700" s="39"/>
      <c r="I700" s="40"/>
      <c r="J700" s="24"/>
    </row>
    <row r="701" spans="8:10" ht="12.75" x14ac:dyDescent="0.2">
      <c r="H701" s="39"/>
      <c r="I701" s="40"/>
      <c r="J701" s="24"/>
    </row>
    <row r="702" spans="8:10" ht="12.75" x14ac:dyDescent="0.2">
      <c r="H702" s="39"/>
      <c r="I702" s="40"/>
      <c r="J702" s="24"/>
    </row>
    <row r="703" spans="8:10" ht="12.75" x14ac:dyDescent="0.2">
      <c r="H703" s="39"/>
      <c r="I703" s="40"/>
      <c r="J703" s="24"/>
    </row>
    <row r="704" spans="8:10" ht="12.75" x14ac:dyDescent="0.2">
      <c r="H704" s="39"/>
      <c r="I704" s="40"/>
      <c r="J704" s="24"/>
    </row>
    <row r="705" spans="8:10" ht="12.75" x14ac:dyDescent="0.2">
      <c r="H705" s="39"/>
      <c r="I705" s="40"/>
      <c r="J705" s="24"/>
    </row>
    <row r="706" spans="8:10" ht="12.75" x14ac:dyDescent="0.2">
      <c r="H706" s="39"/>
      <c r="I706" s="40"/>
      <c r="J706" s="24"/>
    </row>
    <row r="707" spans="8:10" ht="12.75" x14ac:dyDescent="0.2">
      <c r="H707" s="39"/>
      <c r="I707" s="40"/>
      <c r="J707" s="24"/>
    </row>
    <row r="708" spans="8:10" ht="12.75" x14ac:dyDescent="0.2">
      <c r="H708" s="39"/>
      <c r="I708" s="40"/>
      <c r="J708" s="24"/>
    </row>
    <row r="709" spans="8:10" ht="12.75" x14ac:dyDescent="0.2">
      <c r="H709" s="39"/>
      <c r="I709" s="40"/>
      <c r="J709" s="24"/>
    </row>
    <row r="710" spans="8:10" ht="12.75" x14ac:dyDescent="0.2">
      <c r="H710" s="39"/>
      <c r="I710" s="40"/>
      <c r="J710" s="24"/>
    </row>
    <row r="711" spans="8:10" ht="12.75" x14ac:dyDescent="0.2">
      <c r="H711" s="39"/>
      <c r="I711" s="40"/>
      <c r="J711" s="24"/>
    </row>
    <row r="712" spans="8:10" ht="12.75" x14ac:dyDescent="0.2">
      <c r="H712" s="39"/>
      <c r="I712" s="40"/>
      <c r="J712" s="24"/>
    </row>
    <row r="713" spans="8:10" ht="12.75" x14ac:dyDescent="0.2">
      <c r="H713" s="39"/>
      <c r="I713" s="40"/>
      <c r="J713" s="24"/>
    </row>
    <row r="714" spans="8:10" ht="12.75" x14ac:dyDescent="0.2">
      <c r="H714" s="39"/>
      <c r="I714" s="40"/>
      <c r="J714" s="24"/>
    </row>
    <row r="715" spans="8:10" ht="12.75" x14ac:dyDescent="0.2">
      <c r="H715" s="39"/>
      <c r="I715" s="40"/>
      <c r="J715" s="24"/>
    </row>
    <row r="716" spans="8:10" ht="12.75" x14ac:dyDescent="0.2">
      <c r="H716" s="39"/>
      <c r="I716" s="40"/>
      <c r="J716" s="24"/>
    </row>
    <row r="717" spans="8:10" ht="12.75" x14ac:dyDescent="0.2">
      <c r="H717" s="39"/>
      <c r="I717" s="40"/>
      <c r="J717" s="24"/>
    </row>
    <row r="718" spans="8:10" ht="12.75" x14ac:dyDescent="0.2">
      <c r="H718" s="39"/>
      <c r="I718" s="40"/>
      <c r="J718" s="24"/>
    </row>
    <row r="719" spans="8:10" ht="12.75" x14ac:dyDescent="0.2">
      <c r="H719" s="39"/>
      <c r="I719" s="40"/>
      <c r="J719" s="24"/>
    </row>
    <row r="720" spans="8:10" ht="12.75" x14ac:dyDescent="0.2">
      <c r="H720" s="39"/>
      <c r="I720" s="40"/>
      <c r="J720" s="24"/>
    </row>
    <row r="721" spans="8:10" ht="12.75" x14ac:dyDescent="0.2">
      <c r="H721" s="39"/>
      <c r="I721" s="40"/>
      <c r="J721" s="24"/>
    </row>
    <row r="722" spans="8:10" ht="12.75" x14ac:dyDescent="0.2">
      <c r="H722" s="39"/>
      <c r="I722" s="40"/>
      <c r="J722" s="24"/>
    </row>
    <row r="723" spans="8:10" ht="12.75" x14ac:dyDescent="0.2">
      <c r="H723" s="39"/>
      <c r="I723" s="40"/>
      <c r="J723" s="24"/>
    </row>
    <row r="724" spans="8:10" ht="12.75" x14ac:dyDescent="0.2">
      <c r="H724" s="39"/>
      <c r="I724" s="40"/>
      <c r="J724" s="24"/>
    </row>
    <row r="725" spans="8:10" ht="12.75" x14ac:dyDescent="0.2">
      <c r="H725" s="39"/>
      <c r="I725" s="40"/>
      <c r="J725" s="24"/>
    </row>
    <row r="726" spans="8:10" ht="12.75" x14ac:dyDescent="0.2">
      <c r="H726" s="39"/>
      <c r="I726" s="40"/>
      <c r="J726" s="24"/>
    </row>
    <row r="727" spans="8:10" ht="12.75" x14ac:dyDescent="0.2">
      <c r="H727" s="39"/>
      <c r="I727" s="40"/>
      <c r="J727" s="24"/>
    </row>
    <row r="728" spans="8:10" ht="12.75" x14ac:dyDescent="0.2">
      <c r="H728" s="39"/>
      <c r="I728" s="40"/>
      <c r="J728" s="24"/>
    </row>
    <row r="729" spans="8:10" ht="12.75" x14ac:dyDescent="0.2">
      <c r="H729" s="39"/>
      <c r="I729" s="40"/>
      <c r="J729" s="24"/>
    </row>
    <row r="730" spans="8:10" ht="12.75" x14ac:dyDescent="0.2">
      <c r="H730" s="39"/>
      <c r="I730" s="40"/>
      <c r="J730" s="24"/>
    </row>
    <row r="731" spans="8:10" ht="12.75" x14ac:dyDescent="0.2">
      <c r="H731" s="39"/>
      <c r="I731" s="40"/>
      <c r="J731" s="24"/>
    </row>
    <row r="732" spans="8:10" ht="12.75" x14ac:dyDescent="0.2">
      <c r="H732" s="39"/>
      <c r="I732" s="40"/>
      <c r="J732" s="24"/>
    </row>
    <row r="733" spans="8:10" ht="12.75" x14ac:dyDescent="0.2">
      <c r="H733" s="39"/>
      <c r="I733" s="40"/>
      <c r="J733" s="24"/>
    </row>
    <row r="734" spans="8:10" ht="12.75" x14ac:dyDescent="0.2">
      <c r="H734" s="39"/>
      <c r="I734" s="40"/>
      <c r="J734" s="24"/>
    </row>
    <row r="735" spans="8:10" ht="12.75" x14ac:dyDescent="0.2">
      <c r="H735" s="39"/>
      <c r="I735" s="40"/>
      <c r="J735" s="24"/>
    </row>
    <row r="736" spans="8:10" ht="12.75" x14ac:dyDescent="0.2">
      <c r="H736" s="39"/>
      <c r="I736" s="40"/>
      <c r="J736" s="24"/>
    </row>
    <row r="737" spans="8:10" ht="12.75" x14ac:dyDescent="0.2">
      <c r="H737" s="39"/>
      <c r="I737" s="40"/>
      <c r="J737" s="24"/>
    </row>
    <row r="738" spans="8:10" ht="12.75" x14ac:dyDescent="0.2">
      <c r="H738" s="39"/>
      <c r="I738" s="40"/>
      <c r="J738" s="24"/>
    </row>
    <row r="739" spans="8:10" ht="12.75" x14ac:dyDescent="0.2">
      <c r="H739" s="39"/>
      <c r="I739" s="40"/>
      <c r="J739" s="24"/>
    </row>
    <row r="740" spans="8:10" ht="12.75" x14ac:dyDescent="0.2">
      <c r="H740" s="39"/>
      <c r="I740" s="40"/>
      <c r="J740" s="24"/>
    </row>
    <row r="741" spans="8:10" ht="12.75" x14ac:dyDescent="0.2">
      <c r="H741" s="39"/>
      <c r="I741" s="40"/>
      <c r="J741" s="24"/>
    </row>
    <row r="742" spans="8:10" ht="12.75" x14ac:dyDescent="0.2">
      <c r="H742" s="39"/>
      <c r="I742" s="40"/>
      <c r="J742" s="24"/>
    </row>
    <row r="743" spans="8:10" ht="12.75" x14ac:dyDescent="0.2">
      <c r="H743" s="39"/>
      <c r="I743" s="40"/>
      <c r="J743" s="24"/>
    </row>
    <row r="744" spans="8:10" ht="12.75" x14ac:dyDescent="0.2">
      <c r="H744" s="39"/>
      <c r="I744" s="40"/>
      <c r="J744" s="24"/>
    </row>
    <row r="745" spans="8:10" ht="12.75" x14ac:dyDescent="0.2">
      <c r="H745" s="39"/>
      <c r="I745" s="40"/>
      <c r="J745" s="24"/>
    </row>
    <row r="746" spans="8:10" ht="12.75" x14ac:dyDescent="0.2">
      <c r="H746" s="39"/>
      <c r="I746" s="40"/>
      <c r="J746" s="24"/>
    </row>
    <row r="747" spans="8:10" ht="12.75" x14ac:dyDescent="0.2">
      <c r="H747" s="39"/>
      <c r="I747" s="40"/>
      <c r="J747" s="24"/>
    </row>
    <row r="748" spans="8:10" ht="12.75" x14ac:dyDescent="0.2">
      <c r="H748" s="39"/>
      <c r="I748" s="40"/>
      <c r="J748" s="24"/>
    </row>
    <row r="749" spans="8:10" ht="12.75" x14ac:dyDescent="0.2">
      <c r="H749" s="39"/>
      <c r="I749" s="40"/>
      <c r="J749" s="24"/>
    </row>
    <row r="750" spans="8:10" ht="12.75" x14ac:dyDescent="0.2">
      <c r="H750" s="39"/>
      <c r="I750" s="40"/>
      <c r="J750" s="24"/>
    </row>
    <row r="751" spans="8:10" ht="12.75" x14ac:dyDescent="0.2">
      <c r="H751" s="39"/>
      <c r="I751" s="40"/>
      <c r="J751" s="24"/>
    </row>
    <row r="752" spans="8:10" ht="12.75" x14ac:dyDescent="0.2">
      <c r="H752" s="39"/>
      <c r="I752" s="40"/>
      <c r="J752" s="24"/>
    </row>
    <row r="753" spans="8:10" ht="12.75" x14ac:dyDescent="0.2">
      <c r="H753" s="39"/>
      <c r="I753" s="40"/>
      <c r="J753" s="24"/>
    </row>
    <row r="754" spans="8:10" ht="12.75" x14ac:dyDescent="0.2">
      <c r="H754" s="39"/>
      <c r="I754" s="40"/>
      <c r="J754" s="24"/>
    </row>
    <row r="755" spans="8:10" ht="12.75" x14ac:dyDescent="0.2">
      <c r="H755" s="39"/>
      <c r="I755" s="40"/>
      <c r="J755" s="24"/>
    </row>
    <row r="756" spans="8:10" ht="12.75" x14ac:dyDescent="0.2">
      <c r="H756" s="39"/>
      <c r="I756" s="40"/>
      <c r="J756" s="24"/>
    </row>
    <row r="757" spans="8:10" ht="12.75" x14ac:dyDescent="0.2">
      <c r="H757" s="39"/>
      <c r="I757" s="40"/>
      <c r="J757" s="24"/>
    </row>
    <row r="758" spans="8:10" ht="12.75" x14ac:dyDescent="0.2">
      <c r="H758" s="39"/>
      <c r="I758" s="40"/>
      <c r="J758" s="24"/>
    </row>
    <row r="759" spans="8:10" ht="12.75" x14ac:dyDescent="0.2">
      <c r="H759" s="39"/>
      <c r="I759" s="40"/>
      <c r="J759" s="24"/>
    </row>
    <row r="760" spans="8:10" ht="12.75" x14ac:dyDescent="0.2">
      <c r="H760" s="39"/>
      <c r="I760" s="40"/>
      <c r="J760" s="24"/>
    </row>
    <row r="761" spans="8:10" ht="12.75" x14ac:dyDescent="0.2">
      <c r="H761" s="39"/>
      <c r="I761" s="40"/>
      <c r="J761" s="24"/>
    </row>
    <row r="762" spans="8:10" ht="12.75" x14ac:dyDescent="0.2">
      <c r="H762" s="39"/>
      <c r="I762" s="40"/>
      <c r="J762" s="24"/>
    </row>
    <row r="763" spans="8:10" ht="12.75" x14ac:dyDescent="0.2">
      <c r="H763" s="39"/>
      <c r="I763" s="40"/>
      <c r="J763" s="24"/>
    </row>
    <row r="764" spans="8:10" ht="12.75" x14ac:dyDescent="0.2">
      <c r="H764" s="39"/>
      <c r="I764" s="40"/>
      <c r="J764" s="24"/>
    </row>
    <row r="765" spans="8:10" ht="12.75" x14ac:dyDescent="0.2">
      <c r="H765" s="39"/>
      <c r="I765" s="40"/>
      <c r="J765" s="24"/>
    </row>
    <row r="766" spans="8:10" ht="12.75" x14ac:dyDescent="0.2">
      <c r="H766" s="39"/>
      <c r="I766" s="40"/>
      <c r="J766" s="24"/>
    </row>
    <row r="767" spans="8:10" ht="12.75" x14ac:dyDescent="0.2">
      <c r="H767" s="39"/>
      <c r="I767" s="40"/>
      <c r="J767" s="24"/>
    </row>
    <row r="768" spans="8:10" ht="12.75" x14ac:dyDescent="0.2">
      <c r="H768" s="39"/>
      <c r="I768" s="40"/>
      <c r="J768" s="24"/>
    </row>
    <row r="769" spans="8:10" ht="12.75" x14ac:dyDescent="0.2">
      <c r="H769" s="39"/>
      <c r="I769" s="40"/>
      <c r="J769" s="24"/>
    </row>
    <row r="770" spans="8:10" ht="12.75" x14ac:dyDescent="0.2">
      <c r="H770" s="39"/>
      <c r="I770" s="40"/>
      <c r="J770" s="24"/>
    </row>
    <row r="771" spans="8:10" ht="12.75" x14ac:dyDescent="0.2">
      <c r="H771" s="39"/>
      <c r="I771" s="40"/>
      <c r="J771" s="24"/>
    </row>
    <row r="772" spans="8:10" ht="12.75" x14ac:dyDescent="0.2">
      <c r="H772" s="39"/>
      <c r="I772" s="40"/>
      <c r="J772" s="24"/>
    </row>
    <row r="773" spans="8:10" ht="12.75" x14ac:dyDescent="0.2">
      <c r="H773" s="39"/>
      <c r="I773" s="40"/>
      <c r="J773" s="24"/>
    </row>
    <row r="774" spans="8:10" ht="12.75" x14ac:dyDescent="0.2">
      <c r="H774" s="39"/>
      <c r="I774" s="40"/>
      <c r="J774" s="24"/>
    </row>
    <row r="775" spans="8:10" ht="12.75" x14ac:dyDescent="0.2">
      <c r="H775" s="39"/>
      <c r="I775" s="40"/>
      <c r="J775" s="24"/>
    </row>
    <row r="776" spans="8:10" ht="12.75" x14ac:dyDescent="0.2">
      <c r="H776" s="39"/>
      <c r="I776" s="40"/>
      <c r="J776" s="24"/>
    </row>
    <row r="777" spans="8:10" ht="12.75" x14ac:dyDescent="0.2">
      <c r="H777" s="39"/>
      <c r="I777" s="40"/>
      <c r="J777" s="24"/>
    </row>
    <row r="778" spans="8:10" ht="12.75" x14ac:dyDescent="0.2">
      <c r="H778" s="39"/>
      <c r="I778" s="40"/>
      <c r="J778" s="24"/>
    </row>
    <row r="779" spans="8:10" ht="12.75" x14ac:dyDescent="0.2">
      <c r="H779" s="39"/>
      <c r="I779" s="40"/>
      <c r="J779" s="24"/>
    </row>
    <row r="780" spans="8:10" ht="12.75" x14ac:dyDescent="0.2">
      <c r="H780" s="39"/>
      <c r="I780" s="40"/>
      <c r="J780" s="24"/>
    </row>
    <row r="781" spans="8:10" ht="12.75" x14ac:dyDescent="0.2">
      <c r="H781" s="39"/>
      <c r="I781" s="40"/>
      <c r="J781" s="24"/>
    </row>
    <row r="782" spans="8:10" ht="12.75" x14ac:dyDescent="0.2">
      <c r="H782" s="39"/>
      <c r="I782" s="40"/>
      <c r="J782" s="24"/>
    </row>
    <row r="783" spans="8:10" ht="12.75" x14ac:dyDescent="0.2">
      <c r="H783" s="39"/>
      <c r="I783" s="40"/>
      <c r="J783" s="24"/>
    </row>
    <row r="784" spans="8:10" ht="12.75" x14ac:dyDescent="0.2">
      <c r="H784" s="39"/>
      <c r="I784" s="40"/>
      <c r="J784" s="24"/>
    </row>
    <row r="785" spans="8:10" ht="12.75" x14ac:dyDescent="0.2">
      <c r="H785" s="39"/>
      <c r="I785" s="40"/>
      <c r="J785" s="24"/>
    </row>
    <row r="786" spans="8:10" ht="12.75" x14ac:dyDescent="0.2">
      <c r="H786" s="39"/>
      <c r="I786" s="40"/>
      <c r="J786" s="24"/>
    </row>
    <row r="787" spans="8:10" ht="12.75" x14ac:dyDescent="0.2">
      <c r="H787" s="39"/>
      <c r="I787" s="40"/>
      <c r="J787" s="24"/>
    </row>
    <row r="788" spans="8:10" ht="12.75" x14ac:dyDescent="0.2">
      <c r="H788" s="39"/>
      <c r="I788" s="40"/>
      <c r="J788" s="24"/>
    </row>
    <row r="789" spans="8:10" ht="12.75" x14ac:dyDescent="0.2">
      <c r="H789" s="39"/>
      <c r="I789" s="40"/>
      <c r="J789" s="24"/>
    </row>
    <row r="790" spans="8:10" ht="12.75" x14ac:dyDescent="0.2">
      <c r="H790" s="39"/>
      <c r="I790" s="40"/>
      <c r="J790" s="24"/>
    </row>
    <row r="791" spans="8:10" ht="12.75" x14ac:dyDescent="0.2">
      <c r="H791" s="39"/>
      <c r="I791" s="40"/>
      <c r="J791" s="24"/>
    </row>
    <row r="792" spans="8:10" ht="12.75" x14ac:dyDescent="0.2">
      <c r="H792" s="39"/>
      <c r="I792" s="40"/>
      <c r="J792" s="24"/>
    </row>
    <row r="793" spans="8:10" ht="12.75" x14ac:dyDescent="0.2">
      <c r="H793" s="39"/>
      <c r="I793" s="40"/>
      <c r="J793" s="24"/>
    </row>
    <row r="794" spans="8:10" ht="12.75" x14ac:dyDescent="0.2">
      <c r="H794" s="39"/>
      <c r="I794" s="40"/>
      <c r="J794" s="24"/>
    </row>
    <row r="795" spans="8:10" ht="12.75" x14ac:dyDescent="0.2">
      <c r="H795" s="39"/>
      <c r="I795" s="40"/>
      <c r="J795" s="24"/>
    </row>
    <row r="796" spans="8:10" ht="12.75" x14ac:dyDescent="0.2">
      <c r="H796" s="39"/>
      <c r="I796" s="40"/>
      <c r="J796" s="24"/>
    </row>
    <row r="797" spans="8:10" ht="12.75" x14ac:dyDescent="0.2">
      <c r="H797" s="39"/>
      <c r="I797" s="40"/>
      <c r="J797" s="24"/>
    </row>
    <row r="798" spans="8:10" ht="12.75" x14ac:dyDescent="0.2">
      <c r="H798" s="39"/>
      <c r="I798" s="40"/>
      <c r="J798" s="24"/>
    </row>
    <row r="799" spans="8:10" ht="12.75" x14ac:dyDescent="0.2">
      <c r="H799" s="39"/>
      <c r="I799" s="40"/>
      <c r="J799" s="24"/>
    </row>
    <row r="800" spans="8:10" ht="12.75" x14ac:dyDescent="0.2">
      <c r="H800" s="39"/>
      <c r="I800" s="40"/>
      <c r="J800" s="24"/>
    </row>
    <row r="801" spans="8:10" ht="12.75" x14ac:dyDescent="0.2">
      <c r="H801" s="39"/>
      <c r="I801" s="40"/>
      <c r="J801" s="24"/>
    </row>
    <row r="802" spans="8:10" ht="12.75" x14ac:dyDescent="0.2">
      <c r="H802" s="39"/>
      <c r="I802" s="40"/>
      <c r="J802" s="24"/>
    </row>
    <row r="803" spans="8:10" ht="12.75" x14ac:dyDescent="0.2">
      <c r="H803" s="39"/>
      <c r="I803" s="40"/>
      <c r="J803" s="24"/>
    </row>
    <row r="804" spans="8:10" ht="12.75" x14ac:dyDescent="0.2">
      <c r="H804" s="39"/>
      <c r="I804" s="40"/>
      <c r="J804" s="24"/>
    </row>
    <row r="805" spans="8:10" ht="12.75" x14ac:dyDescent="0.2">
      <c r="H805" s="39"/>
      <c r="I805" s="40"/>
      <c r="J805" s="24"/>
    </row>
    <row r="806" spans="8:10" ht="12.75" x14ac:dyDescent="0.2">
      <c r="H806" s="39"/>
      <c r="I806" s="40"/>
      <c r="J806" s="24"/>
    </row>
    <row r="807" spans="8:10" ht="12.75" x14ac:dyDescent="0.2">
      <c r="H807" s="39"/>
      <c r="I807" s="40"/>
      <c r="J807" s="24"/>
    </row>
    <row r="808" spans="8:10" ht="12.75" x14ac:dyDescent="0.2">
      <c r="H808" s="39"/>
      <c r="I808" s="40"/>
      <c r="J808" s="24"/>
    </row>
    <row r="809" spans="8:10" ht="12.75" x14ac:dyDescent="0.2">
      <c r="H809" s="39"/>
      <c r="I809" s="40"/>
      <c r="J809" s="24"/>
    </row>
    <row r="810" spans="8:10" ht="12.75" x14ac:dyDescent="0.2">
      <c r="H810" s="39"/>
      <c r="I810" s="40"/>
      <c r="J810" s="24"/>
    </row>
    <row r="811" spans="8:10" ht="12.75" x14ac:dyDescent="0.2">
      <c r="H811" s="39"/>
      <c r="I811" s="40"/>
      <c r="J811" s="24"/>
    </row>
    <row r="812" spans="8:10" ht="12.75" x14ac:dyDescent="0.2">
      <c r="H812" s="39"/>
      <c r="I812" s="40"/>
      <c r="J812" s="24"/>
    </row>
    <row r="813" spans="8:10" ht="12.75" x14ac:dyDescent="0.2">
      <c r="H813" s="39"/>
      <c r="I813" s="40"/>
      <c r="J813" s="24"/>
    </row>
    <row r="814" spans="8:10" ht="12.75" x14ac:dyDescent="0.2">
      <c r="H814" s="39"/>
      <c r="I814" s="40"/>
      <c r="J814" s="24"/>
    </row>
    <row r="815" spans="8:10" ht="12.75" x14ac:dyDescent="0.2">
      <c r="H815" s="39"/>
      <c r="I815" s="40"/>
      <c r="J815" s="24"/>
    </row>
    <row r="816" spans="8:10" ht="12.75" x14ac:dyDescent="0.2">
      <c r="H816" s="39"/>
      <c r="I816" s="40"/>
      <c r="J816" s="24"/>
    </row>
    <row r="817" spans="8:10" ht="12.75" x14ac:dyDescent="0.2">
      <c r="H817" s="39"/>
      <c r="I817" s="40"/>
      <c r="J817" s="24"/>
    </row>
    <row r="818" spans="8:10" ht="12.75" x14ac:dyDescent="0.2">
      <c r="H818" s="39"/>
      <c r="I818" s="40"/>
      <c r="J818" s="24"/>
    </row>
    <row r="819" spans="8:10" ht="12.75" x14ac:dyDescent="0.2">
      <c r="H819" s="39"/>
      <c r="I819" s="40"/>
      <c r="J819" s="24"/>
    </row>
    <row r="820" spans="8:10" ht="12.75" x14ac:dyDescent="0.2">
      <c r="H820" s="39"/>
      <c r="I820" s="40"/>
      <c r="J820" s="24"/>
    </row>
    <row r="821" spans="8:10" ht="12.75" x14ac:dyDescent="0.2">
      <c r="H821" s="39"/>
      <c r="I821" s="40"/>
      <c r="J821" s="24"/>
    </row>
    <row r="822" spans="8:10" ht="12.75" x14ac:dyDescent="0.2">
      <c r="H822" s="39"/>
      <c r="I822" s="40"/>
      <c r="J822" s="24"/>
    </row>
    <row r="823" spans="8:10" ht="12.75" x14ac:dyDescent="0.2">
      <c r="H823" s="39"/>
      <c r="I823" s="40"/>
      <c r="J823" s="24"/>
    </row>
    <row r="824" spans="8:10" ht="12.75" x14ac:dyDescent="0.2">
      <c r="H824" s="39"/>
      <c r="I824" s="40"/>
      <c r="J824" s="24"/>
    </row>
    <row r="825" spans="8:10" ht="12.75" x14ac:dyDescent="0.2">
      <c r="H825" s="39"/>
      <c r="I825" s="40"/>
      <c r="J825" s="24"/>
    </row>
    <row r="826" spans="8:10" ht="12.75" x14ac:dyDescent="0.2">
      <c r="H826" s="39"/>
      <c r="I826" s="40"/>
      <c r="J826" s="24"/>
    </row>
    <row r="827" spans="8:10" ht="12.75" x14ac:dyDescent="0.2">
      <c r="H827" s="39"/>
      <c r="I827" s="40"/>
      <c r="J827" s="24"/>
    </row>
    <row r="828" spans="8:10" ht="12.75" x14ac:dyDescent="0.2">
      <c r="H828" s="39"/>
      <c r="I828" s="40"/>
      <c r="J828" s="24"/>
    </row>
    <row r="829" spans="8:10" ht="12.75" x14ac:dyDescent="0.2">
      <c r="H829" s="39"/>
      <c r="I829" s="40"/>
      <c r="J829" s="24"/>
    </row>
    <row r="830" spans="8:10" ht="12.75" x14ac:dyDescent="0.2">
      <c r="H830" s="39"/>
      <c r="I830" s="40"/>
      <c r="J830" s="24"/>
    </row>
    <row r="831" spans="8:10" ht="12.75" x14ac:dyDescent="0.2">
      <c r="H831" s="39"/>
      <c r="I831" s="40"/>
      <c r="J831" s="24"/>
    </row>
    <row r="832" spans="8:10" ht="12.75" x14ac:dyDescent="0.2">
      <c r="H832" s="39"/>
      <c r="I832" s="40"/>
      <c r="J832" s="24"/>
    </row>
    <row r="833" spans="8:10" ht="12.75" x14ac:dyDescent="0.2">
      <c r="H833" s="39"/>
      <c r="I833" s="40"/>
      <c r="J833" s="24"/>
    </row>
    <row r="834" spans="8:10" ht="12.75" x14ac:dyDescent="0.2">
      <c r="H834" s="39"/>
      <c r="I834" s="40"/>
      <c r="J834" s="24"/>
    </row>
    <row r="835" spans="8:10" ht="12.75" x14ac:dyDescent="0.2">
      <c r="H835" s="39"/>
      <c r="I835" s="40"/>
      <c r="J835" s="24"/>
    </row>
    <row r="836" spans="8:10" ht="12.75" x14ac:dyDescent="0.2">
      <c r="H836" s="39"/>
      <c r="I836" s="40"/>
      <c r="J836" s="24"/>
    </row>
    <row r="837" spans="8:10" ht="12.75" x14ac:dyDescent="0.2">
      <c r="H837" s="39"/>
      <c r="I837" s="40"/>
      <c r="J837" s="24"/>
    </row>
    <row r="838" spans="8:10" ht="12.75" x14ac:dyDescent="0.2">
      <c r="H838" s="39"/>
      <c r="I838" s="40"/>
      <c r="J838" s="24"/>
    </row>
    <row r="839" spans="8:10" ht="12.75" x14ac:dyDescent="0.2">
      <c r="H839" s="39"/>
      <c r="I839" s="40"/>
      <c r="J839" s="24"/>
    </row>
    <row r="840" spans="8:10" ht="12.75" x14ac:dyDescent="0.2">
      <c r="H840" s="39"/>
      <c r="I840" s="40"/>
      <c r="J840" s="24"/>
    </row>
    <row r="841" spans="8:10" ht="12.75" x14ac:dyDescent="0.2">
      <c r="H841" s="39"/>
      <c r="I841" s="40"/>
      <c r="J841" s="24"/>
    </row>
    <row r="842" spans="8:10" ht="12.75" x14ac:dyDescent="0.2">
      <c r="H842" s="39"/>
      <c r="I842" s="40"/>
      <c r="J842" s="24"/>
    </row>
    <row r="843" spans="8:10" ht="12.75" x14ac:dyDescent="0.2">
      <c r="H843" s="39"/>
      <c r="I843" s="40"/>
      <c r="J843" s="24"/>
    </row>
    <row r="844" spans="8:10" ht="12.75" x14ac:dyDescent="0.2">
      <c r="H844" s="39"/>
      <c r="I844" s="40"/>
      <c r="J844" s="24"/>
    </row>
    <row r="845" spans="8:10" ht="12.75" x14ac:dyDescent="0.2">
      <c r="H845" s="39"/>
      <c r="I845" s="40"/>
      <c r="J845" s="24"/>
    </row>
    <row r="846" spans="8:10" ht="12.75" x14ac:dyDescent="0.2">
      <c r="H846" s="39"/>
      <c r="I846" s="40"/>
      <c r="J846" s="24"/>
    </row>
    <row r="847" spans="8:10" ht="12.75" x14ac:dyDescent="0.2">
      <c r="H847" s="39"/>
      <c r="I847" s="40"/>
      <c r="J847" s="24"/>
    </row>
    <row r="848" spans="8:10" ht="12.75" x14ac:dyDescent="0.2">
      <c r="H848" s="39"/>
      <c r="I848" s="40"/>
      <c r="J848" s="24"/>
    </row>
    <row r="849" spans="8:10" ht="12.75" x14ac:dyDescent="0.2">
      <c r="H849" s="39"/>
      <c r="I849" s="40"/>
      <c r="J849" s="24"/>
    </row>
    <row r="850" spans="8:10" ht="12.75" x14ac:dyDescent="0.2">
      <c r="H850" s="39"/>
      <c r="I850" s="40"/>
      <c r="J850" s="24"/>
    </row>
    <row r="851" spans="8:10" ht="12.75" x14ac:dyDescent="0.2">
      <c r="H851" s="39"/>
      <c r="I851" s="40"/>
      <c r="J851" s="24"/>
    </row>
    <row r="852" spans="8:10" ht="12.75" x14ac:dyDescent="0.2">
      <c r="H852" s="39"/>
      <c r="I852" s="40"/>
      <c r="J852" s="24"/>
    </row>
    <row r="853" spans="8:10" ht="12.75" x14ac:dyDescent="0.2">
      <c r="H853" s="39"/>
      <c r="I853" s="40"/>
      <c r="J853" s="24"/>
    </row>
    <row r="854" spans="8:10" ht="12.75" x14ac:dyDescent="0.2">
      <c r="H854" s="39"/>
      <c r="I854" s="40"/>
      <c r="J854" s="24"/>
    </row>
    <row r="855" spans="8:10" ht="12.75" x14ac:dyDescent="0.2">
      <c r="H855" s="39"/>
      <c r="I855" s="40"/>
      <c r="J855" s="24"/>
    </row>
    <row r="856" spans="8:10" ht="12.75" x14ac:dyDescent="0.2">
      <c r="H856" s="39"/>
      <c r="I856" s="40"/>
      <c r="J856" s="24"/>
    </row>
    <row r="857" spans="8:10" ht="12.75" x14ac:dyDescent="0.2">
      <c r="H857" s="39"/>
      <c r="I857" s="40"/>
      <c r="J857" s="24"/>
    </row>
    <row r="858" spans="8:10" ht="12.75" x14ac:dyDescent="0.2">
      <c r="H858" s="39"/>
      <c r="I858" s="40"/>
      <c r="J858" s="24"/>
    </row>
    <row r="859" spans="8:10" ht="12.75" x14ac:dyDescent="0.2">
      <c r="H859" s="39"/>
      <c r="I859" s="40"/>
      <c r="J859" s="24"/>
    </row>
    <row r="860" spans="8:10" ht="12.75" x14ac:dyDescent="0.2">
      <c r="H860" s="39"/>
      <c r="I860" s="40"/>
      <c r="J860" s="24"/>
    </row>
    <row r="861" spans="8:10" ht="12.75" x14ac:dyDescent="0.2">
      <c r="H861" s="39"/>
      <c r="I861" s="40"/>
      <c r="J861" s="24"/>
    </row>
    <row r="862" spans="8:10" ht="12.75" x14ac:dyDescent="0.2">
      <c r="H862" s="39"/>
      <c r="I862" s="40"/>
      <c r="J862" s="24"/>
    </row>
    <row r="863" spans="8:10" ht="12.75" x14ac:dyDescent="0.2">
      <c r="H863" s="39"/>
      <c r="I863" s="40"/>
      <c r="J863" s="24"/>
    </row>
    <row r="864" spans="8:10" ht="12.75" x14ac:dyDescent="0.2">
      <c r="H864" s="39"/>
      <c r="I864" s="40"/>
      <c r="J864" s="24"/>
    </row>
    <row r="865" spans="8:10" ht="12.75" x14ac:dyDescent="0.2">
      <c r="H865" s="39"/>
      <c r="I865" s="40"/>
      <c r="J865" s="24"/>
    </row>
    <row r="866" spans="8:10" ht="12.75" x14ac:dyDescent="0.2">
      <c r="H866" s="39"/>
      <c r="I866" s="40"/>
      <c r="J866" s="24"/>
    </row>
    <row r="867" spans="8:10" ht="12.75" x14ac:dyDescent="0.2">
      <c r="H867" s="39"/>
      <c r="I867" s="40"/>
      <c r="J867" s="24"/>
    </row>
    <row r="868" spans="8:10" ht="12.75" x14ac:dyDescent="0.2">
      <c r="H868" s="39"/>
      <c r="I868" s="40"/>
      <c r="J868" s="24"/>
    </row>
    <row r="869" spans="8:10" ht="12.75" x14ac:dyDescent="0.2">
      <c r="H869" s="39"/>
      <c r="I869" s="40"/>
      <c r="J869" s="24"/>
    </row>
    <row r="870" spans="8:10" ht="12.75" x14ac:dyDescent="0.2">
      <c r="H870" s="39"/>
      <c r="I870" s="40"/>
      <c r="J870" s="24"/>
    </row>
    <row r="871" spans="8:10" ht="12.75" x14ac:dyDescent="0.2">
      <c r="H871" s="39"/>
      <c r="I871" s="40"/>
      <c r="J871" s="24"/>
    </row>
    <row r="872" spans="8:10" ht="12.75" x14ac:dyDescent="0.2">
      <c r="H872" s="39"/>
      <c r="I872" s="40"/>
      <c r="J872" s="24"/>
    </row>
    <row r="873" spans="8:10" ht="12.75" x14ac:dyDescent="0.2">
      <c r="H873" s="39"/>
      <c r="I873" s="40"/>
      <c r="J873" s="24"/>
    </row>
    <row r="874" spans="8:10" ht="12.75" x14ac:dyDescent="0.2">
      <c r="H874" s="39"/>
      <c r="I874" s="40"/>
      <c r="J874" s="24"/>
    </row>
    <row r="875" spans="8:10" ht="12.75" x14ac:dyDescent="0.2">
      <c r="H875" s="39"/>
      <c r="I875" s="40"/>
      <c r="J875" s="24"/>
    </row>
    <row r="876" spans="8:10" ht="12.75" x14ac:dyDescent="0.2">
      <c r="H876" s="39"/>
      <c r="I876" s="40"/>
      <c r="J876" s="24"/>
    </row>
    <row r="877" spans="8:10" ht="12.75" x14ac:dyDescent="0.2">
      <c r="H877" s="39"/>
      <c r="I877" s="40"/>
      <c r="J877" s="24"/>
    </row>
    <row r="878" spans="8:10" ht="12.75" x14ac:dyDescent="0.2">
      <c r="H878" s="39"/>
      <c r="I878" s="40"/>
      <c r="J878" s="24"/>
    </row>
    <row r="879" spans="8:10" ht="12.75" x14ac:dyDescent="0.2">
      <c r="H879" s="39"/>
      <c r="I879" s="40"/>
      <c r="J879" s="24"/>
    </row>
    <row r="880" spans="8:10" ht="12.75" x14ac:dyDescent="0.2">
      <c r="H880" s="39"/>
      <c r="I880" s="40"/>
      <c r="J880" s="24"/>
    </row>
    <row r="881" spans="8:10" ht="12.75" x14ac:dyDescent="0.2">
      <c r="H881" s="39"/>
      <c r="I881" s="40"/>
      <c r="J881" s="24"/>
    </row>
    <row r="882" spans="8:10" ht="12.75" x14ac:dyDescent="0.2">
      <c r="H882" s="39"/>
      <c r="I882" s="40"/>
      <c r="J882" s="24"/>
    </row>
    <row r="883" spans="8:10" ht="12.75" x14ac:dyDescent="0.2">
      <c r="H883" s="39"/>
      <c r="I883" s="40"/>
      <c r="J883" s="24"/>
    </row>
    <row r="884" spans="8:10" ht="12.75" x14ac:dyDescent="0.2">
      <c r="H884" s="39"/>
      <c r="I884" s="40"/>
      <c r="J884" s="24"/>
    </row>
    <row r="885" spans="8:10" ht="12.75" x14ac:dyDescent="0.2">
      <c r="H885" s="39"/>
      <c r="I885" s="40"/>
      <c r="J885" s="24"/>
    </row>
    <row r="886" spans="8:10" ht="12.75" x14ac:dyDescent="0.2">
      <c r="H886" s="39"/>
      <c r="I886" s="40"/>
      <c r="J886" s="24"/>
    </row>
    <row r="887" spans="8:10" ht="12.75" x14ac:dyDescent="0.2">
      <c r="H887" s="39"/>
      <c r="I887" s="40"/>
      <c r="J887" s="24"/>
    </row>
    <row r="888" spans="8:10" ht="12.75" x14ac:dyDescent="0.2">
      <c r="H888" s="39"/>
      <c r="I888" s="40"/>
      <c r="J888" s="24"/>
    </row>
    <row r="889" spans="8:10" ht="12.75" x14ac:dyDescent="0.2">
      <c r="H889" s="39"/>
      <c r="I889" s="40"/>
      <c r="J889" s="24"/>
    </row>
    <row r="890" spans="8:10" ht="12.75" x14ac:dyDescent="0.2">
      <c r="H890" s="39"/>
      <c r="I890" s="40"/>
      <c r="J890" s="24"/>
    </row>
    <row r="891" spans="8:10" ht="12.75" x14ac:dyDescent="0.2">
      <c r="H891" s="39"/>
      <c r="I891" s="40"/>
      <c r="J891" s="24"/>
    </row>
    <row r="892" spans="8:10" ht="12.75" x14ac:dyDescent="0.2">
      <c r="H892" s="39"/>
      <c r="I892" s="40"/>
      <c r="J892" s="24"/>
    </row>
    <row r="893" spans="8:10" ht="12.75" x14ac:dyDescent="0.2">
      <c r="H893" s="39"/>
      <c r="I893" s="40"/>
      <c r="J893" s="24"/>
    </row>
    <row r="894" spans="8:10" ht="12.75" x14ac:dyDescent="0.2">
      <c r="H894" s="39"/>
      <c r="I894" s="40"/>
      <c r="J894" s="24"/>
    </row>
    <row r="895" spans="8:10" ht="12.75" x14ac:dyDescent="0.2">
      <c r="H895" s="39"/>
      <c r="I895" s="40"/>
      <c r="J895" s="24"/>
    </row>
    <row r="896" spans="8:10" ht="12.75" x14ac:dyDescent="0.2">
      <c r="H896" s="39"/>
      <c r="I896" s="40"/>
      <c r="J896" s="24"/>
    </row>
    <row r="897" spans="8:10" ht="12.75" x14ac:dyDescent="0.2">
      <c r="H897" s="39"/>
      <c r="I897" s="40"/>
      <c r="J897" s="24"/>
    </row>
    <row r="898" spans="8:10" ht="12.75" x14ac:dyDescent="0.2">
      <c r="H898" s="39"/>
      <c r="I898" s="40"/>
      <c r="J898" s="24"/>
    </row>
    <row r="899" spans="8:10" ht="12.75" x14ac:dyDescent="0.2">
      <c r="H899" s="39"/>
      <c r="I899" s="40"/>
      <c r="J899" s="24"/>
    </row>
    <row r="900" spans="8:10" ht="12.75" x14ac:dyDescent="0.2">
      <c r="H900" s="39"/>
      <c r="I900" s="40"/>
      <c r="J900" s="24"/>
    </row>
    <row r="901" spans="8:10" ht="12.75" x14ac:dyDescent="0.2">
      <c r="H901" s="39"/>
      <c r="I901" s="40"/>
      <c r="J901" s="24"/>
    </row>
    <row r="902" spans="8:10" ht="12.75" x14ac:dyDescent="0.2">
      <c r="H902" s="39"/>
      <c r="I902" s="40"/>
      <c r="J902" s="24"/>
    </row>
    <row r="903" spans="8:10" ht="12.75" x14ac:dyDescent="0.2">
      <c r="H903" s="39"/>
      <c r="I903" s="40"/>
      <c r="J903" s="24"/>
    </row>
    <row r="904" spans="8:10" ht="12.75" x14ac:dyDescent="0.2">
      <c r="H904" s="39"/>
      <c r="I904" s="40"/>
      <c r="J904" s="24"/>
    </row>
    <row r="905" spans="8:10" ht="12.75" x14ac:dyDescent="0.2">
      <c r="H905" s="39"/>
      <c r="I905" s="40"/>
      <c r="J905" s="24"/>
    </row>
    <row r="906" spans="8:10" ht="12.75" x14ac:dyDescent="0.2">
      <c r="H906" s="39"/>
      <c r="I906" s="40"/>
      <c r="J906" s="24"/>
    </row>
    <row r="907" spans="8:10" ht="12.75" x14ac:dyDescent="0.2">
      <c r="H907" s="39"/>
      <c r="I907" s="40"/>
      <c r="J907" s="24"/>
    </row>
    <row r="908" spans="8:10" ht="12.75" x14ac:dyDescent="0.2">
      <c r="H908" s="39"/>
      <c r="I908" s="40"/>
      <c r="J908" s="24"/>
    </row>
    <row r="909" spans="8:10" ht="12.75" x14ac:dyDescent="0.2">
      <c r="H909" s="39"/>
      <c r="I909" s="40"/>
      <c r="J909" s="24"/>
    </row>
    <row r="910" spans="8:10" ht="12.75" x14ac:dyDescent="0.2">
      <c r="H910" s="39"/>
      <c r="I910" s="40"/>
      <c r="J910" s="24"/>
    </row>
    <row r="911" spans="8:10" ht="12.75" x14ac:dyDescent="0.2">
      <c r="H911" s="39"/>
      <c r="I911" s="40"/>
      <c r="J911" s="24"/>
    </row>
    <row r="912" spans="8:10" ht="12.75" x14ac:dyDescent="0.2">
      <c r="H912" s="39"/>
      <c r="I912" s="40"/>
      <c r="J912" s="24"/>
    </row>
    <row r="913" spans="8:10" ht="12.75" x14ac:dyDescent="0.2">
      <c r="H913" s="39"/>
      <c r="I913" s="40"/>
      <c r="J913" s="24"/>
    </row>
    <row r="914" spans="8:10" ht="12.75" x14ac:dyDescent="0.2">
      <c r="H914" s="39"/>
      <c r="I914" s="40"/>
      <c r="J914" s="24"/>
    </row>
    <row r="915" spans="8:10" ht="12.75" x14ac:dyDescent="0.2">
      <c r="H915" s="39"/>
      <c r="I915" s="40"/>
      <c r="J915" s="24"/>
    </row>
    <row r="916" spans="8:10" ht="12.75" x14ac:dyDescent="0.2">
      <c r="H916" s="39"/>
      <c r="I916" s="40"/>
      <c r="J916" s="24"/>
    </row>
    <row r="917" spans="8:10" ht="12.75" x14ac:dyDescent="0.2">
      <c r="H917" s="39"/>
      <c r="I917" s="40"/>
      <c r="J917" s="24"/>
    </row>
    <row r="918" spans="8:10" ht="12.75" x14ac:dyDescent="0.2">
      <c r="H918" s="39"/>
      <c r="I918" s="40"/>
      <c r="J918" s="24"/>
    </row>
    <row r="919" spans="8:10" ht="12.75" x14ac:dyDescent="0.2">
      <c r="H919" s="39"/>
      <c r="I919" s="40"/>
      <c r="J919" s="24"/>
    </row>
    <row r="920" spans="8:10" ht="12.75" x14ac:dyDescent="0.2">
      <c r="H920" s="39"/>
      <c r="I920" s="40"/>
      <c r="J920" s="24"/>
    </row>
    <row r="921" spans="8:10" ht="12.75" x14ac:dyDescent="0.2">
      <c r="H921" s="39"/>
      <c r="I921" s="40"/>
      <c r="J921" s="24"/>
    </row>
    <row r="922" spans="8:10" ht="12.75" x14ac:dyDescent="0.2">
      <c r="H922" s="39"/>
      <c r="I922" s="40"/>
      <c r="J922" s="24"/>
    </row>
    <row r="923" spans="8:10" ht="12.75" x14ac:dyDescent="0.2">
      <c r="H923" s="39"/>
      <c r="I923" s="40"/>
      <c r="J923" s="24"/>
    </row>
    <row r="924" spans="8:10" ht="12.75" x14ac:dyDescent="0.2">
      <c r="H924" s="39"/>
      <c r="I924" s="40"/>
      <c r="J924" s="24"/>
    </row>
    <row r="925" spans="8:10" ht="12.75" x14ac:dyDescent="0.2">
      <c r="H925" s="39"/>
      <c r="I925" s="40"/>
      <c r="J925" s="24"/>
    </row>
    <row r="926" spans="8:10" ht="12.75" x14ac:dyDescent="0.2">
      <c r="H926" s="39"/>
      <c r="I926" s="40"/>
      <c r="J926" s="24"/>
    </row>
    <row r="927" spans="8:10" ht="12.75" x14ac:dyDescent="0.2">
      <c r="H927" s="39"/>
      <c r="I927" s="40"/>
      <c r="J927" s="24"/>
    </row>
    <row r="928" spans="8:10" ht="12.75" x14ac:dyDescent="0.2">
      <c r="H928" s="39"/>
      <c r="I928" s="40"/>
      <c r="J928" s="24"/>
    </row>
    <row r="929" spans="8:10" ht="12.75" x14ac:dyDescent="0.2">
      <c r="H929" s="39"/>
      <c r="I929" s="40"/>
      <c r="J929" s="24"/>
    </row>
    <row r="930" spans="8:10" ht="12.75" x14ac:dyDescent="0.2">
      <c r="H930" s="39"/>
      <c r="I930" s="40"/>
      <c r="J930" s="24"/>
    </row>
    <row r="931" spans="8:10" ht="12.75" x14ac:dyDescent="0.2">
      <c r="H931" s="39"/>
      <c r="I931" s="40"/>
      <c r="J931" s="24"/>
    </row>
    <row r="932" spans="8:10" ht="12.75" x14ac:dyDescent="0.2">
      <c r="H932" s="39"/>
      <c r="I932" s="40"/>
      <c r="J932" s="24"/>
    </row>
    <row r="933" spans="8:10" ht="12.75" x14ac:dyDescent="0.2">
      <c r="H933" s="39"/>
      <c r="I933" s="40"/>
      <c r="J933" s="24"/>
    </row>
    <row r="934" spans="8:10" ht="12.75" x14ac:dyDescent="0.2">
      <c r="H934" s="39"/>
      <c r="I934" s="40"/>
      <c r="J934" s="24"/>
    </row>
    <row r="935" spans="8:10" ht="12.75" x14ac:dyDescent="0.2">
      <c r="H935" s="39"/>
      <c r="I935" s="40"/>
      <c r="J935" s="24"/>
    </row>
    <row r="936" spans="8:10" ht="12.75" x14ac:dyDescent="0.2">
      <c r="H936" s="39"/>
      <c r="I936" s="40"/>
      <c r="J936" s="24"/>
    </row>
    <row r="937" spans="8:10" ht="12.75" x14ac:dyDescent="0.2">
      <c r="H937" s="39"/>
      <c r="I937" s="40"/>
      <c r="J937" s="24"/>
    </row>
    <row r="938" spans="8:10" ht="12.75" x14ac:dyDescent="0.2">
      <c r="H938" s="39"/>
      <c r="I938" s="40"/>
      <c r="J938" s="24"/>
    </row>
    <row r="939" spans="8:10" ht="12.75" x14ac:dyDescent="0.2">
      <c r="H939" s="39"/>
      <c r="I939" s="40"/>
      <c r="J939" s="24"/>
    </row>
    <row r="940" spans="8:10" ht="12.75" x14ac:dyDescent="0.2">
      <c r="H940" s="39"/>
      <c r="I940" s="40"/>
      <c r="J940" s="24"/>
    </row>
    <row r="941" spans="8:10" ht="12.75" x14ac:dyDescent="0.2">
      <c r="H941" s="39"/>
      <c r="I941" s="40"/>
      <c r="J941" s="24"/>
    </row>
    <row r="942" spans="8:10" ht="12.75" x14ac:dyDescent="0.2">
      <c r="H942" s="39"/>
      <c r="I942" s="40"/>
      <c r="J942" s="24"/>
    </row>
    <row r="943" spans="8:10" ht="12.75" x14ac:dyDescent="0.2">
      <c r="H943" s="39"/>
      <c r="I943" s="40"/>
      <c r="J943" s="24"/>
    </row>
    <row r="944" spans="8:10" ht="12.75" x14ac:dyDescent="0.2">
      <c r="H944" s="39"/>
      <c r="I944" s="40"/>
      <c r="J944" s="24"/>
    </row>
    <row r="945" spans="8:10" ht="12.75" x14ac:dyDescent="0.2">
      <c r="H945" s="39"/>
      <c r="I945" s="40"/>
      <c r="J945" s="24"/>
    </row>
    <row r="946" spans="8:10" ht="12.75" x14ac:dyDescent="0.2">
      <c r="H946" s="39"/>
      <c r="I946" s="40"/>
      <c r="J946" s="24"/>
    </row>
    <row r="947" spans="8:10" ht="12.75" x14ac:dyDescent="0.2">
      <c r="H947" s="39"/>
      <c r="I947" s="40"/>
      <c r="J947" s="24"/>
    </row>
    <row r="948" spans="8:10" ht="12.75" x14ac:dyDescent="0.2">
      <c r="H948" s="39"/>
      <c r="I948" s="40"/>
      <c r="J948" s="24"/>
    </row>
    <row r="949" spans="8:10" ht="12.75" x14ac:dyDescent="0.2">
      <c r="H949" s="39"/>
      <c r="I949" s="40"/>
      <c r="J949" s="24"/>
    </row>
    <row r="950" spans="8:10" ht="12.75" x14ac:dyDescent="0.2">
      <c r="H950" s="39"/>
      <c r="I950" s="40"/>
      <c r="J950" s="24"/>
    </row>
    <row r="951" spans="8:10" ht="12.75" x14ac:dyDescent="0.2">
      <c r="H951" s="39"/>
      <c r="I951" s="40"/>
      <c r="J951" s="24"/>
    </row>
    <row r="952" spans="8:10" ht="12.75" x14ac:dyDescent="0.2">
      <c r="H952" s="39"/>
      <c r="I952" s="40"/>
      <c r="J952" s="24"/>
    </row>
    <row r="953" spans="8:10" ht="12.75" x14ac:dyDescent="0.2">
      <c r="H953" s="39"/>
      <c r="I953" s="40"/>
      <c r="J953" s="24"/>
    </row>
    <row r="954" spans="8:10" ht="12.75" x14ac:dyDescent="0.2">
      <c r="H954" s="39"/>
      <c r="I954" s="40"/>
      <c r="J954" s="24"/>
    </row>
    <row r="955" spans="8:10" ht="12.75" x14ac:dyDescent="0.2">
      <c r="H955" s="39"/>
      <c r="I955" s="40"/>
      <c r="J955" s="24"/>
    </row>
    <row r="956" spans="8:10" ht="12.75" x14ac:dyDescent="0.2">
      <c r="H956" s="39"/>
      <c r="I956" s="40"/>
      <c r="J956" s="24"/>
    </row>
    <row r="957" spans="8:10" ht="12.75" x14ac:dyDescent="0.2">
      <c r="H957" s="39"/>
      <c r="I957" s="40"/>
      <c r="J957" s="24"/>
    </row>
    <row r="958" spans="8:10" ht="12.75" x14ac:dyDescent="0.2">
      <c r="H958" s="39"/>
      <c r="I958" s="40"/>
      <c r="J958" s="24"/>
    </row>
    <row r="959" spans="8:10" ht="12.75" x14ac:dyDescent="0.2">
      <c r="H959" s="39"/>
      <c r="I959" s="40"/>
      <c r="J959" s="24"/>
    </row>
    <row r="960" spans="8:10" ht="12.75" x14ac:dyDescent="0.2">
      <c r="H960" s="39"/>
      <c r="I960" s="40"/>
      <c r="J960" s="24"/>
    </row>
    <row r="961" spans="8:10" ht="12.75" x14ac:dyDescent="0.2">
      <c r="H961" s="39"/>
      <c r="I961" s="40"/>
      <c r="J961" s="24"/>
    </row>
    <row r="962" spans="8:10" ht="12.75" x14ac:dyDescent="0.2">
      <c r="H962" s="39"/>
      <c r="I962" s="40"/>
      <c r="J962" s="24"/>
    </row>
    <row r="963" spans="8:10" ht="12.75" x14ac:dyDescent="0.2">
      <c r="H963" s="39"/>
      <c r="I963" s="40"/>
      <c r="J963" s="24"/>
    </row>
    <row r="964" spans="8:10" ht="12.75" x14ac:dyDescent="0.2">
      <c r="H964" s="39"/>
      <c r="I964" s="40"/>
      <c r="J964" s="24"/>
    </row>
    <row r="965" spans="8:10" ht="12.75" x14ac:dyDescent="0.2">
      <c r="H965" s="39"/>
      <c r="I965" s="40"/>
      <c r="J965" s="24"/>
    </row>
    <row r="966" spans="8:10" ht="12.75" x14ac:dyDescent="0.2">
      <c r="H966" s="39"/>
      <c r="I966" s="40"/>
      <c r="J966" s="24"/>
    </row>
    <row r="967" spans="8:10" ht="12.75" x14ac:dyDescent="0.2">
      <c r="H967" s="39"/>
      <c r="I967" s="40"/>
      <c r="J967" s="24"/>
    </row>
    <row r="968" spans="8:10" ht="12.75" x14ac:dyDescent="0.2">
      <c r="H968" s="39"/>
      <c r="I968" s="40"/>
      <c r="J968" s="24"/>
    </row>
    <row r="969" spans="8:10" ht="12.75" x14ac:dyDescent="0.2">
      <c r="H969" s="39"/>
      <c r="I969" s="40"/>
      <c r="J969" s="24"/>
    </row>
    <row r="970" spans="8:10" ht="12.75" x14ac:dyDescent="0.2">
      <c r="H970" s="39"/>
      <c r="I970" s="40"/>
      <c r="J970" s="24"/>
    </row>
    <row r="971" spans="8:10" ht="12.75" x14ac:dyDescent="0.2">
      <c r="H971" s="39"/>
      <c r="I971" s="40"/>
      <c r="J971" s="24"/>
    </row>
    <row r="972" spans="8:10" ht="12.75" x14ac:dyDescent="0.2">
      <c r="H972" s="39"/>
      <c r="I972" s="40"/>
      <c r="J972" s="24"/>
    </row>
    <row r="973" spans="8:10" ht="12.75" x14ac:dyDescent="0.2">
      <c r="H973" s="39"/>
      <c r="I973" s="40"/>
      <c r="J973" s="24"/>
    </row>
    <row r="974" spans="8:10" ht="12.75" x14ac:dyDescent="0.2">
      <c r="H974" s="39"/>
      <c r="I974" s="40"/>
      <c r="J974" s="24"/>
    </row>
    <row r="975" spans="8:10" ht="12.75" x14ac:dyDescent="0.2">
      <c r="H975" s="39"/>
      <c r="I975" s="40"/>
      <c r="J975" s="24"/>
    </row>
    <row r="976" spans="8:10" ht="12.75" x14ac:dyDescent="0.2">
      <c r="H976" s="39"/>
      <c r="I976" s="40"/>
      <c r="J976" s="24"/>
    </row>
    <row r="977" spans="8:10" ht="12.75" x14ac:dyDescent="0.2">
      <c r="H977" s="39"/>
      <c r="I977" s="40"/>
      <c r="J977" s="24"/>
    </row>
    <row r="978" spans="8:10" ht="12.75" x14ac:dyDescent="0.2">
      <c r="H978" s="39"/>
      <c r="I978" s="40"/>
      <c r="J978" s="24"/>
    </row>
    <row r="979" spans="8:10" ht="12.75" x14ac:dyDescent="0.2">
      <c r="H979" s="39"/>
      <c r="I979" s="40"/>
      <c r="J979" s="24"/>
    </row>
    <row r="980" spans="8:10" ht="12.75" x14ac:dyDescent="0.2">
      <c r="H980" s="39"/>
      <c r="I980" s="40"/>
      <c r="J980" s="24"/>
    </row>
    <row r="981" spans="8:10" ht="12.75" x14ac:dyDescent="0.2">
      <c r="H981" s="39"/>
      <c r="I981" s="40"/>
      <c r="J981" s="24"/>
    </row>
    <row r="982" spans="8:10" ht="12.75" x14ac:dyDescent="0.2">
      <c r="H982" s="39"/>
      <c r="I982" s="40"/>
      <c r="J982" s="24"/>
    </row>
    <row r="983" spans="8:10" ht="12.75" x14ac:dyDescent="0.2">
      <c r="H983" s="39"/>
      <c r="I983" s="40"/>
      <c r="J983" s="24"/>
    </row>
    <row r="984" spans="8:10" ht="12.75" x14ac:dyDescent="0.2">
      <c r="H984" s="39"/>
      <c r="I984" s="40"/>
      <c r="J984" s="24"/>
    </row>
    <row r="985" spans="8:10" ht="12.75" x14ac:dyDescent="0.2">
      <c r="H985" s="39"/>
      <c r="I985" s="40"/>
      <c r="J985" s="24"/>
    </row>
    <row r="986" spans="8:10" ht="12.75" x14ac:dyDescent="0.2">
      <c r="H986" s="39"/>
      <c r="I986" s="40"/>
      <c r="J986" s="24"/>
    </row>
    <row r="987" spans="8:10" ht="12.75" x14ac:dyDescent="0.2">
      <c r="H987" s="39"/>
      <c r="I987" s="40"/>
      <c r="J987" s="24"/>
    </row>
    <row r="988" spans="8:10" ht="12.75" x14ac:dyDescent="0.2">
      <c r="H988" s="39"/>
      <c r="I988" s="40"/>
      <c r="J988" s="24"/>
    </row>
    <row r="989" spans="8:10" ht="12.75" x14ac:dyDescent="0.2">
      <c r="H989" s="39"/>
      <c r="I989" s="40"/>
      <c r="J989" s="24"/>
    </row>
    <row r="990" spans="8:10" ht="12.75" x14ac:dyDescent="0.2">
      <c r="H990" s="39"/>
      <c r="I990" s="40"/>
      <c r="J990" s="24"/>
    </row>
    <row r="991" spans="8:10" ht="12.75" x14ac:dyDescent="0.2">
      <c r="H991" s="39"/>
      <c r="I991" s="40"/>
      <c r="J991" s="24"/>
    </row>
    <row r="992" spans="8:10" ht="12.75" x14ac:dyDescent="0.2">
      <c r="H992" s="39"/>
      <c r="I992" s="40"/>
      <c r="J992" s="24"/>
    </row>
    <row r="993" spans="8:10" ht="12.75" x14ac:dyDescent="0.2">
      <c r="H993" s="39"/>
      <c r="I993" s="40"/>
      <c r="J993" s="24"/>
    </row>
    <row r="994" spans="8:10" ht="12.75" x14ac:dyDescent="0.2">
      <c r="H994" s="39"/>
      <c r="I994" s="40"/>
      <c r="J994" s="24"/>
    </row>
    <row r="995" spans="8:10" ht="12.75" x14ac:dyDescent="0.2">
      <c r="H995" s="39"/>
      <c r="I995" s="40"/>
      <c r="J995" s="24"/>
    </row>
    <row r="996" spans="8:10" ht="12.75" x14ac:dyDescent="0.2">
      <c r="H996" s="39"/>
      <c r="I996" s="40"/>
      <c r="J996" s="24"/>
    </row>
    <row r="997" spans="8:10" ht="12.75" x14ac:dyDescent="0.2">
      <c r="H997" s="39"/>
      <c r="I997" s="40"/>
      <c r="J997" s="24"/>
    </row>
    <row r="998" spans="8:10" ht="12.75" x14ac:dyDescent="0.2">
      <c r="H998" s="39"/>
      <c r="I998" s="40"/>
      <c r="J998" s="24"/>
    </row>
    <row r="999" spans="8:10" ht="12.75" x14ac:dyDescent="0.2">
      <c r="H999" s="39"/>
      <c r="I999" s="40"/>
      <c r="J999" s="24"/>
    </row>
    <row r="1000" spans="8:10" ht="12.75" x14ac:dyDescent="0.2">
      <c r="H1000" s="39"/>
      <c r="I1000" s="40"/>
      <c r="J1000" s="24"/>
    </row>
    <row r="1001" spans="8:10" ht="12.75" x14ac:dyDescent="0.2">
      <c r="H1001" s="39"/>
      <c r="I1001" s="40"/>
      <c r="J1001" s="24"/>
    </row>
    <row r="1002" spans="8:10" ht="12.75" x14ac:dyDescent="0.2">
      <c r="H1002" s="39"/>
      <c r="I1002" s="40"/>
      <c r="J1002" s="24"/>
    </row>
  </sheetData>
  <autoFilter ref="A3:AL1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baseColWidth="10" defaultColWidth="12.5703125" defaultRowHeight="15" customHeight="1" x14ac:dyDescent="0.2"/>
  <cols>
    <col min="1" max="15" width="10.5703125" customWidth="1"/>
    <col min="16" max="16" width="13.5703125" customWidth="1"/>
    <col min="17" max="26" width="10.5703125" customWidth="1"/>
  </cols>
  <sheetData>
    <row r="1" spans="1:16" ht="12.75" customHeight="1" x14ac:dyDescent="0.2">
      <c r="A1" s="8" t="s">
        <v>353</v>
      </c>
      <c r="B1" s="8" t="s">
        <v>2</v>
      </c>
      <c r="C1" s="8" t="s">
        <v>354</v>
      </c>
      <c r="D1" s="8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2.75" customHeight="1" x14ac:dyDescent="0.2">
      <c r="A2" s="44" t="s">
        <v>238</v>
      </c>
      <c r="B2" s="44" t="s">
        <v>239</v>
      </c>
      <c r="C2" s="44" t="s">
        <v>1197</v>
      </c>
      <c r="D2" s="44" t="s">
        <v>187</v>
      </c>
      <c r="E2" s="44" t="s">
        <v>241</v>
      </c>
      <c r="F2" s="45">
        <v>23292702.144348498</v>
      </c>
      <c r="G2" s="45">
        <v>17657359.400476798</v>
      </c>
      <c r="H2" s="45">
        <v>18954663.520317499</v>
      </c>
      <c r="I2" s="45">
        <v>22888139.939491499</v>
      </c>
      <c r="J2" s="45">
        <v>19012582.007438</v>
      </c>
      <c r="K2" s="45">
        <v>21819809.524046399</v>
      </c>
      <c r="L2" s="45">
        <v>19274215.218663901</v>
      </c>
      <c r="M2" s="45">
        <v>20532732.6669548</v>
      </c>
      <c r="N2" s="45">
        <v>22995248.903356101</v>
      </c>
      <c r="O2" s="45">
        <v>20068141.193312801</v>
      </c>
      <c r="P2" s="45">
        <f t="shared" ref="P2:P77" si="0">SUM(F2:O2)</f>
        <v>206495594.51840627</v>
      </c>
    </row>
    <row r="3" spans="1:16" ht="12.75" customHeight="1" x14ac:dyDescent="0.2">
      <c r="A3" s="44" t="s">
        <v>238</v>
      </c>
      <c r="B3" s="44" t="s">
        <v>239</v>
      </c>
      <c r="C3" s="44" t="s">
        <v>1197</v>
      </c>
      <c r="D3" s="44" t="s">
        <v>187</v>
      </c>
      <c r="E3" s="44" t="s">
        <v>242</v>
      </c>
      <c r="F3" s="45">
        <v>20674279.129140198</v>
      </c>
      <c r="G3" s="45">
        <v>16945316.270309001</v>
      </c>
      <c r="H3" s="45">
        <v>15112803.1127869</v>
      </c>
      <c r="I3" s="45">
        <v>16734194.865824999</v>
      </c>
      <c r="J3" s="45">
        <v>19117747.6326047</v>
      </c>
      <c r="K3" s="45">
        <v>17618235.831472401</v>
      </c>
      <c r="L3" s="45">
        <v>15324932.776880199</v>
      </c>
      <c r="M3" s="45">
        <v>18111257.758983899</v>
      </c>
      <c r="N3" s="45">
        <v>17360534.489280298</v>
      </c>
      <c r="O3" s="45">
        <v>16905073.590917401</v>
      </c>
      <c r="P3" s="45">
        <f t="shared" si="0"/>
        <v>173904375.45820004</v>
      </c>
    </row>
    <row r="4" spans="1:16" ht="12.75" customHeight="1" x14ac:dyDescent="0.2">
      <c r="A4" s="44" t="s">
        <v>243</v>
      </c>
      <c r="B4" s="44" t="s">
        <v>239</v>
      </c>
      <c r="C4" s="44" t="s">
        <v>1197</v>
      </c>
      <c r="D4" s="44" t="s">
        <v>74</v>
      </c>
      <c r="E4" s="44" t="s">
        <v>244</v>
      </c>
      <c r="F4" s="45">
        <v>4966881.0863809995</v>
      </c>
      <c r="G4" s="45">
        <v>8005441.35215245</v>
      </c>
      <c r="H4" s="45">
        <v>6374097.6518575102</v>
      </c>
      <c r="I4" s="45">
        <v>-9216557.0874127503</v>
      </c>
      <c r="J4" s="45">
        <v>5050399.5438183397</v>
      </c>
      <c r="K4" s="45">
        <v>4225076.2974803802</v>
      </c>
      <c r="L4" s="45">
        <v>3679092.4883676101</v>
      </c>
      <c r="M4" s="45">
        <v>4911749.7428805297</v>
      </c>
      <c r="N4" s="45">
        <v>3757599.37097274</v>
      </c>
      <c r="O4" s="45">
        <v>3452721.1714646602</v>
      </c>
      <c r="P4" s="45">
        <f t="shared" si="0"/>
        <v>35206501.617962472</v>
      </c>
    </row>
    <row r="5" spans="1:16" ht="12.75" customHeight="1" x14ac:dyDescent="0.2">
      <c r="A5" s="44" t="s">
        <v>243</v>
      </c>
      <c r="B5" s="44" t="s">
        <v>239</v>
      </c>
      <c r="C5" s="44" t="s">
        <v>1197</v>
      </c>
      <c r="D5" s="44" t="s">
        <v>74</v>
      </c>
      <c r="E5" s="44" t="s">
        <v>245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f t="shared" si="0"/>
        <v>0</v>
      </c>
    </row>
    <row r="6" spans="1:16" ht="12.75" customHeight="1" x14ac:dyDescent="0.2">
      <c r="A6" s="44" t="s">
        <v>243</v>
      </c>
      <c r="B6" s="44" t="s">
        <v>239</v>
      </c>
      <c r="C6" s="44" t="s">
        <v>1197</v>
      </c>
      <c r="D6" s="44" t="s">
        <v>74</v>
      </c>
      <c r="E6" s="44" t="s">
        <v>246</v>
      </c>
      <c r="F6" s="45">
        <v>48759048.727206297</v>
      </c>
      <c r="G6" s="45">
        <v>44057941.9351267</v>
      </c>
      <c r="H6" s="45">
        <v>46440203.159215897</v>
      </c>
      <c r="I6" s="45">
        <v>45488073.551954597</v>
      </c>
      <c r="J6" s="45">
        <v>43467043.455296203</v>
      </c>
      <c r="K6" s="45">
        <v>54236394.504018098</v>
      </c>
      <c r="L6" s="45">
        <v>43862581.623062901</v>
      </c>
      <c r="M6" s="45">
        <v>40359187.406915799</v>
      </c>
      <c r="N6" s="45">
        <v>49801342.251467198</v>
      </c>
      <c r="O6" s="45">
        <v>37678824.173508197</v>
      </c>
      <c r="P6" s="45">
        <f t="shared" si="0"/>
        <v>454150640.78777182</v>
      </c>
    </row>
    <row r="7" spans="1:16" ht="12.75" customHeight="1" x14ac:dyDescent="0.2">
      <c r="A7" s="44" t="s">
        <v>243</v>
      </c>
      <c r="B7" s="44" t="s">
        <v>239</v>
      </c>
      <c r="C7" s="44" t="s">
        <v>1197</v>
      </c>
      <c r="D7" s="44" t="s">
        <v>74</v>
      </c>
      <c r="E7" s="44" t="s">
        <v>247</v>
      </c>
      <c r="F7" s="45">
        <v>69623085.104146093</v>
      </c>
      <c r="G7" s="45">
        <v>54613771.825107098</v>
      </c>
      <c r="H7" s="45">
        <v>57852706.415912703</v>
      </c>
      <c r="I7" s="45">
        <v>61755938.764725201</v>
      </c>
      <c r="J7" s="45">
        <v>72878433.597093701</v>
      </c>
      <c r="K7" s="45">
        <v>65305949.736363098</v>
      </c>
      <c r="L7" s="45">
        <v>61758149.473794296</v>
      </c>
      <c r="M7" s="45">
        <v>56219099.199951097</v>
      </c>
      <c r="N7" s="45">
        <v>65576126.687171802</v>
      </c>
      <c r="O7" s="45">
        <v>56766645.931314699</v>
      </c>
      <c r="P7" s="45">
        <f t="shared" si="0"/>
        <v>622349906.73557985</v>
      </c>
    </row>
    <row r="8" spans="1:16" ht="12.75" customHeight="1" x14ac:dyDescent="0.2">
      <c r="A8" s="44" t="s">
        <v>243</v>
      </c>
      <c r="B8" s="44" t="s">
        <v>239</v>
      </c>
      <c r="C8" s="44" t="s">
        <v>1197</v>
      </c>
      <c r="D8" s="44" t="s">
        <v>74</v>
      </c>
      <c r="E8" s="44" t="s">
        <v>1198</v>
      </c>
      <c r="F8" s="45">
        <v>8754038.8105386905</v>
      </c>
      <c r="G8" s="45">
        <v>8265422.0756376302</v>
      </c>
      <c r="H8" s="45">
        <v>11571782.321280601</v>
      </c>
      <c r="I8" s="45">
        <v>16934583.945280299</v>
      </c>
      <c r="J8" s="45">
        <v>11513275.329239599</v>
      </c>
      <c r="K8" s="45">
        <v>9416538.1902987808</v>
      </c>
      <c r="L8" s="45">
        <v>13512466.912260201</v>
      </c>
      <c r="M8" s="45">
        <v>11456131.785897801</v>
      </c>
      <c r="N8" s="45">
        <v>12655707.0474464</v>
      </c>
      <c r="O8" s="45">
        <v>10690990.3554391</v>
      </c>
      <c r="P8" s="45">
        <f t="shared" si="0"/>
        <v>114770936.77331911</v>
      </c>
    </row>
    <row r="9" spans="1:16" ht="12.75" customHeight="1" x14ac:dyDescent="0.2">
      <c r="A9" s="44" t="s">
        <v>243</v>
      </c>
      <c r="B9" s="44" t="s">
        <v>239</v>
      </c>
      <c r="C9" s="44" t="s">
        <v>1197</v>
      </c>
      <c r="D9" s="44" t="s">
        <v>74</v>
      </c>
      <c r="E9" s="44" t="s">
        <v>248</v>
      </c>
      <c r="F9" s="45">
        <v>383757027.48212498</v>
      </c>
      <c r="G9" s="45">
        <v>345883494.14116597</v>
      </c>
      <c r="H9" s="45">
        <v>362702661.83680302</v>
      </c>
      <c r="I9" s="45">
        <v>393512762.30759501</v>
      </c>
      <c r="J9" s="45">
        <v>387863898.62709099</v>
      </c>
      <c r="K9" s="45">
        <v>373850856.671942</v>
      </c>
      <c r="L9" s="45">
        <v>368461668.87357098</v>
      </c>
      <c r="M9" s="45">
        <v>384649056.13039798</v>
      </c>
      <c r="N9" s="45">
        <v>399377844.06953901</v>
      </c>
      <c r="O9" s="45">
        <v>353656427.92048103</v>
      </c>
      <c r="P9" s="45">
        <f t="shared" si="0"/>
        <v>3753715698.0607109</v>
      </c>
    </row>
    <row r="10" spans="1:16" ht="12.75" customHeight="1" x14ac:dyDescent="0.2">
      <c r="A10" s="44" t="s">
        <v>243</v>
      </c>
      <c r="B10" s="44" t="s">
        <v>239</v>
      </c>
      <c r="C10" s="44" t="s">
        <v>1197</v>
      </c>
      <c r="D10" s="44" t="s">
        <v>74</v>
      </c>
      <c r="E10" s="44" t="s">
        <v>249</v>
      </c>
      <c r="F10" s="45">
        <v>150768463.357005</v>
      </c>
      <c r="G10" s="45">
        <v>109666653.978117</v>
      </c>
      <c r="H10" s="45">
        <v>122301628.781948</v>
      </c>
      <c r="I10" s="45">
        <v>130666344.34728301</v>
      </c>
      <c r="J10" s="45">
        <v>126030706.24579599</v>
      </c>
      <c r="K10" s="45">
        <v>119297900.897103</v>
      </c>
      <c r="L10" s="45">
        <v>121714675.33605599</v>
      </c>
      <c r="M10" s="45">
        <v>122774009.863076</v>
      </c>
      <c r="N10" s="45">
        <v>125888717.62086</v>
      </c>
      <c r="O10" s="45">
        <v>119554230.927295</v>
      </c>
      <c r="P10" s="45">
        <f t="shared" si="0"/>
        <v>1248663331.3545389</v>
      </c>
    </row>
    <row r="11" spans="1:16" ht="12.75" customHeight="1" x14ac:dyDescent="0.2">
      <c r="A11" s="44" t="s">
        <v>243</v>
      </c>
      <c r="B11" s="44" t="s">
        <v>239</v>
      </c>
      <c r="C11" s="44" t="s">
        <v>1197</v>
      </c>
      <c r="D11" s="44" t="s">
        <v>74</v>
      </c>
      <c r="E11" s="44" t="s">
        <v>250</v>
      </c>
      <c r="F11" s="45">
        <v>20477291.416182201</v>
      </c>
      <c r="G11" s="45">
        <v>36713045.4034959</v>
      </c>
      <c r="H11" s="45">
        <v>36660034.900541</v>
      </c>
      <c r="I11" s="45">
        <v>40395056.249532901</v>
      </c>
      <c r="J11" s="45">
        <v>37572586.395217799</v>
      </c>
      <c r="K11" s="45">
        <v>38165065.400249399</v>
      </c>
      <c r="L11" s="45">
        <v>32506110.2501822</v>
      </c>
      <c r="M11" s="45">
        <v>40406557.370680302</v>
      </c>
      <c r="N11" s="45">
        <v>41141212.436923303</v>
      </c>
      <c r="O11" s="45">
        <v>33344631.6417659</v>
      </c>
      <c r="P11" s="45">
        <f t="shared" si="0"/>
        <v>357381591.46477091</v>
      </c>
    </row>
    <row r="12" spans="1:16" ht="12.75" customHeight="1" x14ac:dyDescent="0.2">
      <c r="A12" s="44" t="s">
        <v>243</v>
      </c>
      <c r="B12" s="44" t="s">
        <v>239</v>
      </c>
      <c r="C12" s="44" t="s">
        <v>1197</v>
      </c>
      <c r="D12" s="44" t="s">
        <v>74</v>
      </c>
      <c r="E12" s="44" t="s">
        <v>251</v>
      </c>
      <c r="F12" s="45">
        <v>219146499.21942401</v>
      </c>
      <c r="G12" s="45">
        <v>201943242.001086</v>
      </c>
      <c r="H12" s="45">
        <v>207511026.54876101</v>
      </c>
      <c r="I12" s="45">
        <v>222377060.767369</v>
      </c>
      <c r="J12" s="45">
        <v>221718855.73723999</v>
      </c>
      <c r="K12" s="45">
        <v>206877249.431025</v>
      </c>
      <c r="L12" s="45">
        <v>221497649.150475</v>
      </c>
      <c r="M12" s="45">
        <v>228188104.623162</v>
      </c>
      <c r="N12" s="45">
        <v>278551008.33360499</v>
      </c>
      <c r="O12" s="45">
        <v>224524667.29100499</v>
      </c>
      <c r="P12" s="45">
        <f t="shared" si="0"/>
        <v>2232335363.1031523</v>
      </c>
    </row>
    <row r="13" spans="1:16" ht="12.75" customHeight="1" x14ac:dyDescent="0.2">
      <c r="A13" s="44" t="s">
        <v>252</v>
      </c>
      <c r="B13" s="44" t="s">
        <v>239</v>
      </c>
      <c r="C13" s="44" t="s">
        <v>1197</v>
      </c>
      <c r="D13" s="44" t="s">
        <v>52</v>
      </c>
      <c r="E13" s="44" t="s">
        <v>253</v>
      </c>
      <c r="F13" s="45">
        <v>308042801.47366399</v>
      </c>
      <c r="G13" s="45">
        <v>271683830.44804198</v>
      </c>
      <c r="H13" s="45">
        <v>247924203.58698499</v>
      </c>
      <c r="I13" s="45">
        <v>269018249.04041702</v>
      </c>
      <c r="J13" s="45">
        <v>263582131.229911</v>
      </c>
      <c r="K13" s="45">
        <v>281585862.58892798</v>
      </c>
      <c r="L13" s="45">
        <v>289874545.76439899</v>
      </c>
      <c r="M13" s="45">
        <v>256119994.37133601</v>
      </c>
      <c r="N13" s="45">
        <v>274874330.17419899</v>
      </c>
      <c r="O13" s="45">
        <v>261210755.974911</v>
      </c>
      <c r="P13" s="45">
        <f t="shared" si="0"/>
        <v>2723916704.6527925</v>
      </c>
    </row>
    <row r="14" spans="1:16" ht="12.75" customHeight="1" x14ac:dyDescent="0.2">
      <c r="A14" s="44" t="s">
        <v>252</v>
      </c>
      <c r="B14" s="44" t="s">
        <v>239</v>
      </c>
      <c r="C14" s="44" t="s">
        <v>1197</v>
      </c>
      <c r="D14" s="44" t="s">
        <v>52</v>
      </c>
      <c r="E14" s="44" t="s">
        <v>254</v>
      </c>
      <c r="F14" s="45">
        <v>10060227.371471399</v>
      </c>
      <c r="G14" s="45">
        <v>9267490.1893993896</v>
      </c>
      <c r="H14" s="45">
        <v>9739152.8824812304</v>
      </c>
      <c r="I14" s="45">
        <v>9671918.7501419093</v>
      </c>
      <c r="J14" s="45">
        <v>6234912.7638513297</v>
      </c>
      <c r="K14" s="45">
        <v>9864202.0281345602</v>
      </c>
      <c r="L14" s="45">
        <v>6334861.7781758402</v>
      </c>
      <c r="M14" s="45">
        <v>7661261.5219635097</v>
      </c>
      <c r="N14" s="45">
        <v>6131271.8656347897</v>
      </c>
      <c r="O14" s="45">
        <v>9933831.0135633107</v>
      </c>
      <c r="P14" s="45">
        <f t="shared" si="0"/>
        <v>84899130.164817259</v>
      </c>
    </row>
    <row r="15" spans="1:16" ht="12.75" customHeight="1" x14ac:dyDescent="0.2">
      <c r="A15" s="44" t="s">
        <v>252</v>
      </c>
      <c r="B15" s="44" t="s">
        <v>239</v>
      </c>
      <c r="C15" s="44" t="s">
        <v>1197</v>
      </c>
      <c r="D15" s="44" t="s">
        <v>52</v>
      </c>
      <c r="E15" s="44" t="s">
        <v>255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f t="shared" si="0"/>
        <v>0</v>
      </c>
    </row>
    <row r="16" spans="1:16" ht="12.75" customHeight="1" x14ac:dyDescent="0.2">
      <c r="A16" s="44" t="s">
        <v>252</v>
      </c>
      <c r="B16" s="44" t="s">
        <v>239</v>
      </c>
      <c r="C16" s="44" t="s">
        <v>1197</v>
      </c>
      <c r="D16" s="44" t="s">
        <v>52</v>
      </c>
      <c r="E16" s="44" t="s">
        <v>256</v>
      </c>
      <c r="F16" s="45">
        <v>2150144.5271984902</v>
      </c>
      <c r="G16" s="45">
        <v>1857856.74391384</v>
      </c>
      <c r="H16" s="45">
        <v>2510691.26562477</v>
      </c>
      <c r="I16" s="45">
        <v>1994090.59920312</v>
      </c>
      <c r="J16" s="45">
        <v>1483307.2548473</v>
      </c>
      <c r="K16" s="45">
        <v>2100080.1863384801</v>
      </c>
      <c r="L16" s="45">
        <v>3833998.21745669</v>
      </c>
      <c r="M16" s="45">
        <v>1707116.8185588</v>
      </c>
      <c r="N16" s="45">
        <v>2651713.7538126102</v>
      </c>
      <c r="O16" s="45">
        <v>1936202.28788814</v>
      </c>
      <c r="P16" s="45">
        <f t="shared" si="0"/>
        <v>22225201.654842243</v>
      </c>
    </row>
    <row r="17" spans="1:16" ht="12.75" customHeight="1" x14ac:dyDescent="0.2">
      <c r="A17" s="44" t="s">
        <v>252</v>
      </c>
      <c r="B17" s="44" t="s">
        <v>239</v>
      </c>
      <c r="C17" s="44" t="s">
        <v>1197</v>
      </c>
      <c r="D17" s="44" t="s">
        <v>52</v>
      </c>
      <c r="E17" s="44" t="s">
        <v>257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5171188.6750457203</v>
      </c>
      <c r="N17" s="45">
        <v>5896169.3474477697</v>
      </c>
      <c r="O17" s="45">
        <v>4461299.1821728898</v>
      </c>
      <c r="P17" s="45">
        <f t="shared" si="0"/>
        <v>15528657.20466638</v>
      </c>
    </row>
    <row r="18" spans="1:16" ht="12.75" customHeight="1" x14ac:dyDescent="0.2">
      <c r="A18" s="44" t="s">
        <v>252</v>
      </c>
      <c r="B18" s="44" t="s">
        <v>239</v>
      </c>
      <c r="C18" s="44" t="s">
        <v>1197</v>
      </c>
      <c r="D18" s="44" t="s">
        <v>52</v>
      </c>
      <c r="E18" s="44" t="s">
        <v>258</v>
      </c>
      <c r="F18" s="45">
        <v>118138.72733025299</v>
      </c>
      <c r="G18" s="45">
        <v>810570.17253848596</v>
      </c>
      <c r="H18" s="45">
        <v>1301612.5913638</v>
      </c>
      <c r="I18" s="45">
        <v>466385.30964870099</v>
      </c>
      <c r="J18" s="45">
        <v>1048390.17864814</v>
      </c>
      <c r="K18" s="45">
        <v>547265.85535955499</v>
      </c>
      <c r="L18" s="45">
        <v>380405.74774142698</v>
      </c>
      <c r="M18" s="45">
        <v>156285.2928769</v>
      </c>
      <c r="N18" s="45">
        <v>400878.60879714001</v>
      </c>
      <c r="O18" s="45">
        <v>1496000.6585164401</v>
      </c>
      <c r="P18" s="45">
        <f t="shared" si="0"/>
        <v>6725933.1428208426</v>
      </c>
    </row>
    <row r="19" spans="1:16" ht="12.75" customHeight="1" x14ac:dyDescent="0.2">
      <c r="A19" s="44" t="s">
        <v>252</v>
      </c>
      <c r="B19" s="44" t="s">
        <v>239</v>
      </c>
      <c r="C19" s="44" t="s">
        <v>1197</v>
      </c>
      <c r="D19" s="44" t="s">
        <v>52</v>
      </c>
      <c r="E19" s="44" t="s">
        <v>259</v>
      </c>
      <c r="F19" s="45">
        <v>0</v>
      </c>
      <c r="G19" s="45">
        <v>1705017.4706472601</v>
      </c>
      <c r="H19" s="45">
        <v>3808950.5010960898</v>
      </c>
      <c r="I19" s="45">
        <v>2429797.44486205</v>
      </c>
      <c r="J19" s="45">
        <v>3011436.5958755501</v>
      </c>
      <c r="K19" s="45">
        <v>3119666.1241794601</v>
      </c>
      <c r="L19" s="45">
        <v>3447158.3957912601</v>
      </c>
      <c r="M19" s="45">
        <v>1981001.3372644701</v>
      </c>
      <c r="N19" s="45">
        <v>2456653.83365027</v>
      </c>
      <c r="O19" s="45">
        <v>2729288.3424614598</v>
      </c>
      <c r="P19" s="45">
        <f t="shared" si="0"/>
        <v>24688970.045827869</v>
      </c>
    </row>
    <row r="20" spans="1:16" ht="12.75" customHeight="1" x14ac:dyDescent="0.2">
      <c r="A20" s="44" t="s">
        <v>252</v>
      </c>
      <c r="B20" s="44" t="s">
        <v>239</v>
      </c>
      <c r="C20" s="44" t="s">
        <v>1197</v>
      </c>
      <c r="D20" s="44" t="s">
        <v>52</v>
      </c>
      <c r="E20" s="44" t="s">
        <v>260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13794860.4893695</v>
      </c>
      <c r="N20" s="45">
        <v>10213090.100631099</v>
      </c>
      <c r="O20" s="45">
        <v>7319787.9103544904</v>
      </c>
      <c r="P20" s="45">
        <f t="shared" si="0"/>
        <v>31327738.500355091</v>
      </c>
    </row>
    <row r="21" spans="1:16" ht="12.75" customHeight="1" x14ac:dyDescent="0.2">
      <c r="A21" s="44" t="s">
        <v>252</v>
      </c>
      <c r="B21" s="44" t="s">
        <v>239</v>
      </c>
      <c r="C21" s="44" t="s">
        <v>1197</v>
      </c>
      <c r="D21" s="44" t="s">
        <v>52</v>
      </c>
      <c r="E21" s="44" t="s">
        <v>261</v>
      </c>
      <c r="F21" s="45">
        <v>-1249317.04151743</v>
      </c>
      <c r="G21" s="45">
        <v>-503243.128450825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0"/>
        <v>-1752560.1699682549</v>
      </c>
    </row>
    <row r="22" spans="1:16" ht="12.75" customHeight="1" x14ac:dyDescent="0.2">
      <c r="A22" s="44" t="s">
        <v>252</v>
      </c>
      <c r="B22" s="44" t="s">
        <v>239</v>
      </c>
      <c r="C22" s="44" t="s">
        <v>1197</v>
      </c>
      <c r="D22" s="44" t="s">
        <v>52</v>
      </c>
      <c r="E22" s="44" t="s">
        <v>262</v>
      </c>
      <c r="F22" s="45">
        <v>663545.85183825402</v>
      </c>
      <c r="G22" s="45">
        <v>914523.64332599204</v>
      </c>
      <c r="H22" s="45">
        <v>1007370.71261671</v>
      </c>
      <c r="I22" s="45">
        <v>1128095.59077383</v>
      </c>
      <c r="J22" s="45">
        <v>610265.39496668405</v>
      </c>
      <c r="K22" s="45">
        <v>1933125.0940787201</v>
      </c>
      <c r="L22" s="45">
        <v>1474285.6799004599</v>
      </c>
      <c r="M22" s="45">
        <v>3110260.3469714099</v>
      </c>
      <c r="N22" s="45">
        <v>3150719.0497836801</v>
      </c>
      <c r="O22" s="45">
        <v>1085199.3179686901</v>
      </c>
      <c r="P22" s="45">
        <f t="shared" si="0"/>
        <v>15077390.682224432</v>
      </c>
    </row>
    <row r="23" spans="1:16" ht="12.75" customHeight="1" x14ac:dyDescent="0.2">
      <c r="A23" s="44" t="s">
        <v>252</v>
      </c>
      <c r="B23" s="44" t="s">
        <v>239</v>
      </c>
      <c r="C23" s="44" t="s">
        <v>1197</v>
      </c>
      <c r="D23" s="44" t="s">
        <v>52</v>
      </c>
      <c r="E23" s="44" t="s">
        <v>263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10150307.7009059</v>
      </c>
      <c r="N23" s="45">
        <v>13096165.2474501</v>
      </c>
      <c r="O23" s="45">
        <v>14125087.732130799</v>
      </c>
      <c r="P23" s="45">
        <f t="shared" si="0"/>
        <v>37371560.680486798</v>
      </c>
    </row>
    <row r="24" spans="1:16" ht="12.75" customHeight="1" x14ac:dyDescent="0.2">
      <c r="A24" s="44" t="s">
        <v>252</v>
      </c>
      <c r="B24" s="44" t="s">
        <v>239</v>
      </c>
      <c r="C24" s="44" t="s">
        <v>1197</v>
      </c>
      <c r="D24" s="44" t="s">
        <v>52</v>
      </c>
      <c r="E24" s="44" t="s">
        <v>1199</v>
      </c>
      <c r="F24" s="45">
        <v>21704112.258719999</v>
      </c>
      <c r="G24" s="45">
        <v>22512751.990369499</v>
      </c>
      <c r="H24" s="45">
        <v>24067520.415021401</v>
      </c>
      <c r="I24" s="45">
        <v>48844584.989500299</v>
      </c>
      <c r="J24" s="45">
        <v>17587490.152020302</v>
      </c>
      <c r="K24" s="45">
        <v>18523888.680341698</v>
      </c>
      <c r="L24" s="45">
        <v>25230240.766044099</v>
      </c>
      <c r="M24" s="45">
        <v>24818475.835852399</v>
      </c>
      <c r="N24" s="45">
        <v>34353120.797520697</v>
      </c>
      <c r="O24" s="45">
        <v>23259574.7956784</v>
      </c>
      <c r="P24" s="45">
        <f t="shared" si="0"/>
        <v>260901760.68106881</v>
      </c>
    </row>
    <row r="25" spans="1:16" ht="12.75" customHeight="1" x14ac:dyDescent="0.2">
      <c r="A25" s="44" t="s">
        <v>252</v>
      </c>
      <c r="B25" s="44" t="s">
        <v>239</v>
      </c>
      <c r="C25" s="44" t="s">
        <v>1197</v>
      </c>
      <c r="D25" s="44" t="s">
        <v>52</v>
      </c>
      <c r="E25" s="44" t="s">
        <v>265</v>
      </c>
      <c r="F25" s="45">
        <v>49961852.277358398</v>
      </c>
      <c r="G25" s="45">
        <v>43696964.101596199</v>
      </c>
      <c r="H25" s="45">
        <v>49588665.077392697</v>
      </c>
      <c r="I25" s="45">
        <v>45288238.7832423</v>
      </c>
      <c r="J25" s="45">
        <v>45047308.439114898</v>
      </c>
      <c r="K25" s="45">
        <v>46654290.096229002</v>
      </c>
      <c r="L25" s="45">
        <v>47180867.513341598</v>
      </c>
      <c r="M25" s="45">
        <v>51507376.553526998</v>
      </c>
      <c r="N25" s="45">
        <v>54823002.992552496</v>
      </c>
      <c r="O25" s="45">
        <v>49374334.835011303</v>
      </c>
      <c r="P25" s="45">
        <f t="shared" si="0"/>
        <v>483122900.66936588</v>
      </c>
    </row>
    <row r="26" spans="1:16" ht="12.75" customHeight="1" x14ac:dyDescent="0.2">
      <c r="A26" s="44" t="s">
        <v>252</v>
      </c>
      <c r="B26" s="44" t="s">
        <v>239</v>
      </c>
      <c r="C26" s="44" t="s">
        <v>1197</v>
      </c>
      <c r="D26" s="44" t="s">
        <v>52</v>
      </c>
      <c r="E26" s="44" t="s">
        <v>266</v>
      </c>
      <c r="F26" s="45">
        <v>7063931.9305790598</v>
      </c>
      <c r="G26" s="45">
        <v>8190762.2366996203</v>
      </c>
      <c r="H26" s="45">
        <v>10065881.9795871</v>
      </c>
      <c r="I26" s="45">
        <v>8775224.2454321794</v>
      </c>
      <c r="J26" s="45">
        <v>10077808.307718299</v>
      </c>
      <c r="K26" s="45">
        <v>7109353.7846903298</v>
      </c>
      <c r="L26" s="45">
        <v>6932571.7748172702</v>
      </c>
      <c r="M26" s="45">
        <v>9600717.7858575098</v>
      </c>
      <c r="N26" s="45">
        <v>8517689.5944067594</v>
      </c>
      <c r="O26" s="45">
        <v>7121257.0685249502</v>
      </c>
      <c r="P26" s="45">
        <f t="shared" si="0"/>
        <v>83455198.708313078</v>
      </c>
    </row>
    <row r="27" spans="1:16" ht="12.75" customHeight="1" x14ac:dyDescent="0.2">
      <c r="A27" s="44" t="s">
        <v>252</v>
      </c>
      <c r="B27" s="44" t="s">
        <v>239</v>
      </c>
      <c r="C27" s="44" t="s">
        <v>1197</v>
      </c>
      <c r="D27" s="44" t="s">
        <v>52</v>
      </c>
      <c r="E27" s="44" t="s">
        <v>1200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0"/>
        <v>0</v>
      </c>
    </row>
    <row r="28" spans="1:16" ht="12.75" customHeight="1" x14ac:dyDescent="0.2">
      <c r="A28" s="44" t="s">
        <v>252</v>
      </c>
      <c r="B28" s="44" t="s">
        <v>239</v>
      </c>
      <c r="C28" s="44" t="s">
        <v>1197</v>
      </c>
      <c r="D28" s="44" t="s">
        <v>52</v>
      </c>
      <c r="E28" s="44" t="s">
        <v>267</v>
      </c>
      <c r="F28" s="45">
        <v>10683752.797328301</v>
      </c>
      <c r="G28" s="45">
        <v>10756786.0300582</v>
      </c>
      <c r="H28" s="45">
        <v>9341947.6509884298</v>
      </c>
      <c r="I28" s="45">
        <v>10349827.567204701</v>
      </c>
      <c r="J28" s="45">
        <v>13269056.391923901</v>
      </c>
      <c r="K28" s="45">
        <v>13195000.886044901</v>
      </c>
      <c r="L28" s="45">
        <v>9446208.2388924006</v>
      </c>
      <c r="M28" s="45">
        <v>7355463.7226415696</v>
      </c>
      <c r="N28" s="45">
        <v>10708609.101362901</v>
      </c>
      <c r="O28" s="45">
        <v>11199503.6551381</v>
      </c>
      <c r="P28" s="45">
        <f t="shared" si="0"/>
        <v>106306156.04158342</v>
      </c>
    </row>
    <row r="29" spans="1:16" ht="12.75" customHeight="1" x14ac:dyDescent="0.2">
      <c r="A29" s="44" t="s">
        <v>252</v>
      </c>
      <c r="B29" s="44" t="s">
        <v>239</v>
      </c>
      <c r="C29" s="44" t="s">
        <v>1197</v>
      </c>
      <c r="D29" s="44" t="s">
        <v>52</v>
      </c>
      <c r="E29" s="44" t="s">
        <v>268</v>
      </c>
      <c r="F29" s="45">
        <v>13769002.951254399</v>
      </c>
      <c r="G29" s="45">
        <v>10218117.717101499</v>
      </c>
      <c r="H29" s="45">
        <v>11686452.3237682</v>
      </c>
      <c r="I29" s="45">
        <v>8242776.6983990101</v>
      </c>
      <c r="J29" s="45">
        <v>8448721.7914223801</v>
      </c>
      <c r="K29" s="45">
        <v>12229650.789109301</v>
      </c>
      <c r="L29" s="45">
        <v>6777336.2242773399</v>
      </c>
      <c r="M29" s="45">
        <v>8494833.7512960192</v>
      </c>
      <c r="N29" s="45">
        <v>7714384.5997308698</v>
      </c>
      <c r="O29" s="45">
        <v>8295522.8407242801</v>
      </c>
      <c r="P29" s="45">
        <f t="shared" si="0"/>
        <v>95876799.687083274</v>
      </c>
    </row>
    <row r="30" spans="1:16" ht="12.75" customHeight="1" x14ac:dyDescent="0.2">
      <c r="A30" s="44" t="s">
        <v>252</v>
      </c>
      <c r="B30" s="44" t="s">
        <v>239</v>
      </c>
      <c r="C30" s="44" t="s">
        <v>1197</v>
      </c>
      <c r="D30" s="44" t="s">
        <v>52</v>
      </c>
      <c r="E30" s="44" t="s">
        <v>1201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0"/>
        <v>0</v>
      </c>
    </row>
    <row r="31" spans="1:16" ht="12.75" customHeight="1" x14ac:dyDescent="0.2">
      <c r="A31" s="44" t="s">
        <v>269</v>
      </c>
      <c r="B31" s="44" t="s">
        <v>239</v>
      </c>
      <c r="C31" s="44" t="s">
        <v>1197</v>
      </c>
      <c r="D31" s="44" t="s">
        <v>87</v>
      </c>
      <c r="E31" s="44" t="s">
        <v>270</v>
      </c>
      <c r="F31" s="45">
        <v>284168960.16141599</v>
      </c>
      <c r="G31" s="45">
        <v>252308861.82277</v>
      </c>
      <c r="H31" s="45">
        <v>253815904.966878</v>
      </c>
      <c r="I31" s="45">
        <v>273650718.23161</v>
      </c>
      <c r="J31" s="45">
        <v>278997135.64572603</v>
      </c>
      <c r="K31" s="45">
        <v>277603465.95826602</v>
      </c>
      <c r="L31" s="45">
        <v>264910636.97500101</v>
      </c>
      <c r="M31" s="45">
        <v>246775908.75788099</v>
      </c>
      <c r="N31" s="45">
        <v>283448868.52948803</v>
      </c>
      <c r="O31" s="45">
        <v>262056015.293641</v>
      </c>
      <c r="P31" s="45">
        <f t="shared" si="0"/>
        <v>2677736476.3426771</v>
      </c>
    </row>
    <row r="32" spans="1:16" ht="12.75" customHeight="1" x14ac:dyDescent="0.2">
      <c r="A32" s="44" t="s">
        <v>269</v>
      </c>
      <c r="B32" s="44" t="s">
        <v>239</v>
      </c>
      <c r="C32" s="44" t="s">
        <v>1197</v>
      </c>
      <c r="D32" s="44" t="s">
        <v>87</v>
      </c>
      <c r="E32" s="44" t="s">
        <v>271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0"/>
        <v>0</v>
      </c>
    </row>
    <row r="33" spans="1:16" ht="12.75" customHeight="1" x14ac:dyDescent="0.2">
      <c r="A33" s="44" t="s">
        <v>269</v>
      </c>
      <c r="B33" s="44" t="s">
        <v>239</v>
      </c>
      <c r="C33" s="44" t="s">
        <v>1197</v>
      </c>
      <c r="D33" s="44" t="s">
        <v>87</v>
      </c>
      <c r="E33" s="44" t="s">
        <v>272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0"/>
        <v>0</v>
      </c>
    </row>
    <row r="34" spans="1:16" ht="12.75" customHeight="1" x14ac:dyDescent="0.2">
      <c r="A34" s="44" t="s">
        <v>269</v>
      </c>
      <c r="B34" s="44" t="s">
        <v>239</v>
      </c>
      <c r="C34" s="44" t="s">
        <v>1197</v>
      </c>
      <c r="D34" s="44" t="s">
        <v>87</v>
      </c>
      <c r="E34" s="44" t="s">
        <v>1202</v>
      </c>
      <c r="F34" s="45">
        <v>817210.25871777697</v>
      </c>
      <c r="G34" s="45">
        <v>2528979.12122744</v>
      </c>
      <c r="H34" s="45">
        <v>4022320.94235784</v>
      </c>
      <c r="I34" s="45">
        <v>2388284.2858414901</v>
      </c>
      <c r="J34" s="45">
        <v>2424835.0761674098</v>
      </c>
      <c r="K34" s="45">
        <v>2555373.76454288</v>
      </c>
      <c r="L34" s="45">
        <v>4361719.8475509305</v>
      </c>
      <c r="M34" s="45">
        <v>1723171.3514916601</v>
      </c>
      <c r="N34" s="45">
        <v>-787454.05789676099</v>
      </c>
      <c r="O34" s="45">
        <v>1276467.3307801499</v>
      </c>
      <c r="P34" s="45">
        <f t="shared" si="0"/>
        <v>21310907.920780819</v>
      </c>
    </row>
    <row r="35" spans="1:16" ht="12.75" customHeight="1" x14ac:dyDescent="0.2">
      <c r="A35" s="44" t="s">
        <v>269</v>
      </c>
      <c r="B35" s="44" t="s">
        <v>239</v>
      </c>
      <c r="C35" s="44" t="s">
        <v>1197</v>
      </c>
      <c r="D35" s="44" t="s">
        <v>87</v>
      </c>
      <c r="E35" s="44" t="s">
        <v>1203</v>
      </c>
      <c r="F35" s="45">
        <v>4269063.0067025302</v>
      </c>
      <c r="G35" s="45">
        <v>6178795.48822877</v>
      </c>
      <c r="H35" s="45">
        <v>7782364.4532052502</v>
      </c>
      <c r="I35" s="45">
        <v>4947379.2888948498</v>
      </c>
      <c r="J35" s="45">
        <v>6494000.6016027397</v>
      </c>
      <c r="K35" s="45">
        <v>3105096.9918615799</v>
      </c>
      <c r="L35" s="45">
        <v>5512960.3015381098</v>
      </c>
      <c r="M35" s="45">
        <v>4724430.3593840897</v>
      </c>
      <c r="N35" s="45">
        <v>2861669.5304203602</v>
      </c>
      <c r="O35" s="45">
        <v>4057745.0456311801</v>
      </c>
      <c r="P35" s="45">
        <f t="shared" si="0"/>
        <v>49933505.067469463</v>
      </c>
    </row>
    <row r="36" spans="1:16" ht="12.75" customHeight="1" x14ac:dyDescent="0.2">
      <c r="A36" s="44" t="s">
        <v>269</v>
      </c>
      <c r="B36" s="44" t="s">
        <v>239</v>
      </c>
      <c r="C36" s="44" t="s">
        <v>1197</v>
      </c>
      <c r="D36" s="44" t="s">
        <v>87</v>
      </c>
      <c r="E36" s="44" t="s">
        <v>1204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0"/>
        <v>0</v>
      </c>
    </row>
    <row r="37" spans="1:16" ht="12.75" customHeight="1" x14ac:dyDescent="0.2">
      <c r="A37" s="44" t="s">
        <v>269</v>
      </c>
      <c r="B37" s="44" t="s">
        <v>239</v>
      </c>
      <c r="C37" s="44" t="s">
        <v>1197</v>
      </c>
      <c r="D37" s="44" t="s">
        <v>87</v>
      </c>
      <c r="E37" s="44" t="s">
        <v>1205</v>
      </c>
      <c r="F37" s="45">
        <v>41382617.122208402</v>
      </c>
      <c r="G37" s="45">
        <v>29915626.8820698</v>
      </c>
      <c r="H37" s="45">
        <v>31101696.368494101</v>
      </c>
      <c r="I37" s="45">
        <v>38987294.976806603</v>
      </c>
      <c r="J37" s="45">
        <v>37105236.961684898</v>
      </c>
      <c r="K37" s="45">
        <v>34368719.408634096</v>
      </c>
      <c r="L37" s="45">
        <v>31277501.281698201</v>
      </c>
      <c r="M37" s="45">
        <v>34671536.251713</v>
      </c>
      <c r="N37" s="45">
        <v>41742946.684374899</v>
      </c>
      <c r="O37" s="45">
        <v>30668425.798364598</v>
      </c>
      <c r="P37" s="45">
        <f t="shared" si="0"/>
        <v>351221601.73604852</v>
      </c>
    </row>
    <row r="38" spans="1:16" ht="12.75" customHeight="1" x14ac:dyDescent="0.2">
      <c r="A38" s="44" t="s">
        <v>269</v>
      </c>
      <c r="B38" s="44" t="s">
        <v>239</v>
      </c>
      <c r="C38" s="44" t="s">
        <v>1197</v>
      </c>
      <c r="D38" s="44" t="s">
        <v>87</v>
      </c>
      <c r="E38" s="44" t="s">
        <v>273</v>
      </c>
      <c r="F38" s="45">
        <v>158328811.402733</v>
      </c>
      <c r="G38" s="45">
        <v>173307739.65951601</v>
      </c>
      <c r="H38" s="45">
        <v>161680599.16474599</v>
      </c>
      <c r="I38" s="45">
        <v>175387489.12885201</v>
      </c>
      <c r="J38" s="45">
        <v>169229574.728845</v>
      </c>
      <c r="K38" s="45">
        <v>180406627.92910701</v>
      </c>
      <c r="L38" s="45">
        <v>156287530.52662399</v>
      </c>
      <c r="M38" s="45">
        <v>163142758.50105</v>
      </c>
      <c r="N38" s="45">
        <v>176731625.40869501</v>
      </c>
      <c r="O38" s="45">
        <v>153905939.47965699</v>
      </c>
      <c r="P38" s="45">
        <f t="shared" si="0"/>
        <v>1668408695.9298248</v>
      </c>
    </row>
    <row r="39" spans="1:16" ht="12.75" customHeight="1" x14ac:dyDescent="0.2">
      <c r="A39" s="44" t="s">
        <v>269</v>
      </c>
      <c r="B39" s="44" t="s">
        <v>239</v>
      </c>
      <c r="C39" s="44" t="s">
        <v>1197</v>
      </c>
      <c r="D39" s="44" t="s">
        <v>87</v>
      </c>
      <c r="E39" s="44" t="s">
        <v>274</v>
      </c>
      <c r="F39" s="45">
        <v>69689031.786425903</v>
      </c>
      <c r="G39" s="45">
        <v>59108603.339017101</v>
      </c>
      <c r="H39" s="45">
        <v>64078436.925620601</v>
      </c>
      <c r="I39" s="45">
        <v>72528128.260538101</v>
      </c>
      <c r="J39" s="45">
        <v>66352608.386891603</v>
      </c>
      <c r="K39" s="45">
        <v>66485684.390273497</v>
      </c>
      <c r="L39" s="45">
        <v>60890047.019705698</v>
      </c>
      <c r="M39" s="45">
        <v>65631383.906159401</v>
      </c>
      <c r="N39" s="45">
        <v>71139526.508957505</v>
      </c>
      <c r="O39" s="45">
        <v>68547836.070162907</v>
      </c>
      <c r="P39" s="45">
        <f t="shared" si="0"/>
        <v>664451286.59375226</v>
      </c>
    </row>
    <row r="40" spans="1:16" ht="12.75" customHeight="1" x14ac:dyDescent="0.2">
      <c r="A40" s="44" t="s">
        <v>269</v>
      </c>
      <c r="B40" s="44" t="s">
        <v>239</v>
      </c>
      <c r="C40" s="44" t="s">
        <v>1197</v>
      </c>
      <c r="D40" s="44" t="s">
        <v>87</v>
      </c>
      <c r="E40" s="44" t="s">
        <v>275</v>
      </c>
      <c r="F40" s="45">
        <v>27684692.2343437</v>
      </c>
      <c r="G40" s="45">
        <v>23187658.560193401</v>
      </c>
      <c r="H40" s="45">
        <v>26106295.614754699</v>
      </c>
      <c r="I40" s="45">
        <v>26582397.942079</v>
      </c>
      <c r="J40" s="45">
        <v>23921778.4228069</v>
      </c>
      <c r="K40" s="45">
        <v>25763622.6227712</v>
      </c>
      <c r="L40" s="45">
        <v>21508416.927414399</v>
      </c>
      <c r="M40" s="45">
        <v>23390095.647238001</v>
      </c>
      <c r="N40" s="45">
        <v>30824631.5091925</v>
      </c>
      <c r="O40" s="45">
        <v>24892271.943345301</v>
      </c>
      <c r="P40" s="45">
        <f t="shared" si="0"/>
        <v>253861861.42413911</v>
      </c>
    </row>
    <row r="41" spans="1:16" ht="12.75" customHeight="1" x14ac:dyDescent="0.2">
      <c r="A41" s="44" t="s">
        <v>269</v>
      </c>
      <c r="B41" s="44" t="s">
        <v>239</v>
      </c>
      <c r="C41" s="44" t="s">
        <v>1197</v>
      </c>
      <c r="D41" s="44" t="s">
        <v>87</v>
      </c>
      <c r="E41" s="44" t="s">
        <v>276</v>
      </c>
      <c r="F41" s="45">
        <v>147564211.09447399</v>
      </c>
      <c r="G41" s="45">
        <v>157072718.50938001</v>
      </c>
      <c r="H41" s="45">
        <v>152667045.20208099</v>
      </c>
      <c r="I41" s="45">
        <v>186324965.54635501</v>
      </c>
      <c r="J41" s="45">
        <v>170557736.31224301</v>
      </c>
      <c r="K41" s="45">
        <v>164519378.89775401</v>
      </c>
      <c r="L41" s="45">
        <v>157091697.48429</v>
      </c>
      <c r="M41" s="45">
        <v>157554919.253921</v>
      </c>
      <c r="N41" s="45">
        <v>198206601.58138499</v>
      </c>
      <c r="O41" s="45">
        <v>156271222.507011</v>
      </c>
      <c r="P41" s="45">
        <f t="shared" si="0"/>
        <v>1647830496.3888938</v>
      </c>
    </row>
    <row r="42" spans="1:16" ht="12.75" customHeight="1" x14ac:dyDescent="0.2">
      <c r="A42" s="44" t="s">
        <v>269</v>
      </c>
      <c r="B42" s="44" t="s">
        <v>239</v>
      </c>
      <c r="C42" s="44" t="s">
        <v>1197</v>
      </c>
      <c r="D42" s="44" t="s">
        <v>87</v>
      </c>
      <c r="E42" s="44" t="s">
        <v>1206</v>
      </c>
      <c r="F42" s="45">
        <v>13286076.7280661</v>
      </c>
      <c r="G42" s="45">
        <v>19857087.952190898</v>
      </c>
      <c r="H42" s="45">
        <v>17476558.227087501</v>
      </c>
      <c r="I42" s="45">
        <v>18963604.7598118</v>
      </c>
      <c r="J42" s="45">
        <v>14848671.4265186</v>
      </c>
      <c r="K42" s="45">
        <v>15618763.399825901</v>
      </c>
      <c r="L42" s="45">
        <v>9294656.9482977502</v>
      </c>
      <c r="M42" s="45">
        <v>4588598.7711290801</v>
      </c>
      <c r="N42" s="45">
        <v>12590089.1143122</v>
      </c>
      <c r="O42" s="45">
        <v>13793645.147327</v>
      </c>
      <c r="P42" s="45">
        <f t="shared" si="0"/>
        <v>140317752.47456685</v>
      </c>
    </row>
    <row r="43" spans="1:16" ht="12.75" customHeight="1" x14ac:dyDescent="0.2">
      <c r="A43" s="44" t="s">
        <v>1207</v>
      </c>
      <c r="B43" s="44" t="s">
        <v>239</v>
      </c>
      <c r="C43" s="44" t="s">
        <v>1197</v>
      </c>
      <c r="D43" s="44" t="s">
        <v>96</v>
      </c>
      <c r="E43" s="44" t="s">
        <v>1208</v>
      </c>
      <c r="F43" s="45">
        <v>2962611.5430896999</v>
      </c>
      <c r="G43" s="45">
        <v>1645744.66853048</v>
      </c>
      <c r="H43" s="45">
        <v>5030552.0704695899</v>
      </c>
      <c r="I43" s="45">
        <v>4155578.9902216201</v>
      </c>
      <c r="J43" s="45">
        <v>3483552.9846937601</v>
      </c>
      <c r="K43" s="45">
        <v>1965039.1822830399</v>
      </c>
      <c r="L43" s="45">
        <v>425224.19801718701</v>
      </c>
      <c r="M43" s="45">
        <v>1088025.43251915</v>
      </c>
      <c r="N43" s="45">
        <v>326643.05990796001</v>
      </c>
      <c r="O43" s="45">
        <v>1356069.7623871199</v>
      </c>
      <c r="P43" s="45">
        <f t="shared" si="0"/>
        <v>22439041.892119605</v>
      </c>
    </row>
    <row r="44" spans="1:16" ht="12.75" customHeight="1" x14ac:dyDescent="0.2">
      <c r="A44" s="44" t="s">
        <v>1207</v>
      </c>
      <c r="B44" s="44" t="s">
        <v>239</v>
      </c>
      <c r="C44" s="44" t="s">
        <v>1197</v>
      </c>
      <c r="D44" s="44" t="s">
        <v>96</v>
      </c>
      <c r="E44" s="44" t="s">
        <v>1209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0"/>
        <v>0</v>
      </c>
    </row>
    <row r="45" spans="1:16" ht="12.75" customHeight="1" x14ac:dyDescent="0.2">
      <c r="A45" s="44" t="s">
        <v>1207</v>
      </c>
      <c r="B45" s="44" t="s">
        <v>239</v>
      </c>
      <c r="C45" s="44" t="s">
        <v>1197</v>
      </c>
      <c r="D45" s="44" t="s">
        <v>96</v>
      </c>
      <c r="E45" s="44" t="s">
        <v>277</v>
      </c>
      <c r="F45" s="45">
        <v>8034310.9499194697</v>
      </c>
      <c r="G45" s="45">
        <v>7458197.9790969295</v>
      </c>
      <c r="H45" s="45">
        <v>8442931.1463676095</v>
      </c>
      <c r="I45" s="45">
        <v>9130295.3220482394</v>
      </c>
      <c r="J45" s="45">
        <v>7014740.7471362799</v>
      </c>
      <c r="K45" s="45">
        <v>9026456.6097966805</v>
      </c>
      <c r="L45" s="45">
        <v>9072519.7052650005</v>
      </c>
      <c r="M45" s="45">
        <v>5971903.7774526803</v>
      </c>
      <c r="N45" s="45">
        <v>8416905.7034023106</v>
      </c>
      <c r="O45" s="45">
        <v>7770862.0507879397</v>
      </c>
      <c r="P45" s="45">
        <f t="shared" si="0"/>
        <v>80339123.99127315</v>
      </c>
    </row>
    <row r="46" spans="1:16" ht="12.75" customHeight="1" x14ac:dyDescent="0.2">
      <c r="A46" s="44" t="s">
        <v>1207</v>
      </c>
      <c r="B46" s="44" t="s">
        <v>239</v>
      </c>
      <c r="C46" s="44" t="s">
        <v>1197</v>
      </c>
      <c r="D46" s="44" t="s">
        <v>96</v>
      </c>
      <c r="E46" s="44" t="s">
        <v>278</v>
      </c>
      <c r="F46" s="45">
        <v>43457335.113975398</v>
      </c>
      <c r="G46" s="45">
        <v>33185753.7033609</v>
      </c>
      <c r="H46" s="45">
        <v>32679774.876610801</v>
      </c>
      <c r="I46" s="45">
        <v>31292394.934693702</v>
      </c>
      <c r="J46" s="45">
        <v>31516742.176059201</v>
      </c>
      <c r="K46" s="45">
        <v>40678767.372236699</v>
      </c>
      <c r="L46" s="45">
        <v>35429967.205125697</v>
      </c>
      <c r="M46" s="45">
        <v>30651216.4085228</v>
      </c>
      <c r="N46" s="45">
        <v>28756090.374039799</v>
      </c>
      <c r="O46" s="45">
        <v>23755587.022340499</v>
      </c>
      <c r="P46" s="45">
        <f t="shared" si="0"/>
        <v>331403629.18696553</v>
      </c>
    </row>
    <row r="47" spans="1:16" ht="12.75" customHeight="1" x14ac:dyDescent="0.2">
      <c r="A47" s="44" t="s">
        <v>1207</v>
      </c>
      <c r="B47" s="44" t="s">
        <v>239</v>
      </c>
      <c r="C47" s="44" t="s">
        <v>1197</v>
      </c>
      <c r="D47" s="44" t="s">
        <v>96</v>
      </c>
      <c r="E47" s="44" t="s">
        <v>279</v>
      </c>
      <c r="F47" s="45">
        <v>2262776.04749477</v>
      </c>
      <c r="G47" s="45">
        <v>2423667.9234719402</v>
      </c>
      <c r="H47" s="45">
        <v>2120431.0159642301</v>
      </c>
      <c r="I47" s="45">
        <v>3178914.03804478</v>
      </c>
      <c r="J47" s="45">
        <v>1364653.7885845499</v>
      </c>
      <c r="K47" s="45">
        <v>2911107.2965931999</v>
      </c>
      <c r="L47" s="45">
        <v>2088956.39517923</v>
      </c>
      <c r="M47" s="45">
        <v>1708534.7061112199</v>
      </c>
      <c r="N47" s="45">
        <v>1735160.59853707</v>
      </c>
      <c r="O47" s="45">
        <v>2264588.6419007601</v>
      </c>
      <c r="P47" s="45">
        <f t="shared" si="0"/>
        <v>22058790.451881748</v>
      </c>
    </row>
    <row r="48" spans="1:16" ht="12.75" customHeight="1" x14ac:dyDescent="0.2">
      <c r="A48" s="44" t="s">
        <v>1207</v>
      </c>
      <c r="B48" s="44" t="s">
        <v>239</v>
      </c>
      <c r="C48" s="44" t="s">
        <v>1197</v>
      </c>
      <c r="D48" s="44" t="s">
        <v>96</v>
      </c>
      <c r="E48" s="44" t="s">
        <v>280</v>
      </c>
      <c r="F48" s="45">
        <v>15810491.7117678</v>
      </c>
      <c r="G48" s="45">
        <v>9961481.2041638605</v>
      </c>
      <c r="H48" s="45">
        <v>11670288.608432001</v>
      </c>
      <c r="I48" s="45">
        <v>15377433.318364801</v>
      </c>
      <c r="J48" s="45">
        <v>8452387.3317446206</v>
      </c>
      <c r="K48" s="45">
        <v>9757138.7443759907</v>
      </c>
      <c r="L48" s="45">
        <v>8408221.7063966095</v>
      </c>
      <c r="M48" s="45">
        <v>9675061.9446722809</v>
      </c>
      <c r="N48" s="45">
        <v>10023986.2917189</v>
      </c>
      <c r="O48" s="45">
        <v>6681827.9506339002</v>
      </c>
      <c r="P48" s="45">
        <f t="shared" si="0"/>
        <v>105818318.81227076</v>
      </c>
    </row>
    <row r="49" spans="1:16" ht="12.75" customHeight="1" x14ac:dyDescent="0.2">
      <c r="A49" s="44" t="s">
        <v>1207</v>
      </c>
      <c r="B49" s="44" t="s">
        <v>239</v>
      </c>
      <c r="C49" s="44" t="s">
        <v>1197</v>
      </c>
      <c r="D49" s="44" t="s">
        <v>96</v>
      </c>
      <c r="E49" s="44" t="s">
        <v>1210</v>
      </c>
      <c r="F49" s="45">
        <v>152425.32030617099</v>
      </c>
      <c r="G49" s="45">
        <v>342889.086131313</v>
      </c>
      <c r="H49" s="45">
        <v>180909.37822470799</v>
      </c>
      <c r="I49" s="45">
        <v>187915.28193782101</v>
      </c>
      <c r="J49" s="45">
        <v>0</v>
      </c>
      <c r="K49" s="45">
        <v>184143.82177174301</v>
      </c>
      <c r="L49" s="45">
        <v>206999.13959476701</v>
      </c>
      <c r="M49" s="45">
        <v>345607.093926506</v>
      </c>
      <c r="N49" s="45">
        <v>172010.235347532</v>
      </c>
      <c r="O49" s="45">
        <v>183149.186731814</v>
      </c>
      <c r="P49" s="45">
        <f t="shared" si="0"/>
        <v>1956048.5439723751</v>
      </c>
    </row>
    <row r="50" spans="1:16" ht="12.75" customHeight="1" x14ac:dyDescent="0.2">
      <c r="A50" s="44" t="s">
        <v>1207</v>
      </c>
      <c r="B50" s="44" t="s">
        <v>239</v>
      </c>
      <c r="C50" s="44" t="s">
        <v>1197</v>
      </c>
      <c r="D50" s="44" t="s">
        <v>96</v>
      </c>
      <c r="E50" s="44" t="s">
        <v>1211</v>
      </c>
      <c r="F50" s="45">
        <v>1182539.90475959</v>
      </c>
      <c r="G50" s="45">
        <v>0</v>
      </c>
      <c r="H50" s="45">
        <v>59716.4526496576</v>
      </c>
      <c r="I50" s="45">
        <v>462474.38582176401</v>
      </c>
      <c r="J50" s="45">
        <v>0</v>
      </c>
      <c r="K50" s="45">
        <v>0</v>
      </c>
      <c r="L50" s="45">
        <v>501445.63551176799</v>
      </c>
      <c r="M50" s="45">
        <v>830447.96550984704</v>
      </c>
      <c r="N50" s="45">
        <v>1263128.7126640801</v>
      </c>
      <c r="O50" s="45">
        <v>401316.88085703598</v>
      </c>
      <c r="P50" s="45">
        <f t="shared" si="0"/>
        <v>4701069.9377737418</v>
      </c>
    </row>
    <row r="51" spans="1:16" ht="12.75" customHeight="1" x14ac:dyDescent="0.2">
      <c r="A51" s="44" t="s">
        <v>1207</v>
      </c>
      <c r="B51" s="44" t="s">
        <v>239</v>
      </c>
      <c r="C51" s="44" t="s">
        <v>1197</v>
      </c>
      <c r="D51" s="44" t="s">
        <v>96</v>
      </c>
      <c r="E51" s="44" t="s">
        <v>1212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0"/>
        <v>0</v>
      </c>
    </row>
    <row r="52" spans="1:16" ht="12.75" customHeight="1" x14ac:dyDescent="0.2">
      <c r="A52" s="44" t="s">
        <v>1207</v>
      </c>
      <c r="B52" s="44" t="s">
        <v>239</v>
      </c>
      <c r="C52" s="44" t="s">
        <v>1197</v>
      </c>
      <c r="D52" s="44" t="s">
        <v>96</v>
      </c>
      <c r="E52" s="44" t="s">
        <v>1213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1658150.7591591801</v>
      </c>
      <c r="N52" s="45">
        <v>2264975.6417077798</v>
      </c>
      <c r="O52" s="45">
        <v>2345777.33626298</v>
      </c>
      <c r="P52" s="45">
        <f t="shared" si="0"/>
        <v>6268903.7371299397</v>
      </c>
    </row>
    <row r="53" spans="1:16" ht="12.75" customHeight="1" x14ac:dyDescent="0.2">
      <c r="A53" s="44" t="s">
        <v>1207</v>
      </c>
      <c r="B53" s="44" t="s">
        <v>239</v>
      </c>
      <c r="C53" s="44" t="s">
        <v>1197</v>
      </c>
      <c r="D53" s="44" t="s">
        <v>96</v>
      </c>
      <c r="E53" s="44" t="s">
        <v>1214</v>
      </c>
      <c r="F53" s="45">
        <v>14829861.7588173</v>
      </c>
      <c r="G53" s="45">
        <v>15019900.725668499</v>
      </c>
      <c r="H53" s="45">
        <v>19753635.1887943</v>
      </c>
      <c r="I53" s="45">
        <v>21112169.7250815</v>
      </c>
      <c r="J53" s="45">
        <v>19569787.089828599</v>
      </c>
      <c r="K53" s="45">
        <v>19613008.917426601</v>
      </c>
      <c r="L53" s="45">
        <v>22373145.665222399</v>
      </c>
      <c r="M53" s="45">
        <v>16177014.887372101</v>
      </c>
      <c r="N53" s="45">
        <v>19450890.3017249</v>
      </c>
      <c r="O53" s="45">
        <v>14712342.262642801</v>
      </c>
      <c r="P53" s="45">
        <f t="shared" si="0"/>
        <v>182611756.52257901</v>
      </c>
    </row>
    <row r="54" spans="1:16" ht="12.75" customHeight="1" x14ac:dyDescent="0.2">
      <c r="A54" s="44" t="s">
        <v>1207</v>
      </c>
      <c r="B54" s="44" t="s">
        <v>239</v>
      </c>
      <c r="C54" s="44" t="s">
        <v>1197</v>
      </c>
      <c r="D54" s="44" t="s">
        <v>96</v>
      </c>
      <c r="E54" s="44" t="s">
        <v>282</v>
      </c>
      <c r="F54" s="45">
        <v>3248609.9123408301</v>
      </c>
      <c r="G54" s="45">
        <v>3644501.0317945899</v>
      </c>
      <c r="H54" s="45">
        <v>2319002.6822383902</v>
      </c>
      <c r="I54" s="45">
        <v>2820761.1398289902</v>
      </c>
      <c r="J54" s="45">
        <v>2118662.4327967302</v>
      </c>
      <c r="K54" s="45">
        <v>2453829.3026915202</v>
      </c>
      <c r="L54" s="45">
        <v>2900997.2486936799</v>
      </c>
      <c r="M54" s="45">
        <v>2200683.6368920999</v>
      </c>
      <c r="N54" s="45">
        <v>3046735.46361657</v>
      </c>
      <c r="O54" s="45">
        <v>2224724.9682524302</v>
      </c>
      <c r="P54" s="45">
        <f t="shared" si="0"/>
        <v>26978507.819145828</v>
      </c>
    </row>
    <row r="55" spans="1:16" ht="12.75" customHeight="1" x14ac:dyDescent="0.2">
      <c r="A55" s="44" t="s">
        <v>1207</v>
      </c>
      <c r="B55" s="44" t="s">
        <v>239</v>
      </c>
      <c r="C55" s="44" t="s">
        <v>1197</v>
      </c>
      <c r="D55" s="44" t="s">
        <v>96</v>
      </c>
      <c r="E55" s="44" t="s">
        <v>283</v>
      </c>
      <c r="F55" s="45">
        <v>11486293.818750899</v>
      </c>
      <c r="G55" s="45">
        <v>11085172.3710673</v>
      </c>
      <c r="H55" s="45">
        <v>9573214.7566987295</v>
      </c>
      <c r="I55" s="45">
        <v>8602607.6970775891</v>
      </c>
      <c r="J55" s="45">
        <v>12501770.456561901</v>
      </c>
      <c r="K55" s="45">
        <v>13591152.2384378</v>
      </c>
      <c r="L55" s="45">
        <v>10279758.843008701</v>
      </c>
      <c r="M55" s="45">
        <v>643456.56690654403</v>
      </c>
      <c r="N55" s="45">
        <v>599932.24241055304</v>
      </c>
      <c r="O55" s="45">
        <v>435848.79851217603</v>
      </c>
      <c r="P55" s="45">
        <f t="shared" si="0"/>
        <v>78799207.789432198</v>
      </c>
    </row>
    <row r="56" spans="1:16" ht="12.75" customHeight="1" x14ac:dyDescent="0.2">
      <c r="A56" s="44" t="s">
        <v>1207</v>
      </c>
      <c r="B56" s="44" t="s">
        <v>239</v>
      </c>
      <c r="C56" s="44" t="s">
        <v>1197</v>
      </c>
      <c r="D56" s="44" t="s">
        <v>96</v>
      </c>
      <c r="E56" s="44" t="s">
        <v>284</v>
      </c>
      <c r="F56" s="45">
        <v>4197463.5518377395</v>
      </c>
      <c r="G56" s="45">
        <v>3935055.4009960401</v>
      </c>
      <c r="H56" s="45">
        <v>5993395.2515104599</v>
      </c>
      <c r="I56" s="45">
        <v>5604966.5062065898</v>
      </c>
      <c r="J56" s="45">
        <v>4518282.4821227603</v>
      </c>
      <c r="K56" s="45">
        <v>5794464.2967999</v>
      </c>
      <c r="L56" s="45">
        <v>9378217.8707519397</v>
      </c>
      <c r="M56" s="45">
        <v>4496336.4482317399</v>
      </c>
      <c r="N56" s="45">
        <v>4757643.27556339</v>
      </c>
      <c r="O56" s="45">
        <v>3774301.8286746899</v>
      </c>
      <c r="P56" s="45">
        <f t="shared" si="0"/>
        <v>52450126.912695251</v>
      </c>
    </row>
    <row r="57" spans="1:16" ht="12.75" customHeight="1" x14ac:dyDescent="0.2">
      <c r="A57" s="44" t="s">
        <v>1207</v>
      </c>
      <c r="B57" s="44" t="s">
        <v>239</v>
      </c>
      <c r="C57" s="44" t="s">
        <v>1197</v>
      </c>
      <c r="D57" s="44" t="s">
        <v>96</v>
      </c>
      <c r="E57" s="44" t="s">
        <v>285</v>
      </c>
      <c r="F57" s="45">
        <v>3782799.7237114501</v>
      </c>
      <c r="G57" s="45">
        <v>3688862.0914714099</v>
      </c>
      <c r="H57" s="45">
        <v>3820194.40929471</v>
      </c>
      <c r="I57" s="45">
        <v>3253731.0821847301</v>
      </c>
      <c r="J57" s="45">
        <v>4274681.3522389401</v>
      </c>
      <c r="K57" s="45">
        <v>3601219.2322150902</v>
      </c>
      <c r="L57" s="45">
        <v>2808586.69281461</v>
      </c>
      <c r="M57" s="45">
        <v>4174202.8763185898</v>
      </c>
      <c r="N57" s="45">
        <v>3330552.2649548301</v>
      </c>
      <c r="O57" s="45">
        <v>2524403.6314931801</v>
      </c>
      <c r="P57" s="45">
        <f t="shared" si="0"/>
        <v>35259233.356697544</v>
      </c>
    </row>
    <row r="58" spans="1:16" ht="12.75" customHeight="1" x14ac:dyDescent="0.2">
      <c r="A58" s="44" t="s">
        <v>1207</v>
      </c>
      <c r="B58" s="44" t="s">
        <v>239</v>
      </c>
      <c r="C58" s="44" t="s">
        <v>1197</v>
      </c>
      <c r="D58" s="44" t="s">
        <v>96</v>
      </c>
      <c r="E58" s="44" t="s">
        <v>286</v>
      </c>
      <c r="F58" s="45">
        <v>11347488.232135599</v>
      </c>
      <c r="G58" s="45">
        <v>8081937.0930518797</v>
      </c>
      <c r="H58" s="45">
        <v>8938593.3050188906</v>
      </c>
      <c r="I58" s="45">
        <v>9623125.3312662207</v>
      </c>
      <c r="J58" s="45">
        <v>10726539.362738701</v>
      </c>
      <c r="K58" s="45">
        <v>10476717.1189526</v>
      </c>
      <c r="L58" s="45">
        <v>12789073.078051001</v>
      </c>
      <c r="M58" s="45">
        <v>9010311.9495273996</v>
      </c>
      <c r="N58" s="45">
        <v>10742473.359350599</v>
      </c>
      <c r="O58" s="45">
        <v>8124132.5970582003</v>
      </c>
      <c r="P58" s="45">
        <f t="shared" si="0"/>
        <v>99860391.427151084</v>
      </c>
    </row>
    <row r="59" spans="1:16" ht="12.75" customHeight="1" x14ac:dyDescent="0.2">
      <c r="A59" s="44" t="s">
        <v>1207</v>
      </c>
      <c r="B59" s="44" t="s">
        <v>239</v>
      </c>
      <c r="C59" s="44" t="s">
        <v>1197</v>
      </c>
      <c r="D59" s="44" t="s">
        <v>96</v>
      </c>
      <c r="E59" s="44" t="s">
        <v>1215</v>
      </c>
      <c r="F59" s="45">
        <v>967125.44007126603</v>
      </c>
      <c r="G59" s="45">
        <v>638825.93896756798</v>
      </c>
      <c r="H59" s="45">
        <v>-11968.137875001101</v>
      </c>
      <c r="I59" s="45">
        <v>442465.27298384701</v>
      </c>
      <c r="J59" s="45">
        <v>499114.48183276702</v>
      </c>
      <c r="K59" s="45">
        <v>451959.01192509802</v>
      </c>
      <c r="L59" s="45">
        <v>507398.77428400802</v>
      </c>
      <c r="M59" s="45">
        <v>415039.85537403502</v>
      </c>
      <c r="N59" s="45">
        <v>22701.692663603601</v>
      </c>
      <c r="O59" s="45">
        <v>1310856.80113294</v>
      </c>
      <c r="P59" s="45">
        <f t="shared" si="0"/>
        <v>5243519.1313601313</v>
      </c>
    </row>
    <row r="60" spans="1:16" ht="12.75" customHeight="1" x14ac:dyDescent="0.2">
      <c r="A60" s="44" t="s">
        <v>287</v>
      </c>
      <c r="B60" s="44" t="s">
        <v>239</v>
      </c>
      <c r="C60" s="44" t="s">
        <v>1197</v>
      </c>
      <c r="D60" s="44" t="s">
        <v>112</v>
      </c>
      <c r="E60" s="44" t="s">
        <v>288</v>
      </c>
      <c r="F60" s="45">
        <v>28024128.831342701</v>
      </c>
      <c r="G60" s="45">
        <v>24987707.670445301</v>
      </c>
      <c r="H60" s="45">
        <v>27316525.9828775</v>
      </c>
      <c r="I60" s="45">
        <v>27878584.671816502</v>
      </c>
      <c r="J60" s="45">
        <v>28647496.423678</v>
      </c>
      <c r="K60" s="45">
        <v>24975731.755501699</v>
      </c>
      <c r="L60" s="45">
        <v>21952984.027476601</v>
      </c>
      <c r="M60" s="45">
        <v>26858113.146743901</v>
      </c>
      <c r="N60" s="45">
        <v>31017568.286482099</v>
      </c>
      <c r="O60" s="45">
        <v>28037197.7672575</v>
      </c>
      <c r="P60" s="45">
        <f t="shared" si="0"/>
        <v>269696038.56362182</v>
      </c>
    </row>
    <row r="61" spans="1:16" ht="12.75" customHeight="1" x14ac:dyDescent="0.2">
      <c r="A61" s="44" t="s">
        <v>287</v>
      </c>
      <c r="B61" s="44" t="s">
        <v>239</v>
      </c>
      <c r="C61" s="44" t="s">
        <v>1197</v>
      </c>
      <c r="D61" s="44" t="s">
        <v>112</v>
      </c>
      <c r="E61" s="44" t="s">
        <v>289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0"/>
        <v>0</v>
      </c>
    </row>
    <row r="62" spans="1:16" ht="12.75" customHeight="1" x14ac:dyDescent="0.2">
      <c r="A62" s="44" t="s">
        <v>287</v>
      </c>
      <c r="B62" s="44" t="s">
        <v>239</v>
      </c>
      <c r="C62" s="44" t="s">
        <v>1197</v>
      </c>
      <c r="D62" s="44" t="s">
        <v>112</v>
      </c>
      <c r="E62" s="44" t="s">
        <v>290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0"/>
        <v>0</v>
      </c>
    </row>
    <row r="63" spans="1:16" ht="12.75" customHeight="1" x14ac:dyDescent="0.2">
      <c r="A63" s="44" t="s">
        <v>287</v>
      </c>
      <c r="B63" s="44" t="s">
        <v>239</v>
      </c>
      <c r="C63" s="44" t="s">
        <v>1197</v>
      </c>
      <c r="D63" s="44" t="s">
        <v>112</v>
      </c>
      <c r="E63" s="44" t="s">
        <v>291</v>
      </c>
      <c r="F63" s="45">
        <v>18918482.258045401</v>
      </c>
      <c r="G63" s="45">
        <v>20692641.664889999</v>
      </c>
      <c r="H63" s="45">
        <v>16781158.124927498</v>
      </c>
      <c r="I63" s="45">
        <v>23346499.800942302</v>
      </c>
      <c r="J63" s="45">
        <v>16749905.9926557</v>
      </c>
      <c r="K63" s="45">
        <v>16322684.666246099</v>
      </c>
      <c r="L63" s="45">
        <v>15240166.3643419</v>
      </c>
      <c r="M63" s="45">
        <v>16588479.4646018</v>
      </c>
      <c r="N63" s="45">
        <v>20504431.938611802</v>
      </c>
      <c r="O63" s="45">
        <v>15102367.301881</v>
      </c>
      <c r="P63" s="45">
        <f t="shared" si="0"/>
        <v>180246817.57714349</v>
      </c>
    </row>
    <row r="64" spans="1:16" ht="12.75" customHeight="1" x14ac:dyDescent="0.2">
      <c r="A64" s="44" t="s">
        <v>287</v>
      </c>
      <c r="B64" s="44" t="s">
        <v>239</v>
      </c>
      <c r="C64" s="44" t="s">
        <v>1197</v>
      </c>
      <c r="D64" s="44" t="s">
        <v>112</v>
      </c>
      <c r="E64" s="44" t="s">
        <v>292</v>
      </c>
      <c r="F64" s="45">
        <v>109631813.41882101</v>
      </c>
      <c r="G64" s="45">
        <v>103372349.77181</v>
      </c>
      <c r="H64" s="45">
        <v>114336489.561451</v>
      </c>
      <c r="I64" s="45">
        <v>118265013.16755299</v>
      </c>
      <c r="J64" s="45">
        <v>113113945.591442</v>
      </c>
      <c r="K64" s="45">
        <v>108676224.96721999</v>
      </c>
      <c r="L64" s="45">
        <v>104906102.059837</v>
      </c>
      <c r="M64" s="45">
        <v>107900127.658343</v>
      </c>
      <c r="N64" s="45">
        <v>117622062.533361</v>
      </c>
      <c r="O64" s="45">
        <v>104570909.000259</v>
      </c>
      <c r="P64" s="45">
        <f t="shared" si="0"/>
        <v>1102395037.7300968</v>
      </c>
    </row>
    <row r="65" spans="1:17" ht="12.75" customHeight="1" x14ac:dyDescent="0.2">
      <c r="A65" s="44" t="s">
        <v>287</v>
      </c>
      <c r="B65" s="44" t="s">
        <v>239</v>
      </c>
      <c r="C65" s="44" t="s">
        <v>1197</v>
      </c>
      <c r="D65" s="44" t="s">
        <v>112</v>
      </c>
      <c r="E65" s="44" t="s">
        <v>293</v>
      </c>
      <c r="F65" s="45">
        <v>14931036.7324301</v>
      </c>
      <c r="G65" s="45">
        <v>10156945.5670646</v>
      </c>
      <c r="H65" s="45">
        <v>93047299.470825896</v>
      </c>
      <c r="I65" s="45">
        <v>15896545.135202199</v>
      </c>
      <c r="J65" s="45">
        <v>12729294.0334334</v>
      </c>
      <c r="K65" s="45">
        <v>13233806.3920912</v>
      </c>
      <c r="L65" s="45">
        <v>10644614.2183869</v>
      </c>
      <c r="M65" s="45">
        <v>12520425.0041556</v>
      </c>
      <c r="N65" s="45">
        <v>15810267.9707381</v>
      </c>
      <c r="O65" s="45">
        <v>12270620.9471149</v>
      </c>
      <c r="P65" s="45">
        <f t="shared" si="0"/>
        <v>211240855.47144294</v>
      </c>
    </row>
    <row r="66" spans="1:17" ht="12.75" customHeight="1" x14ac:dyDescent="0.2">
      <c r="A66" s="44" t="s">
        <v>287</v>
      </c>
      <c r="B66" s="44" t="s">
        <v>239</v>
      </c>
      <c r="C66" s="44" t="s">
        <v>1197</v>
      </c>
      <c r="D66" s="44" t="s">
        <v>112</v>
      </c>
      <c r="E66" s="44" t="s">
        <v>294</v>
      </c>
      <c r="F66" s="45">
        <v>159720843.039305</v>
      </c>
      <c r="G66" s="45">
        <v>157074551.353995</v>
      </c>
      <c r="H66" s="45">
        <v>166239750.80888301</v>
      </c>
      <c r="I66" s="45">
        <v>164475318.76417699</v>
      </c>
      <c r="J66" s="45">
        <v>171731844.584748</v>
      </c>
      <c r="K66" s="45">
        <v>164087286.97185299</v>
      </c>
      <c r="L66" s="45">
        <v>167502095.444437</v>
      </c>
      <c r="M66" s="45">
        <v>164778326.84911501</v>
      </c>
      <c r="N66" s="45">
        <v>182657743.33232999</v>
      </c>
      <c r="O66" s="45">
        <v>159060579.39513999</v>
      </c>
      <c r="P66" s="45">
        <f t="shared" si="0"/>
        <v>1657328340.543983</v>
      </c>
    </row>
    <row r="67" spans="1:17" ht="12.75" customHeight="1" x14ac:dyDescent="0.2">
      <c r="A67" s="44" t="s">
        <v>287</v>
      </c>
      <c r="B67" s="44" t="s">
        <v>239</v>
      </c>
      <c r="C67" s="44" t="s">
        <v>1197</v>
      </c>
      <c r="D67" s="44" t="s">
        <v>112</v>
      </c>
      <c r="E67" s="44" t="s">
        <v>295</v>
      </c>
      <c r="F67" s="45">
        <v>24069714.504952699</v>
      </c>
      <c r="G67" s="45">
        <v>30366513.751651</v>
      </c>
      <c r="H67" s="45">
        <v>30377620.089822099</v>
      </c>
      <c r="I67" s="45">
        <v>28770275.970174301</v>
      </c>
      <c r="J67" s="45">
        <v>33690436.862846397</v>
      </c>
      <c r="K67" s="45">
        <v>26894903.0008226</v>
      </c>
      <c r="L67" s="45">
        <v>27116264.8963122</v>
      </c>
      <c r="M67" s="45">
        <v>21918310.198344</v>
      </c>
      <c r="N67" s="45">
        <v>33803264.956952997</v>
      </c>
      <c r="O67" s="45">
        <v>19866252.6759197</v>
      </c>
      <c r="P67" s="45">
        <f t="shared" si="0"/>
        <v>276873556.90779799</v>
      </c>
    </row>
    <row r="68" spans="1:17" ht="12.75" customHeight="1" x14ac:dyDescent="0.2">
      <c r="A68" s="44" t="s">
        <v>287</v>
      </c>
      <c r="B68" s="44" t="s">
        <v>239</v>
      </c>
      <c r="C68" s="44" t="s">
        <v>1197</v>
      </c>
      <c r="D68" s="44" t="s">
        <v>112</v>
      </c>
      <c r="E68" s="44" t="s">
        <v>296</v>
      </c>
      <c r="F68" s="45">
        <v>64417029.468091197</v>
      </c>
      <c r="G68" s="45">
        <v>43571437.035901502</v>
      </c>
      <c r="H68" s="45">
        <v>50283457.213661298</v>
      </c>
      <c r="I68" s="45">
        <v>59362521.994193196</v>
      </c>
      <c r="J68" s="45">
        <v>54066984.9457893</v>
      </c>
      <c r="K68" s="45">
        <v>49211426.089219503</v>
      </c>
      <c r="L68" s="45">
        <v>48323294.972812697</v>
      </c>
      <c r="M68" s="45">
        <v>53542034.479420997</v>
      </c>
      <c r="N68" s="45">
        <v>64254528.120256603</v>
      </c>
      <c r="O68" s="45">
        <v>50569236.364065602</v>
      </c>
      <c r="P68" s="45">
        <f t="shared" si="0"/>
        <v>537601950.68341196</v>
      </c>
    </row>
    <row r="69" spans="1:17" ht="12.75" customHeight="1" x14ac:dyDescent="0.2">
      <c r="A69" s="44" t="s">
        <v>287</v>
      </c>
      <c r="B69" s="44" t="s">
        <v>239</v>
      </c>
      <c r="C69" s="44" t="s">
        <v>1197</v>
      </c>
      <c r="D69" s="44" t="s">
        <v>112</v>
      </c>
      <c r="E69" s="44" t="s">
        <v>297</v>
      </c>
      <c r="F69" s="45">
        <v>70705942.855530605</v>
      </c>
      <c r="G69" s="45">
        <v>57095462.321181796</v>
      </c>
      <c r="H69" s="45">
        <v>62625205.116872802</v>
      </c>
      <c r="I69" s="45">
        <v>65372413.607871696</v>
      </c>
      <c r="J69" s="45">
        <v>65498358.597548597</v>
      </c>
      <c r="K69" s="45">
        <v>56339465.4596055</v>
      </c>
      <c r="L69" s="45">
        <v>55628300.671245299</v>
      </c>
      <c r="M69" s="45">
        <v>59200927.1317228</v>
      </c>
      <c r="N69" s="45">
        <v>74169527.486560702</v>
      </c>
      <c r="O69" s="45">
        <v>50570598.692671701</v>
      </c>
      <c r="P69" s="45">
        <f t="shared" si="0"/>
        <v>617206201.94081151</v>
      </c>
    </row>
    <row r="70" spans="1:17" ht="12.75" customHeight="1" x14ac:dyDescent="0.2">
      <c r="A70" s="44" t="s">
        <v>287</v>
      </c>
      <c r="B70" s="44" t="s">
        <v>239</v>
      </c>
      <c r="C70" s="44" t="s">
        <v>1197</v>
      </c>
      <c r="D70" s="44" t="s">
        <v>112</v>
      </c>
      <c r="E70" s="44" t="s">
        <v>298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0"/>
        <v>0</v>
      </c>
    </row>
    <row r="71" spans="1:17" ht="12.75" customHeight="1" x14ac:dyDescent="0.2">
      <c r="A71" s="44" t="s">
        <v>287</v>
      </c>
      <c r="B71" s="44" t="s">
        <v>239</v>
      </c>
      <c r="C71" s="44" t="s">
        <v>1197</v>
      </c>
      <c r="D71" s="44" t="s">
        <v>112</v>
      </c>
      <c r="E71" s="44" t="s">
        <v>1216</v>
      </c>
      <c r="F71" s="45">
        <v>3468310.4087935798</v>
      </c>
      <c r="G71" s="45">
        <v>2256891.8413331802</v>
      </c>
      <c r="H71" s="45">
        <v>2815739.3607668998</v>
      </c>
      <c r="I71" s="45">
        <v>5626507.5962897502</v>
      </c>
      <c r="J71" s="45">
        <v>2156804.1565702199</v>
      </c>
      <c r="K71" s="45">
        <v>1931526.8945678901</v>
      </c>
      <c r="L71" s="45">
        <v>2270159.7675240799</v>
      </c>
      <c r="M71" s="45">
        <v>3809965.6243998501</v>
      </c>
      <c r="N71" s="45">
        <v>3339889.20009579</v>
      </c>
      <c r="O71" s="45">
        <v>3993713.0479824701</v>
      </c>
      <c r="P71" s="45">
        <f t="shared" si="0"/>
        <v>31669507.898323711</v>
      </c>
    </row>
    <row r="72" spans="1:17" ht="12.75" customHeight="1" x14ac:dyDescent="0.2">
      <c r="A72" s="44" t="s">
        <v>287</v>
      </c>
      <c r="B72" s="44" t="s">
        <v>239</v>
      </c>
      <c r="C72" s="44" t="s">
        <v>1197</v>
      </c>
      <c r="D72" s="44" t="s">
        <v>112</v>
      </c>
      <c r="E72" s="44" t="s">
        <v>299</v>
      </c>
      <c r="F72" s="45">
        <v>16267992.092067</v>
      </c>
      <c r="G72" s="45">
        <v>16602106.611346301</v>
      </c>
      <c r="H72" s="45">
        <v>17002995.9840082</v>
      </c>
      <c r="I72" s="45">
        <v>15731768.3831391</v>
      </c>
      <c r="J72" s="45">
        <v>14040279.3687001</v>
      </c>
      <c r="K72" s="45">
        <v>15277368.8742192</v>
      </c>
      <c r="L72" s="45">
        <v>11317634.527450301</v>
      </c>
      <c r="M72" s="45">
        <v>14856278.848853299</v>
      </c>
      <c r="N72" s="45">
        <v>19409581.312593602</v>
      </c>
      <c r="O72" s="45">
        <v>11434315.7920129</v>
      </c>
      <c r="P72" s="45">
        <f t="shared" si="0"/>
        <v>151940321.79438999</v>
      </c>
    </row>
    <row r="73" spans="1:17" ht="12.75" customHeight="1" x14ac:dyDescent="0.2">
      <c r="A73" s="44" t="s">
        <v>287</v>
      </c>
      <c r="B73" s="44" t="s">
        <v>239</v>
      </c>
      <c r="C73" s="44" t="s">
        <v>1197</v>
      </c>
      <c r="D73" s="44" t="s">
        <v>112</v>
      </c>
      <c r="E73" s="44" t="s">
        <v>300</v>
      </c>
      <c r="F73" s="45">
        <v>3177403.3921221602</v>
      </c>
      <c r="G73" s="45">
        <v>2878583.6443001502</v>
      </c>
      <c r="H73" s="45">
        <v>3169611.7250741501</v>
      </c>
      <c r="I73" s="45">
        <v>2667958.75437976</v>
      </c>
      <c r="J73" s="45">
        <v>2937687.3591420702</v>
      </c>
      <c r="K73" s="45">
        <v>3785806.2635600399</v>
      </c>
      <c r="L73" s="45">
        <v>2260327.1909834598</v>
      </c>
      <c r="M73" s="45">
        <v>3664520.97606637</v>
      </c>
      <c r="N73" s="45">
        <v>3519776.3590124301</v>
      </c>
      <c r="O73" s="45">
        <v>2584409.3899858901</v>
      </c>
      <c r="P73" s="45">
        <f t="shared" si="0"/>
        <v>30646085.05462648</v>
      </c>
    </row>
    <row r="74" spans="1:17" ht="12.75" customHeight="1" x14ac:dyDescent="0.2">
      <c r="A74" s="44" t="s">
        <v>287</v>
      </c>
      <c r="B74" s="44" t="s">
        <v>239</v>
      </c>
      <c r="C74" s="44" t="s">
        <v>1197</v>
      </c>
      <c r="D74" s="44" t="s">
        <v>112</v>
      </c>
      <c r="E74" s="44" t="s">
        <v>301</v>
      </c>
      <c r="F74" s="45">
        <v>48143772.111523397</v>
      </c>
      <c r="G74" s="45">
        <v>46389453.2751735</v>
      </c>
      <c r="H74" s="45">
        <v>47170503.8737505</v>
      </c>
      <c r="I74" s="45">
        <v>55942718.384861998</v>
      </c>
      <c r="J74" s="45">
        <v>51199031.036588497</v>
      </c>
      <c r="K74" s="45">
        <v>51202159.891382299</v>
      </c>
      <c r="L74" s="45">
        <v>36369208.5507126</v>
      </c>
      <c r="M74" s="45">
        <v>35797407.936962202</v>
      </c>
      <c r="N74" s="45">
        <v>44798792.455566898</v>
      </c>
      <c r="O74" s="45">
        <v>33478004.493272599</v>
      </c>
      <c r="P74" s="45">
        <f t="shared" si="0"/>
        <v>450491052.00979447</v>
      </c>
    </row>
    <row r="75" spans="1:17" ht="12.75" customHeight="1" x14ac:dyDescent="0.2">
      <c r="A75" s="44" t="s">
        <v>287</v>
      </c>
      <c r="B75" s="44" t="s">
        <v>239</v>
      </c>
      <c r="C75" s="44" t="s">
        <v>1197</v>
      </c>
      <c r="D75" s="44" t="s">
        <v>112</v>
      </c>
      <c r="E75" s="44" t="s">
        <v>1217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0"/>
        <v>0</v>
      </c>
    </row>
    <row r="76" spans="1:17" ht="12.75" customHeight="1" x14ac:dyDescent="0.2">
      <c r="A76" s="44" t="s">
        <v>287</v>
      </c>
      <c r="B76" s="44" t="s">
        <v>239</v>
      </c>
      <c r="C76" s="44" t="s">
        <v>1197</v>
      </c>
      <c r="D76" s="44" t="s">
        <v>112</v>
      </c>
      <c r="E76" s="44" t="s">
        <v>1218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0"/>
        <v>0</v>
      </c>
    </row>
    <row r="77" spans="1:17" ht="12.75" customHeight="1" x14ac:dyDescent="0.2">
      <c r="A77" s="44" t="s">
        <v>287</v>
      </c>
      <c r="B77" s="44" t="s">
        <v>239</v>
      </c>
      <c r="C77" s="44" t="s">
        <v>1197</v>
      </c>
      <c r="D77" s="44" t="s">
        <v>112</v>
      </c>
      <c r="E77" s="44" t="s">
        <v>1219</v>
      </c>
      <c r="F77" s="45">
        <v>141166453.93316901</v>
      </c>
      <c r="G77" s="45">
        <v>125455559.782557</v>
      </c>
      <c r="H77" s="45">
        <v>134653006.312664</v>
      </c>
      <c r="I77" s="45">
        <v>155548596.45169401</v>
      </c>
      <c r="J77" s="45">
        <v>130944342.02199601</v>
      </c>
      <c r="K77" s="45">
        <v>138989664.39931801</v>
      </c>
      <c r="L77" s="45">
        <v>141452641.85935101</v>
      </c>
      <c r="M77" s="45">
        <v>139953533.87337199</v>
      </c>
      <c r="N77" s="45">
        <v>167404655.06201699</v>
      </c>
      <c r="O77" s="45">
        <v>129795077.944888</v>
      </c>
      <c r="P77" s="45">
        <f t="shared" si="0"/>
        <v>1405363531.641026</v>
      </c>
    </row>
    <row r="78" spans="1:17" ht="12.75" customHeight="1" x14ac:dyDescent="0.2">
      <c r="A78" s="44" t="s">
        <v>238</v>
      </c>
      <c r="B78" s="44" t="s">
        <v>239</v>
      </c>
      <c r="C78" s="44" t="s">
        <v>1220</v>
      </c>
      <c r="D78" s="44" t="s">
        <v>187</v>
      </c>
      <c r="E78" s="44" t="s">
        <v>241</v>
      </c>
      <c r="F78" s="44">
        <v>2026</v>
      </c>
      <c r="G78" s="45">
        <v>439433.847831249</v>
      </c>
      <c r="H78" s="45">
        <v>39776.902167000699</v>
      </c>
      <c r="I78" s="45">
        <v>0</v>
      </c>
      <c r="J78" s="45">
        <v>85074.963902927702</v>
      </c>
      <c r="K78" s="45">
        <v>39971.285476992402</v>
      </c>
      <c r="L78" s="45">
        <v>37625.727627888999</v>
      </c>
      <c r="M78" s="45">
        <v>0</v>
      </c>
      <c r="N78" s="45">
        <v>36030.185330879198</v>
      </c>
      <c r="O78" s="45">
        <v>0</v>
      </c>
      <c r="P78" s="45">
        <v>273043.19480649999</v>
      </c>
      <c r="Q78" s="45">
        <f t="shared" ref="Q78:Q153" si="1">SUM(G78:P78)</f>
        <v>950956.10714343796</v>
      </c>
    </row>
    <row r="79" spans="1:17" ht="12.75" customHeight="1" x14ac:dyDescent="0.2">
      <c r="A79" s="44" t="s">
        <v>238</v>
      </c>
      <c r="B79" s="44" t="s">
        <v>239</v>
      </c>
      <c r="C79" s="44" t="s">
        <v>1220</v>
      </c>
      <c r="D79" s="44" t="s">
        <v>187</v>
      </c>
      <c r="E79" s="44" t="s">
        <v>242</v>
      </c>
      <c r="F79" s="44">
        <v>2026</v>
      </c>
      <c r="G79" s="45">
        <v>719073.57051736</v>
      </c>
      <c r="H79" s="45">
        <v>79553.804334001296</v>
      </c>
      <c r="I79" s="45">
        <v>199939.21705541099</v>
      </c>
      <c r="J79" s="45">
        <v>0</v>
      </c>
      <c r="K79" s="45">
        <v>0</v>
      </c>
      <c r="L79" s="45">
        <v>188128.65201153501</v>
      </c>
      <c r="M79" s="45">
        <v>0</v>
      </c>
      <c r="N79" s="45">
        <v>0</v>
      </c>
      <c r="O79" s="45">
        <v>0</v>
      </c>
      <c r="P79" s="45">
        <v>102391.20119829</v>
      </c>
      <c r="Q79" s="45">
        <f t="shared" si="1"/>
        <v>1289086.4451165972</v>
      </c>
    </row>
    <row r="80" spans="1:17" ht="12.75" customHeight="1" x14ac:dyDescent="0.2">
      <c r="A80" s="44" t="s">
        <v>243</v>
      </c>
      <c r="B80" s="44" t="s">
        <v>239</v>
      </c>
      <c r="C80" s="44" t="s">
        <v>1220</v>
      </c>
      <c r="D80" s="44" t="s">
        <v>74</v>
      </c>
      <c r="E80" s="44" t="s">
        <v>244</v>
      </c>
      <c r="F80" s="44">
        <v>2025</v>
      </c>
      <c r="G80" s="45">
        <v>1072761.88104006</v>
      </c>
      <c r="H80" s="45">
        <v>0</v>
      </c>
      <c r="I80" s="45">
        <v>414788.50950775098</v>
      </c>
      <c r="J80" s="45">
        <v>0</v>
      </c>
      <c r="K80" s="45">
        <v>0</v>
      </c>
      <c r="L80" s="45">
        <v>172652.41010129801</v>
      </c>
      <c r="M80" s="45">
        <v>0</v>
      </c>
      <c r="N80" s="45">
        <v>0</v>
      </c>
      <c r="O80" s="45">
        <v>0</v>
      </c>
      <c r="P80" s="45">
        <v>0</v>
      </c>
      <c r="Q80" s="45">
        <f t="shared" si="1"/>
        <v>1660202.8006491091</v>
      </c>
    </row>
    <row r="81" spans="1:17" ht="12.75" customHeight="1" x14ac:dyDescent="0.2">
      <c r="A81" s="44" t="s">
        <v>243</v>
      </c>
      <c r="B81" s="44" t="s">
        <v>239</v>
      </c>
      <c r="C81" s="44" t="s">
        <v>1220</v>
      </c>
      <c r="D81" s="44" t="s">
        <v>74</v>
      </c>
      <c r="E81" s="44" t="s">
        <v>245</v>
      </c>
      <c r="F81" s="44">
        <v>2026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196099.13601280301</v>
      </c>
      <c r="N81" s="45">
        <v>0</v>
      </c>
      <c r="O81" s="45">
        <v>1209520.6135363099</v>
      </c>
      <c r="P81" s="45">
        <v>0</v>
      </c>
      <c r="Q81" s="45">
        <f t="shared" si="1"/>
        <v>1405619.749549113</v>
      </c>
    </row>
    <row r="82" spans="1:17" ht="12.75" customHeight="1" x14ac:dyDescent="0.2">
      <c r="A82" s="44" t="s">
        <v>243</v>
      </c>
      <c r="B82" s="44" t="s">
        <v>239</v>
      </c>
      <c r="C82" s="44" t="s">
        <v>1220</v>
      </c>
      <c r="D82" s="44" t="s">
        <v>74</v>
      </c>
      <c r="E82" s="44" t="s">
        <v>246</v>
      </c>
      <c r="F82" s="44">
        <v>2026</v>
      </c>
      <c r="G82" s="45">
        <v>1304531.44972803</v>
      </c>
      <c r="H82" s="45">
        <v>533235.22819147795</v>
      </c>
      <c r="I82" s="45">
        <v>242242.79770221701</v>
      </c>
      <c r="J82" s="45">
        <v>0</v>
      </c>
      <c r="K82" s="45">
        <v>430802.35378753801</v>
      </c>
      <c r="L82" s="45">
        <v>377916.94211061898</v>
      </c>
      <c r="M82" s="45">
        <v>0</v>
      </c>
      <c r="N82" s="45">
        <v>0</v>
      </c>
      <c r="O82" s="45">
        <v>96859.989008885794</v>
      </c>
      <c r="P82" s="45">
        <v>115651.456780243</v>
      </c>
      <c r="Q82" s="45">
        <f t="shared" si="1"/>
        <v>3101240.2173090111</v>
      </c>
    </row>
    <row r="83" spans="1:17" ht="12.75" customHeight="1" x14ac:dyDescent="0.2">
      <c r="A83" s="44" t="s">
        <v>243</v>
      </c>
      <c r="B83" s="44" t="s">
        <v>239</v>
      </c>
      <c r="C83" s="44" t="s">
        <v>1220</v>
      </c>
      <c r="D83" s="44" t="s">
        <v>74</v>
      </c>
      <c r="E83" s="44" t="s">
        <v>247</v>
      </c>
      <c r="F83" s="44">
        <v>2026</v>
      </c>
      <c r="G83" s="45">
        <v>1434984.59867402</v>
      </c>
      <c r="H83" s="45">
        <v>533235.24849231204</v>
      </c>
      <c r="I83" s="45">
        <v>484485.59540443501</v>
      </c>
      <c r="J83" s="45">
        <v>357598.89731139899</v>
      </c>
      <c r="K83" s="45">
        <v>335068.50346479099</v>
      </c>
      <c r="L83" s="45">
        <v>0</v>
      </c>
      <c r="M83" s="45">
        <v>157038.74697363301</v>
      </c>
      <c r="N83" s="45">
        <v>97279.522980728099</v>
      </c>
      <c r="O83" s="45">
        <v>0</v>
      </c>
      <c r="P83" s="45">
        <v>462605.809509076</v>
      </c>
      <c r="Q83" s="45">
        <f t="shared" si="1"/>
        <v>3862296.9228103943</v>
      </c>
    </row>
    <row r="84" spans="1:17" ht="12.75" customHeight="1" x14ac:dyDescent="0.2">
      <c r="A84" s="44" t="s">
        <v>243</v>
      </c>
      <c r="B84" s="44" t="s">
        <v>239</v>
      </c>
      <c r="C84" s="44" t="s">
        <v>1220</v>
      </c>
      <c r="D84" s="44" t="s">
        <v>74</v>
      </c>
      <c r="E84" s="44" t="s">
        <v>1198</v>
      </c>
      <c r="F84" s="44">
        <v>2026</v>
      </c>
      <c r="G84" s="45">
        <v>643894.82484453195</v>
      </c>
      <c r="H84" s="45">
        <v>804210.02028944902</v>
      </c>
      <c r="I84" s="45">
        <v>398556.36765589</v>
      </c>
      <c r="J84" s="45">
        <v>1.7970705094801001</v>
      </c>
      <c r="K84" s="45">
        <v>196886.13365136299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f t="shared" si="1"/>
        <v>2043549.1435117435</v>
      </c>
    </row>
    <row r="85" spans="1:17" ht="12.75" customHeight="1" x14ac:dyDescent="0.2">
      <c r="A85" s="44" t="s">
        <v>243</v>
      </c>
      <c r="B85" s="44" t="s">
        <v>239</v>
      </c>
      <c r="C85" s="44" t="s">
        <v>1220</v>
      </c>
      <c r="D85" s="44" t="s">
        <v>74</v>
      </c>
      <c r="E85" s="44" t="s">
        <v>248</v>
      </c>
      <c r="F85" s="44">
        <v>2026</v>
      </c>
      <c r="G85" s="45">
        <v>9733876.3557374794</v>
      </c>
      <c r="H85" s="45">
        <v>5511945.5383233298</v>
      </c>
      <c r="I85" s="45">
        <v>2415935.2149707102</v>
      </c>
      <c r="J85" s="45">
        <v>1142193.74361558</v>
      </c>
      <c r="K85" s="45">
        <v>2495262.8867087201</v>
      </c>
      <c r="L85" s="45">
        <v>2143786.2557330201</v>
      </c>
      <c r="M85" s="45">
        <v>1900646.47477302</v>
      </c>
      <c r="N85" s="45">
        <v>2680900.9715027399</v>
      </c>
      <c r="O85" s="45">
        <v>2839147.17832598</v>
      </c>
      <c r="P85" s="45">
        <v>7285185.6804988701</v>
      </c>
      <c r="Q85" s="45">
        <f t="shared" si="1"/>
        <v>38148880.30018945</v>
      </c>
    </row>
    <row r="86" spans="1:17" ht="12.75" customHeight="1" x14ac:dyDescent="0.2">
      <c r="A86" s="44" t="s">
        <v>243</v>
      </c>
      <c r="B86" s="44" t="s">
        <v>239</v>
      </c>
      <c r="C86" s="44" t="s">
        <v>1220</v>
      </c>
      <c r="D86" s="44" t="s">
        <v>74</v>
      </c>
      <c r="E86" s="44" t="s">
        <v>249</v>
      </c>
      <c r="F86" s="44">
        <v>2026</v>
      </c>
      <c r="G86" s="45">
        <v>3449899.1177412099</v>
      </c>
      <c r="H86" s="45">
        <v>1314045.4102334699</v>
      </c>
      <c r="I86" s="45">
        <v>570278.582924666</v>
      </c>
      <c r="J86" s="45">
        <v>0</v>
      </c>
      <c r="K86" s="45">
        <v>288550.06329261698</v>
      </c>
      <c r="L86" s="45">
        <v>125972.320431407</v>
      </c>
      <c r="M86" s="45">
        <v>0</v>
      </c>
      <c r="N86" s="45">
        <v>163519.05735678101</v>
      </c>
      <c r="O86" s="45">
        <v>135603.98756248999</v>
      </c>
      <c r="P86" s="45">
        <v>1953261.45922752</v>
      </c>
      <c r="Q86" s="45">
        <f t="shared" si="1"/>
        <v>8001129.9987701606</v>
      </c>
    </row>
    <row r="87" spans="1:17" ht="12.75" customHeight="1" x14ac:dyDescent="0.2">
      <c r="A87" s="44" t="s">
        <v>243</v>
      </c>
      <c r="B87" s="44" t="s">
        <v>239</v>
      </c>
      <c r="C87" s="44" t="s">
        <v>1220</v>
      </c>
      <c r="D87" s="44" t="s">
        <v>74</v>
      </c>
      <c r="E87" s="44" t="s">
        <v>250</v>
      </c>
      <c r="F87" s="44">
        <v>2026</v>
      </c>
      <c r="G87" s="45">
        <v>4678672.1505094003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1751031.3247682699</v>
      </c>
      <c r="O87" s="45">
        <v>8717398.5682921801</v>
      </c>
      <c r="P87" s="45">
        <v>6939087.0545766596</v>
      </c>
      <c r="Q87" s="45">
        <f t="shared" si="1"/>
        <v>22086189.098146509</v>
      </c>
    </row>
    <row r="88" spans="1:17" ht="12.75" customHeight="1" x14ac:dyDescent="0.2">
      <c r="A88" s="44" t="s">
        <v>243</v>
      </c>
      <c r="B88" s="44" t="s">
        <v>239</v>
      </c>
      <c r="C88" s="44" t="s">
        <v>1220</v>
      </c>
      <c r="D88" s="44" t="s">
        <v>74</v>
      </c>
      <c r="E88" s="44" t="s">
        <v>251</v>
      </c>
      <c r="F88" s="44">
        <v>2026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12257219.273377899</v>
      </c>
      <c r="O88" s="45">
        <v>12494937.9478855</v>
      </c>
      <c r="P88" s="45">
        <v>9367767.5236784909</v>
      </c>
      <c r="Q88" s="45">
        <f t="shared" si="1"/>
        <v>34119924.74494189</v>
      </c>
    </row>
    <row r="89" spans="1:17" ht="12.75" customHeight="1" x14ac:dyDescent="0.2">
      <c r="A89" s="44" t="s">
        <v>252</v>
      </c>
      <c r="B89" s="44" t="s">
        <v>239</v>
      </c>
      <c r="C89" s="44" t="s">
        <v>1220</v>
      </c>
      <c r="D89" s="44" t="s">
        <v>52</v>
      </c>
      <c r="E89" s="44" t="s">
        <v>253</v>
      </c>
      <c r="F89" s="44">
        <v>2026</v>
      </c>
      <c r="G89" s="45">
        <v>8897208.5975228194</v>
      </c>
      <c r="H89" s="45">
        <v>1242371.4026846399</v>
      </c>
      <c r="I89" s="45">
        <v>1678860.4063755299</v>
      </c>
      <c r="J89" s="45">
        <v>719229.85142991901</v>
      </c>
      <c r="K89" s="45">
        <v>1003681.17211115</v>
      </c>
      <c r="L89" s="45">
        <v>1140368.0495766299</v>
      </c>
      <c r="M89" s="45">
        <v>1158553.1367575901</v>
      </c>
      <c r="N89" s="45">
        <v>982382.83002720296</v>
      </c>
      <c r="O89" s="45">
        <v>1734693.9210890799</v>
      </c>
      <c r="P89" s="45">
        <v>2008475.0730464901</v>
      </c>
      <c r="Q89" s="45">
        <f t="shared" si="1"/>
        <v>20565824.440621052</v>
      </c>
    </row>
    <row r="90" spans="1:17" ht="12.75" customHeight="1" x14ac:dyDescent="0.2">
      <c r="A90" s="44" t="s">
        <v>252</v>
      </c>
      <c r="B90" s="44" t="s">
        <v>239</v>
      </c>
      <c r="C90" s="44" t="s">
        <v>1220</v>
      </c>
      <c r="D90" s="44" t="s">
        <v>52</v>
      </c>
      <c r="E90" s="44" t="s">
        <v>254</v>
      </c>
      <c r="F90" s="44">
        <v>2026</v>
      </c>
      <c r="G90" s="45">
        <v>428412.59135328501</v>
      </c>
      <c r="H90" s="45">
        <v>131915.76723116901</v>
      </c>
      <c r="I90" s="45">
        <v>179485.139160458</v>
      </c>
      <c r="J90" s="45">
        <v>58030.239645884401</v>
      </c>
      <c r="K90" s="45">
        <v>350053.1499735</v>
      </c>
      <c r="L90" s="45">
        <v>51647.0776413637</v>
      </c>
      <c r="M90" s="45">
        <v>0</v>
      </c>
      <c r="N90" s="45">
        <v>0</v>
      </c>
      <c r="O90" s="45">
        <v>0</v>
      </c>
      <c r="P90" s="45">
        <v>0</v>
      </c>
      <c r="Q90" s="45">
        <f t="shared" si="1"/>
        <v>1199543.9650056602</v>
      </c>
    </row>
    <row r="91" spans="1:17" ht="12.75" customHeight="1" x14ac:dyDescent="0.2">
      <c r="A91" s="44" t="s">
        <v>252</v>
      </c>
      <c r="B91" s="44" t="s">
        <v>239</v>
      </c>
      <c r="C91" s="44" t="s">
        <v>1220</v>
      </c>
      <c r="D91" s="44" t="s">
        <v>52</v>
      </c>
      <c r="E91" s="44" t="s">
        <v>255</v>
      </c>
      <c r="F91" s="44">
        <v>2026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f t="shared" si="1"/>
        <v>0</v>
      </c>
    </row>
    <row r="92" spans="1:17" ht="12.75" customHeight="1" x14ac:dyDescent="0.2">
      <c r="A92" s="44" t="s">
        <v>252</v>
      </c>
      <c r="B92" s="44" t="s">
        <v>239</v>
      </c>
      <c r="C92" s="44" t="s">
        <v>1220</v>
      </c>
      <c r="D92" s="44" t="s">
        <v>52</v>
      </c>
      <c r="E92" s="44" t="s">
        <v>256</v>
      </c>
      <c r="F92" s="44">
        <v>2026</v>
      </c>
      <c r="G92" s="45">
        <v>61201.798764755004</v>
      </c>
      <c r="H92" s="45">
        <v>329789.43590759102</v>
      </c>
      <c r="I92" s="45">
        <v>0</v>
      </c>
      <c r="J92" s="45">
        <v>0</v>
      </c>
      <c r="K92" s="45">
        <v>70010.626209659502</v>
      </c>
      <c r="L92" s="45">
        <v>0</v>
      </c>
      <c r="M92" s="45">
        <v>0</v>
      </c>
      <c r="N92" s="45">
        <v>51607.809623348898</v>
      </c>
      <c r="O92" s="45">
        <v>0</v>
      </c>
      <c r="P92" s="45">
        <v>0</v>
      </c>
      <c r="Q92" s="45">
        <f t="shared" si="1"/>
        <v>512609.67050535441</v>
      </c>
    </row>
    <row r="93" spans="1:17" ht="12.75" customHeight="1" x14ac:dyDescent="0.2">
      <c r="A93" s="44" t="s">
        <v>252</v>
      </c>
      <c r="B93" s="44" t="s">
        <v>239</v>
      </c>
      <c r="C93" s="44" t="s">
        <v>1220</v>
      </c>
      <c r="D93" s="44" t="s">
        <v>52</v>
      </c>
      <c r="E93" s="44" t="s">
        <v>257</v>
      </c>
      <c r="F93" s="44">
        <v>2026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73162.362248454097</v>
      </c>
      <c r="P93" s="45">
        <v>0</v>
      </c>
      <c r="Q93" s="45">
        <f t="shared" si="1"/>
        <v>73162.362248454097</v>
      </c>
    </row>
    <row r="94" spans="1:17" ht="12.75" customHeight="1" x14ac:dyDescent="0.2">
      <c r="A94" s="44" t="s">
        <v>252</v>
      </c>
      <c r="B94" s="44" t="s">
        <v>239</v>
      </c>
      <c r="C94" s="44" t="s">
        <v>1220</v>
      </c>
      <c r="D94" s="44" t="s">
        <v>52</v>
      </c>
      <c r="E94" s="44" t="s">
        <v>258</v>
      </c>
      <c r="F94" s="44">
        <v>2026</v>
      </c>
      <c r="G94" s="45">
        <v>430144.23624032497</v>
      </c>
      <c r="H94" s="45">
        <v>534890.07571568503</v>
      </c>
      <c r="I94" s="45">
        <v>213496.444003752</v>
      </c>
      <c r="J94" s="45">
        <v>0</v>
      </c>
      <c r="K94" s="45">
        <v>75700.810075394096</v>
      </c>
      <c r="L94" s="45">
        <v>0</v>
      </c>
      <c r="M94" s="45">
        <v>0</v>
      </c>
      <c r="N94" s="45">
        <v>0</v>
      </c>
      <c r="O94" s="45">
        <v>0</v>
      </c>
      <c r="P94" s="45">
        <v>0</v>
      </c>
      <c r="Q94" s="45">
        <f t="shared" si="1"/>
        <v>1254231.5660351561</v>
      </c>
    </row>
    <row r="95" spans="1:17" ht="12.75" customHeight="1" x14ac:dyDescent="0.2">
      <c r="A95" s="44" t="s">
        <v>252</v>
      </c>
      <c r="B95" s="44" t="s">
        <v>239</v>
      </c>
      <c r="C95" s="44" t="s">
        <v>1220</v>
      </c>
      <c r="D95" s="44" t="s">
        <v>52</v>
      </c>
      <c r="E95" s="44" t="s">
        <v>259</v>
      </c>
      <c r="F95" s="44">
        <v>2026</v>
      </c>
      <c r="G95" s="45">
        <v>946333.86373780097</v>
      </c>
      <c r="H95" s="45">
        <v>748846.10600195895</v>
      </c>
      <c r="I95" s="45">
        <v>64690.991289675701</v>
      </c>
      <c r="J95" s="45">
        <v>62746.705577339999</v>
      </c>
      <c r="K95" s="45">
        <v>0</v>
      </c>
      <c r="L95" s="45">
        <v>27922.3728393003</v>
      </c>
      <c r="M95" s="45">
        <v>0</v>
      </c>
      <c r="N95" s="45">
        <v>0</v>
      </c>
      <c r="O95" s="45">
        <v>0</v>
      </c>
      <c r="P95" s="45">
        <v>0</v>
      </c>
      <c r="Q95" s="45">
        <f t="shared" si="1"/>
        <v>1850540.0394460757</v>
      </c>
    </row>
    <row r="96" spans="1:17" ht="12.75" customHeight="1" x14ac:dyDescent="0.2">
      <c r="A96" s="44" t="s">
        <v>252</v>
      </c>
      <c r="B96" s="44" t="s">
        <v>239</v>
      </c>
      <c r="C96" s="44" t="s">
        <v>1220</v>
      </c>
      <c r="D96" s="44" t="s">
        <v>52</v>
      </c>
      <c r="E96" s="44" t="s">
        <v>260</v>
      </c>
      <c r="F96" s="44">
        <v>2026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72250.930682574093</v>
      </c>
      <c r="O96" s="45">
        <v>135872.96653373199</v>
      </c>
      <c r="P96" s="45">
        <v>46435.359176254802</v>
      </c>
      <c r="Q96" s="45">
        <f t="shared" si="1"/>
        <v>254559.25639256087</v>
      </c>
    </row>
    <row r="97" spans="1:17" ht="12.75" customHeight="1" x14ac:dyDescent="0.2">
      <c r="A97" s="44" t="s">
        <v>252</v>
      </c>
      <c r="B97" s="44" t="s">
        <v>239</v>
      </c>
      <c r="C97" s="44" t="s">
        <v>1220</v>
      </c>
      <c r="D97" s="44" t="s">
        <v>52</v>
      </c>
      <c r="E97" s="44" t="s">
        <v>261</v>
      </c>
      <c r="F97" s="44">
        <v>2026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f t="shared" si="1"/>
        <v>0</v>
      </c>
    </row>
    <row r="98" spans="1:17" ht="12.75" customHeight="1" x14ac:dyDescent="0.2">
      <c r="A98" s="44" t="s">
        <v>252</v>
      </c>
      <c r="B98" s="44" t="s">
        <v>239</v>
      </c>
      <c r="C98" s="44" t="s">
        <v>1220</v>
      </c>
      <c r="D98" s="44" t="s">
        <v>52</v>
      </c>
      <c r="E98" s="44" t="s">
        <v>262</v>
      </c>
      <c r="F98" s="44">
        <v>2026</v>
      </c>
      <c r="G98" s="45">
        <v>99594.934698721394</v>
      </c>
      <c r="H98" s="45">
        <v>214669.217053895</v>
      </c>
      <c r="I98" s="45">
        <v>97359.941890962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f t="shared" si="1"/>
        <v>411624.09364357841</v>
      </c>
    </row>
    <row r="99" spans="1:17" ht="12.75" customHeight="1" x14ac:dyDescent="0.2">
      <c r="A99" s="44" t="s">
        <v>252</v>
      </c>
      <c r="B99" s="44" t="s">
        <v>239</v>
      </c>
      <c r="C99" s="44" t="s">
        <v>1220</v>
      </c>
      <c r="D99" s="44" t="s">
        <v>52</v>
      </c>
      <c r="E99" s="44" t="s">
        <v>263</v>
      </c>
      <c r="F99" s="44">
        <v>2026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235542.41127261199</v>
      </c>
      <c r="P99" s="45">
        <v>242527.83353923101</v>
      </c>
      <c r="Q99" s="45">
        <f t="shared" si="1"/>
        <v>478070.24481184303</v>
      </c>
    </row>
    <row r="100" spans="1:17" ht="12.75" customHeight="1" x14ac:dyDescent="0.2">
      <c r="A100" s="44" t="s">
        <v>252</v>
      </c>
      <c r="B100" s="44" t="s">
        <v>239</v>
      </c>
      <c r="C100" s="44" t="s">
        <v>1220</v>
      </c>
      <c r="D100" s="44" t="s">
        <v>52</v>
      </c>
      <c r="E100" s="44" t="s">
        <v>1199</v>
      </c>
      <c r="F100" s="44">
        <v>2026</v>
      </c>
      <c r="G100" s="45">
        <v>3098185.4474482602</v>
      </c>
      <c r="H100" s="45">
        <v>2247370.2860296499</v>
      </c>
      <c r="I100" s="45">
        <v>291217.25216777698</v>
      </c>
      <c r="J100" s="45">
        <v>338957.67215543799</v>
      </c>
      <c r="K100" s="45">
        <v>68155.9563628123</v>
      </c>
      <c r="L100" s="45">
        <v>351952.19752803899</v>
      </c>
      <c r="M100" s="45">
        <v>95430.328548662394</v>
      </c>
      <c r="N100" s="45">
        <v>100481.30722715901</v>
      </c>
      <c r="O100" s="45">
        <v>101748.859552403</v>
      </c>
      <c r="P100" s="45">
        <v>150684.079445215</v>
      </c>
      <c r="Q100" s="45">
        <f t="shared" si="1"/>
        <v>6844183.3864654154</v>
      </c>
    </row>
    <row r="101" spans="1:17" ht="12.75" customHeight="1" x14ac:dyDescent="0.2">
      <c r="A101" s="44" t="s">
        <v>252</v>
      </c>
      <c r="B101" s="44" t="s">
        <v>239</v>
      </c>
      <c r="C101" s="44" t="s">
        <v>1220</v>
      </c>
      <c r="D101" s="44" t="s">
        <v>52</v>
      </c>
      <c r="E101" s="44" t="s">
        <v>265</v>
      </c>
      <c r="F101" s="44">
        <v>2026</v>
      </c>
      <c r="G101" s="45">
        <v>1520945.9626495901</v>
      </c>
      <c r="H101" s="45">
        <v>1053733.4848192399</v>
      </c>
      <c r="I101" s="45">
        <v>468468.44967152399</v>
      </c>
      <c r="J101" s="45">
        <v>412036.70518675802</v>
      </c>
      <c r="K101" s="45">
        <v>111847.946886395</v>
      </c>
      <c r="L101" s="45">
        <v>366713.83460987301</v>
      </c>
      <c r="M101" s="45">
        <v>87003.782943657105</v>
      </c>
      <c r="N101" s="45">
        <v>458043.774478217</v>
      </c>
      <c r="O101" s="45">
        <v>556586.29292452603</v>
      </c>
      <c r="P101" s="45">
        <v>1694336.00488205</v>
      </c>
      <c r="Q101" s="45">
        <f t="shared" si="1"/>
        <v>6729716.239051831</v>
      </c>
    </row>
    <row r="102" spans="1:17" ht="12.75" customHeight="1" x14ac:dyDescent="0.2">
      <c r="A102" s="44" t="s">
        <v>252</v>
      </c>
      <c r="B102" s="44" t="s">
        <v>239</v>
      </c>
      <c r="C102" s="44" t="s">
        <v>1220</v>
      </c>
      <c r="D102" s="44" t="s">
        <v>52</v>
      </c>
      <c r="E102" s="44" t="s">
        <v>266</v>
      </c>
      <c r="F102" s="44">
        <v>2026</v>
      </c>
      <c r="G102" s="45">
        <v>1300932.6784236799</v>
      </c>
      <c r="H102" s="45">
        <v>438134.43395789701</v>
      </c>
      <c r="I102" s="45">
        <v>158967.34004432801</v>
      </c>
      <c r="J102" s="45">
        <v>0</v>
      </c>
      <c r="K102" s="45">
        <v>57027.9562069319</v>
      </c>
      <c r="L102" s="45">
        <v>0</v>
      </c>
      <c r="M102" s="45">
        <v>0</v>
      </c>
      <c r="N102" s="45">
        <v>0</v>
      </c>
      <c r="O102" s="45">
        <v>0</v>
      </c>
      <c r="P102" s="45">
        <v>19060.0594252027</v>
      </c>
      <c r="Q102" s="45">
        <f t="shared" si="1"/>
        <v>1974122.4680580397</v>
      </c>
    </row>
    <row r="103" spans="1:17" ht="12.75" customHeight="1" x14ac:dyDescent="0.2">
      <c r="A103" s="44" t="s">
        <v>252</v>
      </c>
      <c r="B103" s="44" t="s">
        <v>239</v>
      </c>
      <c r="C103" s="44" t="s">
        <v>1220</v>
      </c>
      <c r="D103" s="44" t="s">
        <v>52</v>
      </c>
      <c r="E103" s="44" t="s">
        <v>1200</v>
      </c>
      <c r="F103" s="44">
        <v>2026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v>0</v>
      </c>
      <c r="Q103" s="45">
        <f t="shared" si="1"/>
        <v>0</v>
      </c>
    </row>
    <row r="104" spans="1:17" ht="12.75" customHeight="1" x14ac:dyDescent="0.2">
      <c r="A104" s="44" t="s">
        <v>252</v>
      </c>
      <c r="B104" s="44" t="s">
        <v>239</v>
      </c>
      <c r="C104" s="44" t="s">
        <v>1220</v>
      </c>
      <c r="D104" s="44" t="s">
        <v>52</v>
      </c>
      <c r="E104" s="44" t="s">
        <v>267</v>
      </c>
      <c r="F104" s="44">
        <v>2026</v>
      </c>
      <c r="G104" s="45">
        <v>184912.334381191</v>
      </c>
      <c r="H104" s="45">
        <v>0</v>
      </c>
      <c r="I104" s="45">
        <v>0</v>
      </c>
      <c r="J104" s="45">
        <v>0</v>
      </c>
      <c r="K104" s="45">
        <v>0</v>
      </c>
      <c r="L104" s="45">
        <v>20995.376877183098</v>
      </c>
      <c r="M104" s="45">
        <v>0</v>
      </c>
      <c r="N104" s="45">
        <v>0</v>
      </c>
      <c r="O104" s="45">
        <v>0</v>
      </c>
      <c r="P104" s="45">
        <v>0</v>
      </c>
      <c r="Q104" s="45">
        <f t="shared" si="1"/>
        <v>205907.7112583741</v>
      </c>
    </row>
    <row r="105" spans="1:17" ht="12.75" customHeight="1" x14ac:dyDescent="0.2">
      <c r="A105" s="44" t="s">
        <v>252</v>
      </c>
      <c r="B105" s="44" t="s">
        <v>239</v>
      </c>
      <c r="C105" s="44" t="s">
        <v>1220</v>
      </c>
      <c r="D105" s="44" t="s">
        <v>52</v>
      </c>
      <c r="E105" s="44" t="s">
        <v>268</v>
      </c>
      <c r="F105" s="44">
        <v>2026</v>
      </c>
      <c r="G105" s="45">
        <v>184912.334381191</v>
      </c>
      <c r="H105" s="45">
        <v>82200.652785536295</v>
      </c>
      <c r="I105" s="45">
        <v>0</v>
      </c>
      <c r="J105" s="45">
        <v>0</v>
      </c>
      <c r="K105" s="45">
        <v>0</v>
      </c>
      <c r="L105" s="45">
        <v>0</v>
      </c>
      <c r="M105" s="45">
        <v>322069.85588371201</v>
      </c>
      <c r="N105" s="45">
        <v>62378.199110570997</v>
      </c>
      <c r="O105" s="45">
        <v>686456.41993520095</v>
      </c>
      <c r="P105" s="45">
        <v>64110.014765013897</v>
      </c>
      <c r="Q105" s="45">
        <f t="shared" si="1"/>
        <v>1402127.4768612252</v>
      </c>
    </row>
    <row r="106" spans="1:17" ht="12.75" customHeight="1" x14ac:dyDescent="0.2">
      <c r="A106" s="44" t="s">
        <v>252</v>
      </c>
      <c r="B106" s="44" t="s">
        <v>239</v>
      </c>
      <c r="C106" s="44" t="s">
        <v>1220</v>
      </c>
      <c r="D106" s="44" t="s">
        <v>52</v>
      </c>
      <c r="E106" s="44" t="s">
        <v>1201</v>
      </c>
      <c r="F106" s="44">
        <v>2026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f t="shared" si="1"/>
        <v>0</v>
      </c>
    </row>
    <row r="107" spans="1:17" ht="12.75" customHeight="1" x14ac:dyDescent="0.2">
      <c r="A107" s="44" t="s">
        <v>269</v>
      </c>
      <c r="B107" s="44" t="s">
        <v>239</v>
      </c>
      <c r="C107" s="44" t="s">
        <v>1220</v>
      </c>
      <c r="D107" s="44" t="s">
        <v>87</v>
      </c>
      <c r="E107" s="44" t="s">
        <v>270</v>
      </c>
      <c r="F107" s="44">
        <v>2026</v>
      </c>
      <c r="G107" s="45">
        <v>7768634.1359655904</v>
      </c>
      <c r="H107" s="45">
        <v>2318412.1911573801</v>
      </c>
      <c r="I107" s="45">
        <v>1123414.8286650099</v>
      </c>
      <c r="J107" s="45">
        <v>518503.59558195103</v>
      </c>
      <c r="K107" s="45">
        <v>1878787.5592001099</v>
      </c>
      <c r="L107" s="45">
        <v>256135.620071791</v>
      </c>
      <c r="M107" s="45">
        <v>1445626.75990539</v>
      </c>
      <c r="N107" s="45">
        <v>1195169.18221857</v>
      </c>
      <c r="O107" s="45">
        <v>1512157.06433715</v>
      </c>
      <c r="P107" s="45">
        <v>3505367.0765494201</v>
      </c>
      <c r="Q107" s="45">
        <f t="shared" si="1"/>
        <v>21522208.013652362</v>
      </c>
    </row>
    <row r="108" spans="1:17" ht="12.75" customHeight="1" x14ac:dyDescent="0.2">
      <c r="A108" s="44" t="s">
        <v>269</v>
      </c>
      <c r="B108" s="44" t="s">
        <v>239</v>
      </c>
      <c r="C108" s="44" t="s">
        <v>1220</v>
      </c>
      <c r="D108" s="44" t="s">
        <v>87</v>
      </c>
      <c r="E108" s="44" t="s">
        <v>271</v>
      </c>
      <c r="F108" s="44">
        <v>2026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f t="shared" si="1"/>
        <v>0</v>
      </c>
    </row>
    <row r="109" spans="1:17" ht="12.75" customHeight="1" x14ac:dyDescent="0.2">
      <c r="A109" s="44" t="s">
        <v>269</v>
      </c>
      <c r="B109" s="44" t="s">
        <v>239</v>
      </c>
      <c r="C109" s="44" t="s">
        <v>1220</v>
      </c>
      <c r="D109" s="44" t="s">
        <v>87</v>
      </c>
      <c r="E109" s="44" t="s">
        <v>272</v>
      </c>
      <c r="F109" s="44">
        <v>2026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f t="shared" si="1"/>
        <v>0</v>
      </c>
    </row>
    <row r="110" spans="1:17" ht="12.75" customHeight="1" x14ac:dyDescent="0.2">
      <c r="A110" s="44" t="s">
        <v>269</v>
      </c>
      <c r="B110" s="44" t="s">
        <v>239</v>
      </c>
      <c r="C110" s="44" t="s">
        <v>1220</v>
      </c>
      <c r="D110" s="44" t="s">
        <v>87</v>
      </c>
      <c r="E110" s="44" t="s">
        <v>1202</v>
      </c>
      <c r="F110" s="44">
        <v>2026</v>
      </c>
      <c r="G110" s="45">
        <v>364855.536445904</v>
      </c>
      <c r="H110" s="45">
        <v>398026.32919268298</v>
      </c>
      <c r="I110" s="45">
        <v>456518.23638247</v>
      </c>
      <c r="J110" s="45">
        <v>182120.754078942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82631.058375220702</v>
      </c>
      <c r="Q110" s="45">
        <f t="shared" si="1"/>
        <v>1484151.9144752198</v>
      </c>
    </row>
    <row r="111" spans="1:17" ht="12.75" customHeight="1" x14ac:dyDescent="0.2">
      <c r="A111" s="44" t="s">
        <v>269</v>
      </c>
      <c r="B111" s="44" t="s">
        <v>239</v>
      </c>
      <c r="C111" s="44" t="s">
        <v>1220</v>
      </c>
      <c r="D111" s="44" t="s">
        <v>87</v>
      </c>
      <c r="E111" s="44" t="s">
        <v>1203</v>
      </c>
      <c r="F111" s="44">
        <v>2026</v>
      </c>
      <c r="G111" s="45">
        <v>182427.77516817101</v>
      </c>
      <c r="H111" s="45">
        <v>454110.07486316998</v>
      </c>
      <c r="I111" s="45">
        <v>182607.30011463101</v>
      </c>
      <c r="J111" s="45">
        <v>182120.754078942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f t="shared" si="1"/>
        <v>1001265.9042249139</v>
      </c>
    </row>
    <row r="112" spans="1:17" ht="12.75" customHeight="1" x14ac:dyDescent="0.2">
      <c r="A112" s="44" t="s">
        <v>269</v>
      </c>
      <c r="B112" s="44" t="s">
        <v>239</v>
      </c>
      <c r="C112" s="44" t="s">
        <v>1220</v>
      </c>
      <c r="D112" s="44" t="s">
        <v>87</v>
      </c>
      <c r="E112" s="44" t="s">
        <v>1204</v>
      </c>
      <c r="F112" s="44">
        <v>2026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5">
        <f t="shared" si="1"/>
        <v>0</v>
      </c>
    </row>
    <row r="113" spans="1:17" ht="12.75" customHeight="1" x14ac:dyDescent="0.2">
      <c r="A113" s="44" t="s">
        <v>269</v>
      </c>
      <c r="B113" s="44" t="s">
        <v>239</v>
      </c>
      <c r="C113" s="44" t="s">
        <v>1220</v>
      </c>
      <c r="D113" s="44" t="s">
        <v>87</v>
      </c>
      <c r="E113" s="44" t="s">
        <v>1205</v>
      </c>
      <c r="F113" s="44">
        <v>2023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f t="shared" si="1"/>
        <v>0</v>
      </c>
    </row>
    <row r="114" spans="1:17" ht="12.75" customHeight="1" x14ac:dyDescent="0.2">
      <c r="A114" s="44" t="s">
        <v>269</v>
      </c>
      <c r="B114" s="44" t="s">
        <v>239</v>
      </c>
      <c r="C114" s="44" t="s">
        <v>1220</v>
      </c>
      <c r="D114" s="44" t="s">
        <v>87</v>
      </c>
      <c r="E114" s="44" t="s">
        <v>273</v>
      </c>
      <c r="F114" s="44">
        <v>2026</v>
      </c>
      <c r="G114" s="45">
        <v>8261469.5523184799</v>
      </c>
      <c r="H114" s="45">
        <v>3770542.11788214</v>
      </c>
      <c r="I114" s="45">
        <v>1169256.58606729</v>
      </c>
      <c r="J114" s="45">
        <v>364241.508157884</v>
      </c>
      <c r="K114" s="45">
        <v>651406.39929919899</v>
      </c>
      <c r="L114" s="45">
        <v>1215413.76546025</v>
      </c>
      <c r="M114" s="45">
        <v>1699165.79642555</v>
      </c>
      <c r="N114" s="45">
        <v>2345260.3376003602</v>
      </c>
      <c r="O114" s="45">
        <v>1880477.57681241</v>
      </c>
      <c r="P114" s="45">
        <v>3181790.6088904999</v>
      </c>
      <c r="Q114" s="45">
        <f t="shared" si="1"/>
        <v>24539024.248914063</v>
      </c>
    </row>
    <row r="115" spans="1:17" ht="12.75" customHeight="1" x14ac:dyDescent="0.2">
      <c r="A115" s="44" t="s">
        <v>269</v>
      </c>
      <c r="B115" s="44" t="s">
        <v>239</v>
      </c>
      <c r="C115" s="44" t="s">
        <v>1220</v>
      </c>
      <c r="D115" s="44" t="s">
        <v>87</v>
      </c>
      <c r="E115" s="44" t="s">
        <v>274</v>
      </c>
      <c r="F115" s="44">
        <v>2026</v>
      </c>
      <c r="G115" s="45">
        <v>2583060.95750575</v>
      </c>
      <c r="H115" s="45">
        <v>635754.12417150696</v>
      </c>
      <c r="I115" s="45">
        <v>264780.58099498303</v>
      </c>
      <c r="J115" s="45">
        <v>455301.87133029301</v>
      </c>
      <c r="K115" s="45">
        <v>215967.13848264</v>
      </c>
      <c r="L115" s="45">
        <v>0</v>
      </c>
      <c r="M115" s="45">
        <v>169026.032948735</v>
      </c>
      <c r="N115" s="45">
        <v>595776.01874666102</v>
      </c>
      <c r="O115" s="45">
        <v>1333415.42607333</v>
      </c>
      <c r="P115" s="45">
        <v>1667184.28680013</v>
      </c>
      <c r="Q115" s="45">
        <f t="shared" si="1"/>
        <v>7920266.4370540297</v>
      </c>
    </row>
    <row r="116" spans="1:17" ht="12.75" customHeight="1" x14ac:dyDescent="0.2">
      <c r="A116" s="44" t="s">
        <v>269</v>
      </c>
      <c r="B116" s="44" t="s">
        <v>239</v>
      </c>
      <c r="C116" s="44" t="s">
        <v>1220</v>
      </c>
      <c r="D116" s="44" t="s">
        <v>87</v>
      </c>
      <c r="E116" s="44" t="s">
        <v>275</v>
      </c>
      <c r="F116" s="44">
        <v>2026</v>
      </c>
      <c r="G116" s="45">
        <v>1003352.72175363</v>
      </c>
      <c r="H116" s="45">
        <v>90822.017738786701</v>
      </c>
      <c r="I116" s="45">
        <v>0</v>
      </c>
      <c r="J116" s="45">
        <v>0</v>
      </c>
      <c r="K116" s="45">
        <v>79887.6027990726</v>
      </c>
      <c r="L116" s="45">
        <v>0</v>
      </c>
      <c r="M116" s="45">
        <v>0</v>
      </c>
      <c r="N116" s="45">
        <v>0</v>
      </c>
      <c r="O116" s="45">
        <v>0</v>
      </c>
      <c r="P116" s="45">
        <v>330524.22091747302</v>
      </c>
      <c r="Q116" s="45">
        <f t="shared" si="1"/>
        <v>1504586.5632089623</v>
      </c>
    </row>
    <row r="117" spans="1:17" ht="12.75" customHeight="1" x14ac:dyDescent="0.2">
      <c r="A117" s="44" t="s">
        <v>269</v>
      </c>
      <c r="B117" s="44" t="s">
        <v>239</v>
      </c>
      <c r="C117" s="44" t="s">
        <v>1220</v>
      </c>
      <c r="D117" s="44" t="s">
        <v>87</v>
      </c>
      <c r="E117" s="44" t="s">
        <v>276</v>
      </c>
      <c r="F117" s="44">
        <v>2026</v>
      </c>
      <c r="G117" s="45">
        <v>8089242.4943033</v>
      </c>
      <c r="H117" s="45">
        <v>2608103.8018542798</v>
      </c>
      <c r="I117" s="45">
        <v>932437.24136539304</v>
      </c>
      <c r="J117" s="45">
        <v>364241.508157884</v>
      </c>
      <c r="K117" s="45">
        <v>2033898.4315233901</v>
      </c>
      <c r="L117" s="45">
        <v>1274411.9065938501</v>
      </c>
      <c r="M117" s="45">
        <v>1454532.2911936</v>
      </c>
      <c r="N117" s="45">
        <v>1387732.6345766301</v>
      </c>
      <c r="O117" s="45">
        <v>1896760.36633192</v>
      </c>
      <c r="P117" s="45">
        <v>2792929.7277821898</v>
      </c>
      <c r="Q117" s="45">
        <f t="shared" si="1"/>
        <v>22834290.403682441</v>
      </c>
    </row>
    <row r="118" spans="1:17" ht="12.75" customHeight="1" x14ac:dyDescent="0.2">
      <c r="A118" s="44" t="s">
        <v>269</v>
      </c>
      <c r="B118" s="44" t="s">
        <v>239</v>
      </c>
      <c r="C118" s="44" t="s">
        <v>1220</v>
      </c>
      <c r="D118" s="44" t="s">
        <v>87</v>
      </c>
      <c r="E118" s="44" t="s">
        <v>1206</v>
      </c>
      <c r="F118" s="44">
        <v>2026</v>
      </c>
      <c r="G118" s="45">
        <v>2553988.7690117699</v>
      </c>
      <c r="H118" s="45">
        <v>90822.017738786701</v>
      </c>
      <c r="I118" s="45">
        <v>182607.30011463101</v>
      </c>
      <c r="J118" s="45">
        <v>91060.377039471001</v>
      </c>
      <c r="K118" s="45">
        <v>177528.01523173499</v>
      </c>
      <c r="L118" s="45">
        <v>0</v>
      </c>
      <c r="M118" s="45">
        <v>73788.006348126903</v>
      </c>
      <c r="N118" s="45">
        <v>0</v>
      </c>
      <c r="O118" s="45">
        <v>0</v>
      </c>
      <c r="P118" s="45">
        <v>0</v>
      </c>
      <c r="Q118" s="45">
        <f t="shared" si="1"/>
        <v>3169794.4854845209</v>
      </c>
    </row>
    <row r="119" spans="1:17" ht="12.75" customHeight="1" x14ac:dyDescent="0.2">
      <c r="A119" s="44" t="s">
        <v>1207</v>
      </c>
      <c r="B119" s="44" t="s">
        <v>239</v>
      </c>
      <c r="C119" s="44" t="s">
        <v>1220</v>
      </c>
      <c r="D119" s="44" t="s">
        <v>96</v>
      </c>
      <c r="E119" s="44" t="s">
        <v>1208</v>
      </c>
      <c r="F119" s="44">
        <v>2025</v>
      </c>
      <c r="G119" s="45">
        <v>1467828.3584921099</v>
      </c>
      <c r="H119" s="45">
        <v>5026276.4096805099</v>
      </c>
      <c r="I119" s="45">
        <v>511083.20315499901</v>
      </c>
      <c r="J119" s="45">
        <v>153124.16385597599</v>
      </c>
      <c r="K119" s="45">
        <v>0</v>
      </c>
      <c r="L119" s="45">
        <v>76126.257691024206</v>
      </c>
      <c r="M119" s="45">
        <v>25439.744915082101</v>
      </c>
      <c r="N119" s="45">
        <v>0</v>
      </c>
      <c r="O119" s="45">
        <v>0</v>
      </c>
      <c r="P119" s="45">
        <v>20972.352971310102</v>
      </c>
      <c r="Q119" s="45">
        <f t="shared" si="1"/>
        <v>7280850.4907610109</v>
      </c>
    </row>
    <row r="120" spans="1:17" ht="12.75" customHeight="1" x14ac:dyDescent="0.2">
      <c r="A120" s="44" t="s">
        <v>1207</v>
      </c>
      <c r="B120" s="44" t="s">
        <v>239</v>
      </c>
      <c r="C120" s="44" t="s">
        <v>1220</v>
      </c>
      <c r="D120" s="44" t="s">
        <v>96</v>
      </c>
      <c r="E120" s="44" t="s">
        <v>1209</v>
      </c>
      <c r="F120" s="44">
        <v>2026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f t="shared" si="1"/>
        <v>0</v>
      </c>
    </row>
    <row r="121" spans="1:17" ht="12.75" customHeight="1" x14ac:dyDescent="0.2">
      <c r="A121" s="44" t="s">
        <v>1207</v>
      </c>
      <c r="B121" s="44" t="s">
        <v>239</v>
      </c>
      <c r="C121" s="44" t="s">
        <v>1220</v>
      </c>
      <c r="D121" s="44" t="s">
        <v>96</v>
      </c>
      <c r="E121" s="44" t="s">
        <v>277</v>
      </c>
      <c r="F121" s="44">
        <v>2026</v>
      </c>
      <c r="G121" s="45">
        <v>947779.37836899306</v>
      </c>
      <c r="H121" s="45">
        <v>599638.15282238298</v>
      </c>
      <c r="I121" s="45">
        <v>66729.411097873206</v>
      </c>
      <c r="J121" s="45">
        <v>169937.14774751599</v>
      </c>
      <c r="K121" s="45">
        <v>264691.36478020099</v>
      </c>
      <c r="L121" s="45">
        <v>0</v>
      </c>
      <c r="M121" s="45">
        <v>225864.18099328</v>
      </c>
      <c r="N121" s="45">
        <v>0</v>
      </c>
      <c r="O121" s="45">
        <v>0</v>
      </c>
      <c r="P121" s="45">
        <v>139650.67603522399</v>
      </c>
      <c r="Q121" s="45">
        <f t="shared" si="1"/>
        <v>2414290.3118454702</v>
      </c>
    </row>
    <row r="122" spans="1:17" ht="12.75" customHeight="1" x14ac:dyDescent="0.2">
      <c r="A122" s="44" t="s">
        <v>1207</v>
      </c>
      <c r="B122" s="44" t="s">
        <v>239</v>
      </c>
      <c r="C122" s="44" t="s">
        <v>1220</v>
      </c>
      <c r="D122" s="44" t="s">
        <v>96</v>
      </c>
      <c r="E122" s="44" t="s">
        <v>278</v>
      </c>
      <c r="F122" s="44">
        <v>2026</v>
      </c>
      <c r="G122" s="45">
        <v>3843340.1229874101</v>
      </c>
      <c r="H122" s="45">
        <v>1482741.57674245</v>
      </c>
      <c r="I122" s="45">
        <v>667294.12901696004</v>
      </c>
      <c r="J122" s="45">
        <v>396520.02672328299</v>
      </c>
      <c r="K122" s="45">
        <v>2128118.5636742702</v>
      </c>
      <c r="L122" s="45">
        <v>2027637.6019729399</v>
      </c>
      <c r="M122" s="45">
        <v>1197080.1302630799</v>
      </c>
      <c r="N122" s="45">
        <v>390780.16490244702</v>
      </c>
      <c r="O122" s="45">
        <v>236402.721040189</v>
      </c>
      <c r="P122" s="45">
        <v>884454.25219513301</v>
      </c>
      <c r="Q122" s="45">
        <f t="shared" si="1"/>
        <v>13254369.289518163</v>
      </c>
    </row>
    <row r="123" spans="1:17" ht="12.75" customHeight="1" x14ac:dyDescent="0.2">
      <c r="A123" s="44" t="s">
        <v>1207</v>
      </c>
      <c r="B123" s="44" t="s">
        <v>239</v>
      </c>
      <c r="C123" s="44" t="s">
        <v>1220</v>
      </c>
      <c r="D123" s="44" t="s">
        <v>96</v>
      </c>
      <c r="E123" s="44" t="s">
        <v>279</v>
      </c>
      <c r="F123" s="44">
        <v>2026</v>
      </c>
      <c r="G123" s="45">
        <v>118472.41629137201</v>
      </c>
      <c r="H123" s="45">
        <v>218050.22667302701</v>
      </c>
      <c r="I123" s="45">
        <v>0</v>
      </c>
      <c r="J123" s="45">
        <v>56645.715915838598</v>
      </c>
      <c r="K123" s="45">
        <v>0</v>
      </c>
      <c r="L123" s="45">
        <v>281616.33614489401</v>
      </c>
      <c r="M123" s="45">
        <v>0</v>
      </c>
      <c r="N123" s="45">
        <v>47656.117042622602</v>
      </c>
      <c r="O123" s="45">
        <v>0</v>
      </c>
      <c r="P123" s="45">
        <v>46550.221150605001</v>
      </c>
      <c r="Q123" s="45">
        <f t="shared" si="1"/>
        <v>768991.03321835923</v>
      </c>
    </row>
    <row r="124" spans="1:17" ht="12.75" customHeight="1" x14ac:dyDescent="0.2">
      <c r="A124" s="44" t="s">
        <v>1207</v>
      </c>
      <c r="B124" s="44" t="s">
        <v>239</v>
      </c>
      <c r="C124" s="44" t="s">
        <v>1220</v>
      </c>
      <c r="D124" s="44" t="s">
        <v>96</v>
      </c>
      <c r="E124" s="44" t="s">
        <v>280</v>
      </c>
      <c r="F124" s="44">
        <v>2026</v>
      </c>
      <c r="G124" s="45">
        <v>1486828.9157289499</v>
      </c>
      <c r="H124" s="45">
        <v>599638.16755816306</v>
      </c>
      <c r="I124" s="45">
        <v>547181.19625607901</v>
      </c>
      <c r="J124" s="45">
        <v>169937.16305992901</v>
      </c>
      <c r="K124" s="45">
        <v>354686.43681919301</v>
      </c>
      <c r="L124" s="45">
        <v>135175.86144687701</v>
      </c>
      <c r="M124" s="45">
        <v>56466.056696202897</v>
      </c>
      <c r="N124" s="45">
        <v>90546.626245689098</v>
      </c>
      <c r="O124" s="45">
        <v>132385.53145100299</v>
      </c>
      <c r="P124" s="45">
        <v>46550.221150605001</v>
      </c>
      <c r="Q124" s="45">
        <f t="shared" si="1"/>
        <v>3619396.1764126914</v>
      </c>
    </row>
    <row r="125" spans="1:17" ht="12.75" customHeight="1" x14ac:dyDescent="0.2">
      <c r="A125" s="44" t="s">
        <v>1207</v>
      </c>
      <c r="B125" s="44" t="s">
        <v>239</v>
      </c>
      <c r="C125" s="44" t="s">
        <v>1220</v>
      </c>
      <c r="D125" s="44" t="s">
        <v>96</v>
      </c>
      <c r="E125" s="44" t="s">
        <v>1210</v>
      </c>
      <c r="F125" s="44">
        <v>2024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f t="shared" si="1"/>
        <v>0</v>
      </c>
    </row>
    <row r="126" spans="1:17" ht="12.75" customHeight="1" x14ac:dyDescent="0.2">
      <c r="A126" s="44" t="s">
        <v>1207</v>
      </c>
      <c r="B126" s="44" t="s">
        <v>239</v>
      </c>
      <c r="C126" s="44" t="s">
        <v>1220</v>
      </c>
      <c r="D126" s="44" t="s">
        <v>96</v>
      </c>
      <c r="E126" s="44" t="s">
        <v>1211</v>
      </c>
      <c r="F126" s="44">
        <v>2026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f t="shared" si="1"/>
        <v>0</v>
      </c>
    </row>
    <row r="127" spans="1:17" ht="12.75" customHeight="1" x14ac:dyDescent="0.2">
      <c r="A127" s="44" t="s">
        <v>1207</v>
      </c>
      <c r="B127" s="44" t="s">
        <v>239</v>
      </c>
      <c r="C127" s="44" t="s">
        <v>1220</v>
      </c>
      <c r="D127" s="44" t="s">
        <v>96</v>
      </c>
      <c r="E127" s="44" t="s">
        <v>1212</v>
      </c>
      <c r="F127" s="44">
        <v>2024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f t="shared" si="1"/>
        <v>0</v>
      </c>
    </row>
    <row r="128" spans="1:17" ht="12.75" customHeight="1" x14ac:dyDescent="0.2">
      <c r="A128" s="44" t="s">
        <v>1207</v>
      </c>
      <c r="B128" s="44" t="s">
        <v>239</v>
      </c>
      <c r="C128" s="44" t="s">
        <v>1220</v>
      </c>
      <c r="D128" s="44" t="s">
        <v>96</v>
      </c>
      <c r="E128" s="44" t="s">
        <v>1213</v>
      </c>
      <c r="F128" s="44">
        <v>2026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226585.247796043</v>
      </c>
      <c r="Q128" s="45">
        <f t="shared" si="1"/>
        <v>226585.247796043</v>
      </c>
    </row>
    <row r="129" spans="1:17" ht="12.75" customHeight="1" x14ac:dyDescent="0.2">
      <c r="A129" s="44" t="s">
        <v>1207</v>
      </c>
      <c r="B129" s="44" t="s">
        <v>239</v>
      </c>
      <c r="C129" s="44" t="s">
        <v>1220</v>
      </c>
      <c r="D129" s="44" t="s">
        <v>96</v>
      </c>
      <c r="E129" s="44" t="s">
        <v>1214</v>
      </c>
      <c r="F129" s="44">
        <v>2025</v>
      </c>
      <c r="G129" s="45">
        <v>630899.30020899104</v>
      </c>
      <c r="H129" s="45">
        <v>0</v>
      </c>
      <c r="I129" s="45">
        <v>0</v>
      </c>
      <c r="J129" s="45">
        <v>0</v>
      </c>
      <c r="K129" s="45">
        <v>366484.74119719397</v>
      </c>
      <c r="L129" s="45">
        <v>299937.39531515603</v>
      </c>
      <c r="M129" s="45">
        <v>100232.580006857</v>
      </c>
      <c r="N129" s="45">
        <v>422970.62957120099</v>
      </c>
      <c r="O129" s="45">
        <v>0</v>
      </c>
      <c r="P129" s="45">
        <v>0</v>
      </c>
      <c r="Q129" s="45">
        <f t="shared" si="1"/>
        <v>1820524.646299399</v>
      </c>
    </row>
    <row r="130" spans="1:17" ht="12.75" customHeight="1" x14ac:dyDescent="0.2">
      <c r="A130" s="44" t="s">
        <v>1207</v>
      </c>
      <c r="B130" s="44" t="s">
        <v>239</v>
      </c>
      <c r="C130" s="44" t="s">
        <v>1220</v>
      </c>
      <c r="D130" s="44" t="s">
        <v>96</v>
      </c>
      <c r="E130" s="44" t="s">
        <v>282</v>
      </c>
      <c r="F130" s="44">
        <v>2026</v>
      </c>
      <c r="G130" s="45">
        <v>0</v>
      </c>
      <c r="H130" s="45">
        <v>106136.900486527</v>
      </c>
      <c r="I130" s="45">
        <v>64961.664780471801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f t="shared" si="1"/>
        <v>171098.5652669988</v>
      </c>
    </row>
    <row r="131" spans="1:17" ht="12.75" customHeight="1" x14ac:dyDescent="0.2">
      <c r="A131" s="44" t="s">
        <v>1207</v>
      </c>
      <c r="B131" s="44" t="s">
        <v>239</v>
      </c>
      <c r="C131" s="44" t="s">
        <v>1220</v>
      </c>
      <c r="D131" s="44" t="s">
        <v>96</v>
      </c>
      <c r="E131" s="44" t="s">
        <v>283</v>
      </c>
      <c r="F131" s="44">
        <v>2026</v>
      </c>
      <c r="G131" s="45">
        <v>284333.80870689597</v>
      </c>
      <c r="H131" s="45">
        <v>74873.4699634102</v>
      </c>
      <c r="I131" s="45">
        <v>80075.300532738896</v>
      </c>
      <c r="J131" s="45">
        <v>0</v>
      </c>
      <c r="K131" s="45">
        <v>227634.57714542601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f t="shared" si="1"/>
        <v>666917.15634847106</v>
      </c>
    </row>
    <row r="132" spans="1:17" ht="12.75" customHeight="1" x14ac:dyDescent="0.2">
      <c r="A132" s="44" t="s">
        <v>1207</v>
      </c>
      <c r="B132" s="44" t="s">
        <v>239</v>
      </c>
      <c r="C132" s="44" t="s">
        <v>1220</v>
      </c>
      <c r="D132" s="44" t="s">
        <v>96</v>
      </c>
      <c r="E132" s="44" t="s">
        <v>284</v>
      </c>
      <c r="F132" s="44">
        <v>2026</v>
      </c>
      <c r="G132" s="45">
        <v>98336.910424799906</v>
      </c>
      <c r="H132" s="45">
        <v>234058.996612307</v>
      </c>
      <c r="I132" s="45">
        <v>45814.570350795599</v>
      </c>
      <c r="J132" s="45">
        <v>76894.607883888399</v>
      </c>
      <c r="K132" s="45">
        <v>0</v>
      </c>
      <c r="L132" s="45">
        <v>49348.075416014399</v>
      </c>
      <c r="M132" s="45">
        <v>0</v>
      </c>
      <c r="N132" s="45">
        <v>0</v>
      </c>
      <c r="O132" s="45">
        <v>0</v>
      </c>
      <c r="P132" s="45">
        <v>0</v>
      </c>
      <c r="Q132" s="45">
        <f t="shared" si="1"/>
        <v>504453.16068780533</v>
      </c>
    </row>
    <row r="133" spans="1:17" ht="12.75" customHeight="1" x14ac:dyDescent="0.2">
      <c r="A133" s="44" t="s">
        <v>1207</v>
      </c>
      <c r="B133" s="44" t="s">
        <v>239</v>
      </c>
      <c r="C133" s="44" t="s">
        <v>1220</v>
      </c>
      <c r="D133" s="44" t="s">
        <v>96</v>
      </c>
      <c r="E133" s="44" t="s">
        <v>285</v>
      </c>
      <c r="F133" s="44">
        <v>2026</v>
      </c>
      <c r="G133" s="45">
        <v>622803.30895806698</v>
      </c>
      <c r="H133" s="45">
        <v>201660.11976586899</v>
      </c>
      <c r="I133" s="45">
        <v>0</v>
      </c>
      <c r="J133" s="45">
        <v>0</v>
      </c>
      <c r="K133" s="45">
        <v>0</v>
      </c>
      <c r="L133" s="45">
        <v>0</v>
      </c>
      <c r="M133" s="45">
        <v>54970.184730523499</v>
      </c>
      <c r="N133" s="45">
        <v>0</v>
      </c>
      <c r="O133" s="45">
        <v>138084.08154217</v>
      </c>
      <c r="P133" s="45">
        <v>0</v>
      </c>
      <c r="Q133" s="45">
        <f t="shared" si="1"/>
        <v>1017517.6949966295</v>
      </c>
    </row>
    <row r="134" spans="1:17" ht="12.75" customHeight="1" x14ac:dyDescent="0.2">
      <c r="A134" s="44" t="s">
        <v>1207</v>
      </c>
      <c r="B134" s="44" t="s">
        <v>239</v>
      </c>
      <c r="C134" s="44" t="s">
        <v>1220</v>
      </c>
      <c r="D134" s="44" t="s">
        <v>96</v>
      </c>
      <c r="E134" s="44" t="s">
        <v>286</v>
      </c>
      <c r="F134" s="44">
        <v>2026</v>
      </c>
      <c r="G134" s="45">
        <v>369118.49738040898</v>
      </c>
      <c r="H134" s="45">
        <v>135873.60592875301</v>
      </c>
      <c r="I134" s="45">
        <v>498973.040310857</v>
      </c>
      <c r="J134" s="45">
        <v>69789.183835184696</v>
      </c>
      <c r="K134" s="45">
        <v>66097.632405455806</v>
      </c>
      <c r="L134" s="45">
        <v>350822.555341414</v>
      </c>
      <c r="M134" s="45">
        <v>70342.378391046805</v>
      </c>
      <c r="N134" s="45">
        <v>345610.79088212998</v>
      </c>
      <c r="O134" s="45">
        <v>58749.217035375797</v>
      </c>
      <c r="P134" s="45">
        <v>236954.83270314301</v>
      </c>
      <c r="Q134" s="45">
        <f t="shared" si="1"/>
        <v>2202331.734213769</v>
      </c>
    </row>
    <row r="135" spans="1:17" ht="12.75" customHeight="1" x14ac:dyDescent="0.2">
      <c r="A135" s="44" t="s">
        <v>1207</v>
      </c>
      <c r="B135" s="44" t="s">
        <v>239</v>
      </c>
      <c r="C135" s="44" t="s">
        <v>1220</v>
      </c>
      <c r="D135" s="44" t="s">
        <v>96</v>
      </c>
      <c r="E135" s="44" t="s">
        <v>1215</v>
      </c>
      <c r="F135" s="44">
        <v>2025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f t="shared" si="1"/>
        <v>0</v>
      </c>
    </row>
    <row r="136" spans="1:17" ht="12.75" customHeight="1" x14ac:dyDescent="0.2">
      <c r="A136" s="44" t="s">
        <v>287</v>
      </c>
      <c r="B136" s="44" t="s">
        <v>239</v>
      </c>
      <c r="C136" s="44" t="s">
        <v>1220</v>
      </c>
      <c r="D136" s="44" t="s">
        <v>112</v>
      </c>
      <c r="E136" s="44" t="s">
        <v>288</v>
      </c>
      <c r="F136" s="44">
        <v>2026</v>
      </c>
      <c r="G136" s="45">
        <v>912138.84805997903</v>
      </c>
      <c r="H136" s="45">
        <v>272466.05321635999</v>
      </c>
      <c r="I136" s="45">
        <v>74640.034927564004</v>
      </c>
      <c r="J136" s="45">
        <v>273181.131118413</v>
      </c>
      <c r="K136" s="45">
        <v>248539.213214013</v>
      </c>
      <c r="L136" s="45">
        <v>339843.17250405601</v>
      </c>
      <c r="M136" s="45">
        <v>169026.032948735</v>
      </c>
      <c r="N136" s="45">
        <v>338376.51396284398</v>
      </c>
      <c r="O136" s="45">
        <v>167854.902163694</v>
      </c>
      <c r="P136" s="45">
        <v>247893.175125662</v>
      </c>
      <c r="Q136" s="45">
        <f t="shared" si="1"/>
        <v>3043959.0772413202</v>
      </c>
    </row>
    <row r="137" spans="1:17" ht="12.75" customHeight="1" x14ac:dyDescent="0.2">
      <c r="A137" s="44" t="s">
        <v>287</v>
      </c>
      <c r="B137" s="44" t="s">
        <v>239</v>
      </c>
      <c r="C137" s="44" t="s">
        <v>1220</v>
      </c>
      <c r="D137" s="44" t="s">
        <v>112</v>
      </c>
      <c r="E137" s="44" t="s">
        <v>289</v>
      </c>
      <c r="F137" s="44">
        <v>2026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v>0</v>
      </c>
      <c r="Q137" s="45">
        <f t="shared" si="1"/>
        <v>0</v>
      </c>
    </row>
    <row r="138" spans="1:17" ht="12.75" customHeight="1" x14ac:dyDescent="0.2">
      <c r="A138" s="44" t="s">
        <v>287</v>
      </c>
      <c r="B138" s="44" t="s">
        <v>239</v>
      </c>
      <c r="C138" s="44" t="s">
        <v>1220</v>
      </c>
      <c r="D138" s="44" t="s">
        <v>112</v>
      </c>
      <c r="E138" s="44" t="s">
        <v>290</v>
      </c>
      <c r="F138" s="44">
        <v>2026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-95156.795602622398</v>
      </c>
      <c r="O138" s="45">
        <v>0</v>
      </c>
      <c r="P138" s="45">
        <v>0</v>
      </c>
      <c r="Q138" s="45">
        <f t="shared" si="1"/>
        <v>-95156.795602622398</v>
      </c>
    </row>
    <row r="139" spans="1:17" ht="12.75" customHeight="1" x14ac:dyDescent="0.2">
      <c r="A139" s="44" t="s">
        <v>287</v>
      </c>
      <c r="B139" s="44" t="s">
        <v>239</v>
      </c>
      <c r="C139" s="44" t="s">
        <v>1220</v>
      </c>
      <c r="D139" s="44" t="s">
        <v>112</v>
      </c>
      <c r="E139" s="44" t="s">
        <v>291</v>
      </c>
      <c r="F139" s="44">
        <v>2026</v>
      </c>
      <c r="G139" s="45">
        <v>1438790.1210769999</v>
      </c>
      <c r="H139" s="45">
        <v>255822.99768488301</v>
      </c>
      <c r="I139" s="45">
        <v>102871.85437528</v>
      </c>
      <c r="J139" s="45">
        <v>153896.637871796</v>
      </c>
      <c r="K139" s="45">
        <v>100010.438350424</v>
      </c>
      <c r="L139" s="45">
        <v>0</v>
      </c>
      <c r="M139" s="45">
        <v>0</v>
      </c>
      <c r="N139" s="45">
        <v>77.294123631399998</v>
      </c>
      <c r="O139" s="45">
        <v>0</v>
      </c>
      <c r="P139" s="45">
        <v>46550.221150605001</v>
      </c>
      <c r="Q139" s="45">
        <f t="shared" si="1"/>
        <v>2098019.564633619</v>
      </c>
    </row>
    <row r="140" spans="1:17" ht="12.75" customHeight="1" x14ac:dyDescent="0.2">
      <c r="A140" s="44" t="s">
        <v>287</v>
      </c>
      <c r="B140" s="44" t="s">
        <v>239</v>
      </c>
      <c r="C140" s="44" t="s">
        <v>1220</v>
      </c>
      <c r="D140" s="44" t="s">
        <v>112</v>
      </c>
      <c r="E140" s="44" t="s">
        <v>292</v>
      </c>
      <c r="F140" s="44">
        <v>2026</v>
      </c>
      <c r="G140" s="45">
        <v>3453828.5643611499</v>
      </c>
      <c r="H140" s="45">
        <v>1109162.41523241</v>
      </c>
      <c r="I140" s="45">
        <v>639695.45192686503</v>
      </c>
      <c r="J140" s="45">
        <v>336382.85537007003</v>
      </c>
      <c r="K140" s="45">
        <v>994081.02757723595</v>
      </c>
      <c r="L140" s="45">
        <v>178874.295729234</v>
      </c>
      <c r="M140" s="45">
        <v>822017.62713060901</v>
      </c>
      <c r="N140" s="45">
        <v>1299521.3613606701</v>
      </c>
      <c r="O140" s="45">
        <v>1109305.30681278</v>
      </c>
      <c r="P140" s="45">
        <v>2463845.8416395402</v>
      </c>
      <c r="Q140" s="45">
        <f t="shared" si="1"/>
        <v>12406714.747140564</v>
      </c>
    </row>
    <row r="141" spans="1:17" ht="12.75" customHeight="1" x14ac:dyDescent="0.2">
      <c r="A141" s="44" t="s">
        <v>287</v>
      </c>
      <c r="B141" s="44" t="s">
        <v>239</v>
      </c>
      <c r="C141" s="44" t="s">
        <v>1220</v>
      </c>
      <c r="D141" s="44" t="s">
        <v>112</v>
      </c>
      <c r="E141" s="44" t="s">
        <v>293</v>
      </c>
      <c r="F141" s="44">
        <v>2026</v>
      </c>
      <c r="G141" s="45">
        <v>0</v>
      </c>
      <c r="H141" s="45">
        <v>0</v>
      </c>
      <c r="I141" s="45">
        <v>0</v>
      </c>
      <c r="J141" s="45">
        <v>91060.377039471001</v>
      </c>
      <c r="K141" s="45">
        <v>159775.205598145</v>
      </c>
      <c r="L141" s="45">
        <v>339843.17250405601</v>
      </c>
      <c r="M141" s="45">
        <v>0</v>
      </c>
      <c r="N141" s="45">
        <v>0</v>
      </c>
      <c r="O141" s="45">
        <v>83927.451081847001</v>
      </c>
      <c r="P141" s="45">
        <v>165262.116750441</v>
      </c>
      <c r="Q141" s="45">
        <f t="shared" si="1"/>
        <v>839868.32297395996</v>
      </c>
    </row>
    <row r="142" spans="1:17" ht="12.75" customHeight="1" x14ac:dyDescent="0.2">
      <c r="A142" s="44" t="s">
        <v>287</v>
      </c>
      <c r="B142" s="44" t="s">
        <v>239</v>
      </c>
      <c r="C142" s="44" t="s">
        <v>1220</v>
      </c>
      <c r="D142" s="44" t="s">
        <v>112</v>
      </c>
      <c r="E142" s="44" t="s">
        <v>294</v>
      </c>
      <c r="F142" s="44">
        <v>2026</v>
      </c>
      <c r="G142" s="45">
        <v>5496270.1385670798</v>
      </c>
      <c r="H142" s="45">
        <v>2409051.2286673202</v>
      </c>
      <c r="I142" s="45">
        <v>1161335.84189932</v>
      </c>
      <c r="J142" s="45">
        <v>455269.807689309</v>
      </c>
      <c r="K142" s="45">
        <v>1125195.55115842</v>
      </c>
      <c r="L142" s="45">
        <v>468045.42758405098</v>
      </c>
      <c r="M142" s="45">
        <v>1209898.7730587099</v>
      </c>
      <c r="N142" s="45">
        <v>1669070.31176999</v>
      </c>
      <c r="O142" s="45">
        <v>3353094.1417040001</v>
      </c>
      <c r="P142" s="45">
        <v>6139034.4319524299</v>
      </c>
      <c r="Q142" s="45">
        <f t="shared" si="1"/>
        <v>23486265.654050633</v>
      </c>
    </row>
    <row r="143" spans="1:17" ht="12.75" customHeight="1" x14ac:dyDescent="0.2">
      <c r="A143" s="44" t="s">
        <v>287</v>
      </c>
      <c r="B143" s="44" t="s">
        <v>239</v>
      </c>
      <c r="C143" s="44" t="s">
        <v>1220</v>
      </c>
      <c r="D143" s="44" t="s">
        <v>112</v>
      </c>
      <c r="E143" s="44" t="s">
        <v>295</v>
      </c>
      <c r="F143" s="44">
        <v>2026</v>
      </c>
      <c r="G143" s="45">
        <v>547283.32550451404</v>
      </c>
      <c r="H143" s="45">
        <v>544932.10643271997</v>
      </c>
      <c r="I143" s="45">
        <v>538691.53116692998</v>
      </c>
      <c r="J143" s="45">
        <v>182120.754078942</v>
      </c>
      <c r="K143" s="45">
        <v>559213.21959350898</v>
      </c>
      <c r="L143" s="45">
        <v>570617.376187196</v>
      </c>
      <c r="M143" s="45">
        <v>929643.15547803999</v>
      </c>
      <c r="N143" s="45">
        <v>1353506.01720431</v>
      </c>
      <c r="O143" s="45">
        <v>1594621.5194317801</v>
      </c>
      <c r="P143" s="45">
        <v>1793588.87348707</v>
      </c>
      <c r="Q143" s="45">
        <f t="shared" si="1"/>
        <v>8614217.8785650115</v>
      </c>
    </row>
    <row r="144" spans="1:17" ht="12.75" customHeight="1" x14ac:dyDescent="0.2">
      <c r="A144" s="44" t="s">
        <v>287</v>
      </c>
      <c r="B144" s="44" t="s">
        <v>239</v>
      </c>
      <c r="C144" s="44" t="s">
        <v>1220</v>
      </c>
      <c r="D144" s="44" t="s">
        <v>112</v>
      </c>
      <c r="E144" s="44" t="s">
        <v>296</v>
      </c>
      <c r="F144" s="44">
        <v>2026</v>
      </c>
      <c r="G144" s="45">
        <v>1030716.90053025</v>
      </c>
      <c r="H144" s="45">
        <v>181644.03547757299</v>
      </c>
      <c r="I144" s="45">
        <v>456518.25028657803</v>
      </c>
      <c r="J144" s="45">
        <v>364241.508157884</v>
      </c>
      <c r="K144" s="45">
        <v>239662.808397218</v>
      </c>
      <c r="L144" s="45">
        <v>0</v>
      </c>
      <c r="M144" s="45">
        <v>0</v>
      </c>
      <c r="N144" s="45">
        <v>84594.128490710995</v>
      </c>
      <c r="O144" s="45">
        <v>167854.902163694</v>
      </c>
      <c r="P144" s="45">
        <v>826310.558585388</v>
      </c>
      <c r="Q144" s="45">
        <f t="shared" si="1"/>
        <v>3351543.0920892963</v>
      </c>
    </row>
    <row r="145" spans="1:17" ht="12.75" customHeight="1" x14ac:dyDescent="0.2">
      <c r="A145" s="44" t="s">
        <v>287</v>
      </c>
      <c r="B145" s="44" t="s">
        <v>239</v>
      </c>
      <c r="C145" s="44" t="s">
        <v>1220</v>
      </c>
      <c r="D145" s="44" t="s">
        <v>112</v>
      </c>
      <c r="E145" s="44" t="s">
        <v>297</v>
      </c>
      <c r="F145" s="44">
        <v>2026</v>
      </c>
      <c r="G145" s="45">
        <v>2636840.6261911201</v>
      </c>
      <c r="H145" s="45">
        <v>718250.00850033597</v>
      </c>
      <c r="I145" s="45">
        <v>547821.90034389403</v>
      </c>
      <c r="J145" s="45">
        <v>0</v>
      </c>
      <c r="K145" s="45">
        <v>328426.81601308601</v>
      </c>
      <c r="L145" s="45">
        <v>339843.17250405601</v>
      </c>
      <c r="M145" s="45">
        <v>169026.032948735</v>
      </c>
      <c r="N145" s="45">
        <v>110444.723021554</v>
      </c>
      <c r="O145" s="45">
        <v>513465.56774875202</v>
      </c>
      <c r="P145" s="45">
        <v>1156834.7920862699</v>
      </c>
      <c r="Q145" s="45">
        <f t="shared" si="1"/>
        <v>6520953.6393578034</v>
      </c>
    </row>
    <row r="146" spans="1:17" ht="12.75" customHeight="1" x14ac:dyDescent="0.2">
      <c r="A146" s="44" t="s">
        <v>287</v>
      </c>
      <c r="B146" s="44" t="s">
        <v>239</v>
      </c>
      <c r="C146" s="44" t="s">
        <v>1220</v>
      </c>
      <c r="D146" s="44" t="s">
        <v>112</v>
      </c>
      <c r="E146" s="44" t="s">
        <v>298</v>
      </c>
      <c r="F146" s="44">
        <v>2026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f t="shared" si="1"/>
        <v>0</v>
      </c>
    </row>
    <row r="147" spans="1:17" ht="12.75" customHeight="1" x14ac:dyDescent="0.2">
      <c r="A147" s="44" t="s">
        <v>287</v>
      </c>
      <c r="B147" s="44" t="s">
        <v>239</v>
      </c>
      <c r="C147" s="44" t="s">
        <v>1220</v>
      </c>
      <c r="D147" s="44" t="s">
        <v>112</v>
      </c>
      <c r="E147" s="44" t="s">
        <v>1216</v>
      </c>
      <c r="F147" s="44">
        <v>2026</v>
      </c>
      <c r="G147" s="45">
        <v>205541.45182118801</v>
      </c>
      <c r="H147" s="45">
        <v>255823.01151564601</v>
      </c>
      <c r="I147" s="45">
        <v>0</v>
      </c>
      <c r="J147" s="45">
        <v>51298.879290598597</v>
      </c>
      <c r="K147" s="45">
        <v>0</v>
      </c>
      <c r="L147" s="45">
        <v>0</v>
      </c>
      <c r="M147" s="45">
        <v>47610.422574065597</v>
      </c>
      <c r="N147" s="45">
        <v>0</v>
      </c>
      <c r="O147" s="45">
        <v>0</v>
      </c>
      <c r="P147" s="45">
        <v>93100.442301210103</v>
      </c>
      <c r="Q147" s="45">
        <f t="shared" si="1"/>
        <v>653374.2075027083</v>
      </c>
    </row>
    <row r="148" spans="1:17" ht="12.75" customHeight="1" x14ac:dyDescent="0.2">
      <c r="A148" s="44" t="s">
        <v>287</v>
      </c>
      <c r="B148" s="44" t="s">
        <v>239</v>
      </c>
      <c r="C148" s="44" t="s">
        <v>1220</v>
      </c>
      <c r="D148" s="44" t="s">
        <v>112</v>
      </c>
      <c r="E148" s="44" t="s">
        <v>299</v>
      </c>
      <c r="F148" s="44">
        <v>2026</v>
      </c>
      <c r="G148" s="45">
        <v>2630232.3928728602</v>
      </c>
      <c r="H148" s="45">
        <v>613209.726137675</v>
      </c>
      <c r="I148" s="45">
        <v>0</v>
      </c>
      <c r="J148" s="45">
        <v>240904.05204556999</v>
      </c>
      <c r="K148" s="45">
        <v>100010.438350424</v>
      </c>
      <c r="L148" s="45">
        <v>59624.7695668464</v>
      </c>
      <c r="M148" s="45">
        <v>166231.465420655</v>
      </c>
      <c r="N148" s="45">
        <v>220461.518749293</v>
      </c>
      <c r="O148" s="45">
        <v>164778.978278789</v>
      </c>
      <c r="P148" s="45">
        <v>335758.91917217302</v>
      </c>
      <c r="Q148" s="45">
        <f t="shared" si="1"/>
        <v>4531212.260594286</v>
      </c>
    </row>
    <row r="149" spans="1:17" ht="12.75" customHeight="1" x14ac:dyDescent="0.2">
      <c r="A149" s="44" t="s">
        <v>287</v>
      </c>
      <c r="B149" s="44" t="s">
        <v>239</v>
      </c>
      <c r="C149" s="44" t="s">
        <v>1220</v>
      </c>
      <c r="D149" s="44" t="s">
        <v>112</v>
      </c>
      <c r="E149" s="44" t="s">
        <v>300</v>
      </c>
      <c r="F149" s="44">
        <v>2026</v>
      </c>
      <c r="G149" s="45">
        <v>308312.17078656203</v>
      </c>
      <c r="H149" s="45">
        <v>0</v>
      </c>
      <c r="I149" s="45">
        <v>0</v>
      </c>
      <c r="J149" s="45">
        <v>0</v>
      </c>
      <c r="K149" s="45">
        <v>45004.701312898898</v>
      </c>
      <c r="L149" s="45">
        <v>0</v>
      </c>
      <c r="M149" s="45">
        <v>0</v>
      </c>
      <c r="N149" s="45">
        <v>0</v>
      </c>
      <c r="O149" s="45">
        <v>47280.544208037703</v>
      </c>
      <c r="P149" s="45">
        <v>0</v>
      </c>
      <c r="Q149" s="45">
        <f t="shared" si="1"/>
        <v>400597.41630749864</v>
      </c>
    </row>
    <row r="150" spans="1:17" ht="12.75" customHeight="1" x14ac:dyDescent="0.2">
      <c r="A150" s="44" t="s">
        <v>287</v>
      </c>
      <c r="B150" s="44" t="s">
        <v>239</v>
      </c>
      <c r="C150" s="44" t="s">
        <v>1220</v>
      </c>
      <c r="D150" s="44" t="s">
        <v>112</v>
      </c>
      <c r="E150" s="44" t="s">
        <v>301</v>
      </c>
      <c r="F150" s="44">
        <v>2026</v>
      </c>
      <c r="G150" s="45">
        <v>2920926.58898381</v>
      </c>
      <c r="H150" s="45">
        <v>1315318.2363408499</v>
      </c>
      <c r="I150" s="45">
        <v>343818.84482621</v>
      </c>
      <c r="J150" s="45">
        <v>51280.394497233399</v>
      </c>
      <c r="K150" s="45">
        <v>155329.56434722501</v>
      </c>
      <c r="L150" s="45">
        <v>0</v>
      </c>
      <c r="M150" s="45">
        <v>130698.182378707</v>
      </c>
      <c r="N150" s="45">
        <v>190399.208348944</v>
      </c>
      <c r="O150" s="45">
        <v>283581.04417416302</v>
      </c>
      <c r="P150" s="45">
        <v>804746.76021175296</v>
      </c>
      <c r="Q150" s="45">
        <f t="shared" si="1"/>
        <v>6196098.8241088958</v>
      </c>
    </row>
    <row r="151" spans="1:17" ht="12.75" customHeight="1" x14ac:dyDescent="0.2">
      <c r="A151" s="44" t="s">
        <v>287</v>
      </c>
      <c r="B151" s="44" t="s">
        <v>239</v>
      </c>
      <c r="C151" s="44" t="s">
        <v>1220</v>
      </c>
      <c r="D151" s="44" t="s">
        <v>112</v>
      </c>
      <c r="E151" s="44" t="s">
        <v>1217</v>
      </c>
      <c r="F151" s="44">
        <v>2026</v>
      </c>
      <c r="G151" s="45">
        <v>0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v>0</v>
      </c>
      <c r="Q151" s="45">
        <f t="shared" si="1"/>
        <v>0</v>
      </c>
    </row>
    <row r="152" spans="1:17" ht="12.75" customHeight="1" x14ac:dyDescent="0.2">
      <c r="A152" s="44" t="s">
        <v>287</v>
      </c>
      <c r="B152" s="44" t="s">
        <v>239</v>
      </c>
      <c r="C152" s="44" t="s">
        <v>1220</v>
      </c>
      <c r="D152" s="44" t="s">
        <v>112</v>
      </c>
      <c r="E152" s="44" t="s">
        <v>1218</v>
      </c>
      <c r="F152" s="44">
        <v>2026</v>
      </c>
      <c r="G152" s="45">
        <v>0</v>
      </c>
      <c r="H152" s="45">
        <v>0</v>
      </c>
      <c r="I152" s="45">
        <v>0</v>
      </c>
      <c r="J152" s="45">
        <v>0</v>
      </c>
      <c r="K152" s="45">
        <v>0</v>
      </c>
      <c r="L152" s="45">
        <v>0</v>
      </c>
      <c r="M152" s="45">
        <v>0</v>
      </c>
      <c r="N152" s="45">
        <v>0</v>
      </c>
      <c r="O152" s="45">
        <v>0</v>
      </c>
      <c r="P152" s="45">
        <v>0</v>
      </c>
      <c r="Q152" s="45">
        <f t="shared" si="1"/>
        <v>0</v>
      </c>
    </row>
    <row r="153" spans="1:17" ht="12.75" customHeight="1" x14ac:dyDescent="0.2">
      <c r="A153" s="44" t="s">
        <v>287</v>
      </c>
      <c r="B153" s="44" t="s">
        <v>239</v>
      </c>
      <c r="C153" s="44" t="s">
        <v>1220</v>
      </c>
      <c r="D153" s="44" t="s">
        <v>112</v>
      </c>
      <c r="E153" s="44" t="s">
        <v>1219</v>
      </c>
      <c r="F153" s="44">
        <v>2024</v>
      </c>
      <c r="G153" s="45">
        <v>2928789.9153638501</v>
      </c>
      <c r="H153" s="45">
        <v>1180686.2167734599</v>
      </c>
      <c r="I153" s="45">
        <v>910626.44584081904</v>
      </c>
      <c r="J153" s="45">
        <v>182120.754078942</v>
      </c>
      <c r="K153" s="45">
        <v>585842.43404389406</v>
      </c>
      <c r="L153" s="45">
        <v>169921.59272112401</v>
      </c>
      <c r="M153" s="45">
        <v>338052.05302746798</v>
      </c>
      <c r="N153" s="45">
        <v>1607288.3769117401</v>
      </c>
      <c r="O153" s="45">
        <v>83927.451081847001</v>
      </c>
      <c r="P153" s="45">
        <v>1487358.98783693</v>
      </c>
      <c r="Q153" s="45">
        <f t="shared" si="1"/>
        <v>9474614.2276800741</v>
      </c>
    </row>
    <row r="154" spans="1:17" ht="12.75" customHeight="1" x14ac:dyDescent="0.2">
      <c r="A154" s="44" t="s">
        <v>187</v>
      </c>
      <c r="B154" s="44" t="s">
        <v>239</v>
      </c>
      <c r="C154" s="44" t="s">
        <v>1221</v>
      </c>
      <c r="D154" s="44" t="s">
        <v>187</v>
      </c>
      <c r="E154" s="44" t="s">
        <v>1222</v>
      </c>
      <c r="F154" s="45">
        <v>9880281.0691587701</v>
      </c>
      <c r="G154" s="45">
        <v>6565969.8277190104</v>
      </c>
      <c r="H154" s="45">
        <v>7727939.4170225803</v>
      </c>
      <c r="I154" s="45">
        <v>7404325.1992324702</v>
      </c>
      <c r="J154" s="45">
        <v>10434662.4809417</v>
      </c>
      <c r="K154" s="45">
        <v>9214132.3759756405</v>
      </c>
      <c r="L154" s="45">
        <v>6504311.3231533403</v>
      </c>
      <c r="M154" s="45">
        <v>6467710.7786372704</v>
      </c>
      <c r="N154" s="45">
        <v>8500149.6046227906</v>
      </c>
      <c r="O154" s="45">
        <v>3168102.8876024298</v>
      </c>
      <c r="P154" s="45">
        <f t="shared" ref="P154:P168" si="2">SUM(F154:O154)</f>
        <v>75867584.964065999</v>
      </c>
    </row>
    <row r="155" spans="1:17" ht="12.75" customHeight="1" x14ac:dyDescent="0.2">
      <c r="A155" s="44" t="s">
        <v>152</v>
      </c>
      <c r="B155" s="44" t="s">
        <v>239</v>
      </c>
      <c r="C155" s="44" t="s">
        <v>1221</v>
      </c>
      <c r="D155" s="44" t="s">
        <v>1223</v>
      </c>
      <c r="E155" s="44" t="s">
        <v>1222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5">
        <v>0</v>
      </c>
      <c r="L155" s="45">
        <v>0</v>
      </c>
      <c r="M155" s="45">
        <v>103385.54019844301</v>
      </c>
      <c r="N155" s="45">
        <v>0</v>
      </c>
      <c r="O155" s="45">
        <v>0</v>
      </c>
      <c r="P155" s="45">
        <f t="shared" si="2"/>
        <v>103385.54019844301</v>
      </c>
    </row>
    <row r="156" spans="1:17" ht="12.75" customHeight="1" x14ac:dyDescent="0.2">
      <c r="A156" s="44" t="s">
        <v>152</v>
      </c>
      <c r="B156" s="44" t="s">
        <v>239</v>
      </c>
      <c r="C156" s="44" t="s">
        <v>1221</v>
      </c>
      <c r="D156" s="44" t="s">
        <v>185</v>
      </c>
      <c r="E156" s="44" t="s">
        <v>1222</v>
      </c>
      <c r="F156" s="45">
        <v>0</v>
      </c>
      <c r="G156" s="45">
        <v>0</v>
      </c>
      <c r="H156" s="45">
        <v>-11896.2020784998</v>
      </c>
      <c r="I156" s="45">
        <v>322109.409769936</v>
      </c>
      <c r="J156" s="45">
        <v>181346.78753261699</v>
      </c>
      <c r="K156" s="45">
        <v>991520.64321618702</v>
      </c>
      <c r="L156" s="45">
        <v>1282503.6047499999</v>
      </c>
      <c r="M156" s="45">
        <v>1597129.3637113101</v>
      </c>
      <c r="N156" s="45">
        <v>435636.17892150697</v>
      </c>
      <c r="O156" s="45">
        <v>115547.758557612</v>
      </c>
      <c r="P156" s="45">
        <f t="shared" si="2"/>
        <v>4913897.5443806695</v>
      </c>
    </row>
    <row r="157" spans="1:17" ht="12.75" customHeight="1" x14ac:dyDescent="0.2">
      <c r="A157" s="44" t="s">
        <v>152</v>
      </c>
      <c r="B157" s="44" t="s">
        <v>239</v>
      </c>
      <c r="C157" s="44" t="s">
        <v>1221</v>
      </c>
      <c r="D157" s="44" t="s">
        <v>169</v>
      </c>
      <c r="E157" s="44" t="s">
        <v>1222</v>
      </c>
      <c r="F157" s="45">
        <v>79812.707220303302</v>
      </c>
      <c r="G157" s="45">
        <v>0</v>
      </c>
      <c r="H157" s="45">
        <v>989347.64585843706</v>
      </c>
      <c r="I157" s="45">
        <v>2256813.7178742802</v>
      </c>
      <c r="J157" s="45">
        <v>0</v>
      </c>
      <c r="K157" s="45">
        <v>847411.07563991903</v>
      </c>
      <c r="L157" s="45">
        <v>741933.79958924197</v>
      </c>
      <c r="M157" s="45">
        <v>883863.66026452696</v>
      </c>
      <c r="N157" s="45">
        <v>0</v>
      </c>
      <c r="O157" s="45">
        <v>0</v>
      </c>
      <c r="P157" s="45">
        <f t="shared" si="2"/>
        <v>5799182.6064467095</v>
      </c>
    </row>
    <row r="158" spans="1:17" ht="12.75" customHeight="1" x14ac:dyDescent="0.2">
      <c r="A158" s="44" t="s">
        <v>152</v>
      </c>
      <c r="B158" s="44" t="s">
        <v>239</v>
      </c>
      <c r="C158" s="44" t="s">
        <v>1221</v>
      </c>
      <c r="D158" s="44" t="s">
        <v>164</v>
      </c>
      <c r="E158" s="44" t="s">
        <v>1222</v>
      </c>
      <c r="F158" s="45">
        <v>0</v>
      </c>
      <c r="G158" s="45">
        <v>0</v>
      </c>
      <c r="H158" s="45">
        <v>0</v>
      </c>
      <c r="I158" s="45">
        <v>0</v>
      </c>
      <c r="J158" s="45">
        <v>2315764.71144799</v>
      </c>
      <c r="K158" s="45">
        <v>821111.61701212602</v>
      </c>
      <c r="L158" s="45">
        <v>148889.41056792601</v>
      </c>
      <c r="M158" s="45">
        <v>1122471.5792973801</v>
      </c>
      <c r="N158" s="45">
        <v>877921.14733214304</v>
      </c>
      <c r="O158" s="45">
        <v>85389.793574075506</v>
      </c>
      <c r="P158" s="45">
        <f t="shared" si="2"/>
        <v>5371548.259231641</v>
      </c>
    </row>
    <row r="159" spans="1:17" ht="12.75" customHeight="1" x14ac:dyDescent="0.2">
      <c r="A159" s="44" t="s">
        <v>152</v>
      </c>
      <c r="B159" s="44" t="s">
        <v>239</v>
      </c>
      <c r="C159" s="44" t="s">
        <v>1221</v>
      </c>
      <c r="D159" s="44" t="s">
        <v>173</v>
      </c>
      <c r="E159" s="44" t="s">
        <v>1222</v>
      </c>
      <c r="F159" s="45">
        <v>673973.97208256205</v>
      </c>
      <c r="G159" s="45">
        <v>1222379.36710781</v>
      </c>
      <c r="H159" s="45">
        <v>748865.92084156501</v>
      </c>
      <c r="I159" s="45">
        <v>3096004.10757139</v>
      </c>
      <c r="J159" s="45">
        <v>1680687.3949645399</v>
      </c>
      <c r="K159" s="45">
        <v>2478264.1531638699</v>
      </c>
      <c r="L159" s="45">
        <v>1742601.6612869999</v>
      </c>
      <c r="M159" s="45">
        <v>1663650.5741475699</v>
      </c>
      <c r="N159" s="45">
        <v>2677659.4993630298</v>
      </c>
      <c r="O159" s="45">
        <v>707730.02116537502</v>
      </c>
      <c r="P159" s="45">
        <f t="shared" si="2"/>
        <v>16691816.671694709</v>
      </c>
    </row>
    <row r="160" spans="1:17" ht="12.75" customHeight="1" x14ac:dyDescent="0.2">
      <c r="A160" s="44" t="s">
        <v>152</v>
      </c>
      <c r="B160" s="44" t="s">
        <v>239</v>
      </c>
      <c r="C160" s="44" t="s">
        <v>1221</v>
      </c>
      <c r="D160" s="44" t="s">
        <v>179</v>
      </c>
      <c r="E160" s="44" t="s">
        <v>1222</v>
      </c>
      <c r="F160" s="45">
        <v>0</v>
      </c>
      <c r="G160" s="45">
        <v>0</v>
      </c>
      <c r="H160" s="45">
        <v>267411.75247207901</v>
      </c>
      <c r="I160" s="45">
        <v>0</v>
      </c>
      <c r="J160" s="45">
        <v>8684924.4504745603</v>
      </c>
      <c r="K160" s="45">
        <v>21946074.127415098</v>
      </c>
      <c r="L160" s="45">
        <v>7667804.6442481801</v>
      </c>
      <c r="M160" s="45">
        <v>17058614.132743001</v>
      </c>
      <c r="N160" s="45">
        <v>2414283.1551633901</v>
      </c>
      <c r="O160" s="45">
        <v>0</v>
      </c>
      <c r="P160" s="45">
        <f t="shared" si="2"/>
        <v>58039112.262516312</v>
      </c>
    </row>
    <row r="161" spans="1:16" ht="12.75" customHeight="1" x14ac:dyDescent="0.2">
      <c r="A161" s="44" t="s">
        <v>152</v>
      </c>
      <c r="B161" s="44" t="s">
        <v>239</v>
      </c>
      <c r="C161" s="44" t="s">
        <v>1221</v>
      </c>
      <c r="D161" s="44" t="s">
        <v>159</v>
      </c>
      <c r="E161" s="44" t="s">
        <v>1222</v>
      </c>
      <c r="F161" s="45">
        <v>25313288.849022198</v>
      </c>
      <c r="G161" s="45">
        <v>13206891.797565401</v>
      </c>
      <c r="H161" s="45">
        <v>11752259.014786599</v>
      </c>
      <c r="I161" s="45">
        <v>18683587.611241799</v>
      </c>
      <c r="J161" s="45">
        <v>6914646.3340377798</v>
      </c>
      <c r="K161" s="45">
        <v>11596610.126689499</v>
      </c>
      <c r="L161" s="45">
        <v>15194098.8371162</v>
      </c>
      <c r="M161" s="45">
        <v>9777714.0491209105</v>
      </c>
      <c r="N161" s="45">
        <v>8660048.3095902205</v>
      </c>
      <c r="O161" s="45">
        <v>7254756.7260301504</v>
      </c>
      <c r="P161" s="45">
        <f t="shared" si="2"/>
        <v>128353901.65520076</v>
      </c>
    </row>
    <row r="162" spans="1:16" ht="12.75" customHeight="1" x14ac:dyDescent="0.2">
      <c r="A162" s="44" t="s">
        <v>16</v>
      </c>
      <c r="B162" s="44" t="s">
        <v>239</v>
      </c>
      <c r="C162" s="44" t="s">
        <v>1221</v>
      </c>
      <c r="D162" s="44" t="s">
        <v>52</v>
      </c>
      <c r="E162" s="44" t="s">
        <v>1222</v>
      </c>
      <c r="F162" s="45">
        <v>15221362.718996899</v>
      </c>
      <c r="G162" s="45">
        <v>18693994.464736801</v>
      </c>
      <c r="H162" s="45">
        <v>19920760.149046499</v>
      </c>
      <c r="I162" s="45">
        <v>15106208.242259299</v>
      </c>
      <c r="J162" s="45">
        <v>14088086.3368144</v>
      </c>
      <c r="K162" s="45">
        <v>12702995.5664132</v>
      </c>
      <c r="L162" s="45">
        <v>382067.73691198201</v>
      </c>
      <c r="M162" s="45">
        <v>5454471.69399489</v>
      </c>
      <c r="N162" s="45">
        <v>9844969.9370452296</v>
      </c>
      <c r="O162" s="45">
        <v>17602021.7317902</v>
      </c>
      <c r="P162" s="45">
        <f t="shared" si="2"/>
        <v>129016938.5780094</v>
      </c>
    </row>
    <row r="163" spans="1:16" ht="12.75" customHeight="1" x14ac:dyDescent="0.2">
      <c r="A163" s="44" t="s">
        <v>16</v>
      </c>
      <c r="B163" s="44" t="s">
        <v>239</v>
      </c>
      <c r="C163" s="44" t="s">
        <v>1221</v>
      </c>
      <c r="D163" s="44" t="s">
        <v>74</v>
      </c>
      <c r="E163" s="44" t="s">
        <v>1222</v>
      </c>
      <c r="F163" s="45">
        <v>10462540.397078</v>
      </c>
      <c r="G163" s="45">
        <v>-2511063.86650358</v>
      </c>
      <c r="H163" s="45">
        <v>8525629.6114726998</v>
      </c>
      <c r="I163" s="45">
        <v>5581778.6819079397</v>
      </c>
      <c r="J163" s="45">
        <v>13117806.41107</v>
      </c>
      <c r="K163" s="45">
        <v>9042694.2132587191</v>
      </c>
      <c r="L163" s="45">
        <v>-5258929.8982498897</v>
      </c>
      <c r="M163" s="45">
        <v>-8400720.4736653902</v>
      </c>
      <c r="N163" s="45">
        <v>-1739965.0907147799</v>
      </c>
      <c r="O163" s="45">
        <v>-17796868.183829501</v>
      </c>
      <c r="P163" s="45">
        <f t="shared" si="2"/>
        <v>11022901.801824227</v>
      </c>
    </row>
    <row r="164" spans="1:16" ht="12.75" customHeight="1" x14ac:dyDescent="0.2">
      <c r="A164" s="44" t="s">
        <v>16</v>
      </c>
      <c r="B164" s="44" t="s">
        <v>239</v>
      </c>
      <c r="C164" s="44" t="s">
        <v>1221</v>
      </c>
      <c r="D164" s="44" t="s">
        <v>87</v>
      </c>
      <c r="E164" s="44" t="s">
        <v>1222</v>
      </c>
      <c r="F164" s="45">
        <v>10558925.5626268</v>
      </c>
      <c r="G164" s="45">
        <v>6839765.10099955</v>
      </c>
      <c r="H164" s="45">
        <v>4055772.1746229501</v>
      </c>
      <c r="I164" s="45">
        <v>-1208667.0356815499</v>
      </c>
      <c r="J164" s="45">
        <v>7691834.8997007096</v>
      </c>
      <c r="K164" s="45">
        <v>10811478.1278046</v>
      </c>
      <c r="L164" s="45">
        <v>13988320.923420001</v>
      </c>
      <c r="M164" s="45">
        <v>5286226.7329946104</v>
      </c>
      <c r="N164" s="45">
        <v>6283433.8244550098</v>
      </c>
      <c r="O164" s="45">
        <v>54409682.601110697</v>
      </c>
      <c r="P164" s="45">
        <f t="shared" si="2"/>
        <v>118716772.91205338</v>
      </c>
    </row>
    <row r="165" spans="1:16" ht="12.75" customHeight="1" x14ac:dyDescent="0.2">
      <c r="A165" s="44" t="s">
        <v>16</v>
      </c>
      <c r="B165" s="44" t="s">
        <v>239</v>
      </c>
      <c r="C165" s="44" t="s">
        <v>1221</v>
      </c>
      <c r="D165" s="44" t="s">
        <v>96</v>
      </c>
      <c r="E165" s="44" t="s">
        <v>1222</v>
      </c>
      <c r="F165" s="45">
        <v>5699499.3528169598</v>
      </c>
      <c r="G165" s="45">
        <v>11144861.533358</v>
      </c>
      <c r="H165" s="45">
        <v>1922991.3254843</v>
      </c>
      <c r="I165" s="45">
        <v>-2933344.3782637399</v>
      </c>
      <c r="J165" s="45">
        <v>668314.75530639302</v>
      </c>
      <c r="K165" s="45">
        <v>7094762.6742358301</v>
      </c>
      <c r="L165" s="45">
        <v>4112325.5198861002</v>
      </c>
      <c r="M165" s="45">
        <v>3008460.1423231298</v>
      </c>
      <c r="N165" s="45">
        <v>1151832.5452997701</v>
      </c>
      <c r="O165" s="45">
        <v>467968.42215832998</v>
      </c>
      <c r="P165" s="45">
        <f t="shared" si="2"/>
        <v>32337671.89260507</v>
      </c>
    </row>
    <row r="166" spans="1:16" ht="12.75" customHeight="1" x14ac:dyDescent="0.2">
      <c r="A166" s="44" t="s">
        <v>16</v>
      </c>
      <c r="B166" s="44" t="s">
        <v>239</v>
      </c>
      <c r="C166" s="44" t="s">
        <v>1221</v>
      </c>
      <c r="D166" s="44" t="s">
        <v>112</v>
      </c>
      <c r="E166" s="44" t="s">
        <v>1222</v>
      </c>
      <c r="F166" s="45">
        <v>747061.71971300698</v>
      </c>
      <c r="G166" s="45">
        <v>1204394.08710172</v>
      </c>
      <c r="H166" s="45">
        <v>2064786.6191337199</v>
      </c>
      <c r="I166" s="45">
        <v>3628216.1279158802</v>
      </c>
      <c r="J166" s="45">
        <v>21367187.4820932</v>
      </c>
      <c r="K166" s="45">
        <v>-4094880.6481790501</v>
      </c>
      <c r="L166" s="45">
        <v>2923943.8449207302</v>
      </c>
      <c r="M166" s="45">
        <v>973475.29263595794</v>
      </c>
      <c r="N166" s="45">
        <v>33339.055569938202</v>
      </c>
      <c r="O166" s="45">
        <v>14710.674011366</v>
      </c>
      <c r="P166" s="45">
        <f t="shared" si="2"/>
        <v>28862234.25491647</v>
      </c>
    </row>
    <row r="167" spans="1:16" ht="12.75" customHeight="1" x14ac:dyDescent="0.2">
      <c r="A167" s="44" t="s">
        <v>16</v>
      </c>
      <c r="B167" s="44" t="s">
        <v>239</v>
      </c>
      <c r="C167" s="44" t="s">
        <v>1221</v>
      </c>
      <c r="D167" s="44" t="s">
        <v>31</v>
      </c>
      <c r="E167" s="44" t="s">
        <v>1222</v>
      </c>
      <c r="F167" s="45">
        <v>0</v>
      </c>
      <c r="G167" s="45">
        <v>6300011.9463492399</v>
      </c>
      <c r="H167" s="45">
        <v>81786.389289686194</v>
      </c>
      <c r="I167" s="45">
        <v>5665915.9213298904</v>
      </c>
      <c r="J167" s="45">
        <v>13925216.124549</v>
      </c>
      <c r="K167" s="45">
        <v>7566170.3182135699</v>
      </c>
      <c r="L167" s="45">
        <v>9129898.6560252197</v>
      </c>
      <c r="M167" s="45">
        <v>19592076.7953059</v>
      </c>
      <c r="N167" s="45">
        <v>2627910.6343475399</v>
      </c>
      <c r="O167" s="45">
        <v>-2989220.5138854301</v>
      </c>
      <c r="P167" s="45">
        <f t="shared" si="2"/>
        <v>61899766.271524623</v>
      </c>
    </row>
    <row r="168" spans="1:16" ht="12.75" customHeight="1" x14ac:dyDescent="0.2">
      <c r="A168" s="44" t="s">
        <v>16</v>
      </c>
      <c r="B168" s="44" t="s">
        <v>239</v>
      </c>
      <c r="C168" s="44" t="s">
        <v>1221</v>
      </c>
      <c r="D168" s="44" t="s">
        <v>141</v>
      </c>
      <c r="E168" s="44" t="s">
        <v>1222</v>
      </c>
      <c r="F168" s="45">
        <v>277866.46217438998</v>
      </c>
      <c r="G168" s="45">
        <v>291482.519934604</v>
      </c>
      <c r="H168" s="45">
        <v>764033.57849165099</v>
      </c>
      <c r="I168" s="45">
        <v>0</v>
      </c>
      <c r="J168" s="45">
        <v>167033.86757411901</v>
      </c>
      <c r="K168" s="45">
        <v>1383528.2867590501</v>
      </c>
      <c r="L168" s="45">
        <v>896016.47279777797</v>
      </c>
      <c r="M168" s="45">
        <v>717968.268589527</v>
      </c>
      <c r="N168" s="45">
        <v>952544.44485537405</v>
      </c>
      <c r="O168" s="45">
        <v>0</v>
      </c>
      <c r="P168" s="45">
        <f t="shared" si="2"/>
        <v>5450473.9011764936</v>
      </c>
    </row>
    <row r="169" spans="1:16" ht="12.75" customHeight="1" x14ac:dyDescent="0.2"/>
    <row r="170" spans="1:16" ht="12.75" customHeight="1" x14ac:dyDescent="0.2"/>
    <row r="171" spans="1:16" ht="12.75" customHeight="1" x14ac:dyDescent="0.2"/>
    <row r="172" spans="1:16" ht="12.75" customHeight="1" x14ac:dyDescent="0.2"/>
    <row r="173" spans="1:16" ht="12.75" customHeight="1" x14ac:dyDescent="0.2"/>
    <row r="174" spans="1:16" ht="12.75" customHeight="1" x14ac:dyDescent="0.2"/>
    <row r="175" spans="1:16" ht="12.75" customHeight="1" x14ac:dyDescent="0.2"/>
    <row r="176" spans="1:1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2026 | MAR - DIC</vt:lpstr>
      <vt:lpstr>Funcionamiento 2026</vt:lpstr>
      <vt:lpstr>Personal 2026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Nieva Muroni</cp:lastModifiedBy>
  <dcterms:modified xsi:type="dcterms:W3CDTF">2026-07-06T15:17:38Z</dcterms:modified>
</cp:coreProperties>
</file>